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hidePivotFieldList="1" defaultThemeVersion="166925"/>
  <mc:AlternateContent xmlns:mc="http://schemas.openxmlformats.org/markup-compatibility/2006">
    <mc:Choice Requires="x15">
      <x15ac:absPath xmlns:x15ac="http://schemas.microsoft.com/office/spreadsheetml/2010/11/ac" url="/Users/gregphelan/Dropbox/Projects/"/>
    </mc:Choice>
  </mc:AlternateContent>
  <xr:revisionPtr revIDLastSave="0" documentId="13_ncr:1_{602BFD4A-D685-2C42-A051-043E35268D70}" xr6:coauthVersionLast="47" xr6:coauthVersionMax="47" xr10:uidLastSave="{00000000-0000-0000-0000-000000000000}"/>
  <bookViews>
    <workbookView xWindow="0" yWindow="0" windowWidth="38400" windowHeight="21600" activeTab="1" xr2:uid="{280900D3-32A4-7E46-870D-BDA0DEB70D3D}"/>
  </bookViews>
  <sheets>
    <sheet name="Dashboard" sheetId="3" r:id="rId1"/>
    <sheet name="ExpansionSimulator" sheetId="4" r:id="rId2"/>
    <sheet name="RawData" sheetId="2" r:id="rId3"/>
    <sheet name="Calcaulations" sheetId="1" r:id="rId4"/>
  </sheets>
  <definedNames>
    <definedName name="ExternalData_1" localSheetId="2" hidden="1">RawData!$A$1:$F$2501</definedName>
    <definedName name="Slicer_Location1">#N/A</definedName>
    <definedName name="Slicer_Tier">#N/A</definedName>
  </definedNames>
  <calcPr calcId="191029" concurrentCalc="0"/>
  <pivotCaches>
    <pivotCache cacheId="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4" l="1"/>
  <c r="C9" i="4"/>
  <c r="C6" i="4"/>
  <c r="C8" i="4"/>
  <c r="C13" i="4"/>
  <c r="C14" i="4"/>
  <c r="J5" i="4"/>
  <c r="D43" i="1"/>
  <c r="C43" i="1"/>
  <c r="B43" i="1"/>
  <c r="B7" i="1"/>
  <c r="C7" i="1"/>
  <c r="D7" i="1"/>
  <c r="G3" i="2"/>
  <c r="H3" i="2"/>
  <c r="G4" i="2"/>
  <c r="H4" i="2"/>
  <c r="G5" i="2"/>
  <c r="H5" i="2"/>
  <c r="G6" i="2"/>
  <c r="H6" i="2"/>
  <c r="G7" i="2"/>
  <c r="H7" i="2"/>
  <c r="G8" i="2"/>
  <c r="H8" i="2"/>
  <c r="G9" i="2"/>
  <c r="H9" i="2"/>
  <c r="G10" i="2"/>
  <c r="H10" i="2"/>
  <c r="G11" i="2"/>
  <c r="H11" i="2"/>
  <c r="G12" i="2"/>
  <c r="H12" i="2"/>
  <c r="G13" i="2"/>
  <c r="H13" i="2"/>
  <c r="G14" i="2"/>
  <c r="H14" i="2"/>
  <c r="G15" i="2"/>
  <c r="H15" i="2"/>
  <c r="G16" i="2"/>
  <c r="H16" i="2"/>
  <c r="G17" i="2"/>
  <c r="H17" i="2"/>
  <c r="G18" i="2"/>
  <c r="H18" i="2"/>
  <c r="G19" i="2"/>
  <c r="H19" i="2"/>
  <c r="G20" i="2"/>
  <c r="H20" i="2"/>
  <c r="G21" i="2"/>
  <c r="H21" i="2"/>
  <c r="G22" i="2"/>
  <c r="H22" i="2"/>
  <c r="G23" i="2"/>
  <c r="H23" i="2"/>
  <c r="G24" i="2"/>
  <c r="H24" i="2"/>
  <c r="G25" i="2"/>
  <c r="H25" i="2"/>
  <c r="G26" i="2"/>
  <c r="H26" i="2"/>
  <c r="G27" i="2"/>
  <c r="H27" i="2"/>
  <c r="G28" i="2"/>
  <c r="H28" i="2"/>
  <c r="G29" i="2"/>
  <c r="H29" i="2"/>
  <c r="G30" i="2"/>
  <c r="H30" i="2"/>
  <c r="G31" i="2"/>
  <c r="H31" i="2"/>
  <c r="G32" i="2"/>
  <c r="H32" i="2"/>
  <c r="G33" i="2"/>
  <c r="H33" i="2"/>
  <c r="G34" i="2"/>
  <c r="H34" i="2"/>
  <c r="G35" i="2"/>
  <c r="H35" i="2"/>
  <c r="G36" i="2"/>
  <c r="H36" i="2"/>
  <c r="G37" i="2"/>
  <c r="H37" i="2"/>
  <c r="G38" i="2"/>
  <c r="H38" i="2"/>
  <c r="G39" i="2"/>
  <c r="H39" i="2"/>
  <c r="G40" i="2"/>
  <c r="H40" i="2"/>
  <c r="G41" i="2"/>
  <c r="H41" i="2"/>
  <c r="G42" i="2"/>
  <c r="H42" i="2"/>
  <c r="G43" i="2"/>
  <c r="H43" i="2"/>
  <c r="G44" i="2"/>
  <c r="H44" i="2"/>
  <c r="G45" i="2"/>
  <c r="H45" i="2"/>
  <c r="G46" i="2"/>
  <c r="H46" i="2"/>
  <c r="G47" i="2"/>
  <c r="H47" i="2"/>
  <c r="G48" i="2"/>
  <c r="H48" i="2"/>
  <c r="G49" i="2"/>
  <c r="H49" i="2"/>
  <c r="G50" i="2"/>
  <c r="H50" i="2"/>
  <c r="G51" i="2"/>
  <c r="H51" i="2"/>
  <c r="G52" i="2"/>
  <c r="H52" i="2"/>
  <c r="G53" i="2"/>
  <c r="H53" i="2"/>
  <c r="G54" i="2"/>
  <c r="H54" i="2"/>
  <c r="G55" i="2"/>
  <c r="H55" i="2"/>
  <c r="G56" i="2"/>
  <c r="H56" i="2"/>
  <c r="G57" i="2"/>
  <c r="H57" i="2"/>
  <c r="G58" i="2"/>
  <c r="H58" i="2"/>
  <c r="G59" i="2"/>
  <c r="H59" i="2"/>
  <c r="G60" i="2"/>
  <c r="H60" i="2"/>
  <c r="G61" i="2"/>
  <c r="H61" i="2"/>
  <c r="G62" i="2"/>
  <c r="H62" i="2"/>
  <c r="G63" i="2"/>
  <c r="H63" i="2"/>
  <c r="G64" i="2"/>
  <c r="H64" i="2"/>
  <c r="G65" i="2"/>
  <c r="H65" i="2"/>
  <c r="G66" i="2"/>
  <c r="H66" i="2"/>
  <c r="G67" i="2"/>
  <c r="H67" i="2"/>
  <c r="G68" i="2"/>
  <c r="H68" i="2"/>
  <c r="G69" i="2"/>
  <c r="H69" i="2"/>
  <c r="G70" i="2"/>
  <c r="H70" i="2"/>
  <c r="G71" i="2"/>
  <c r="H71" i="2"/>
  <c r="G72" i="2"/>
  <c r="H72" i="2"/>
  <c r="G73" i="2"/>
  <c r="H73" i="2"/>
  <c r="G74" i="2"/>
  <c r="H74" i="2"/>
  <c r="G75" i="2"/>
  <c r="H75" i="2"/>
  <c r="G76" i="2"/>
  <c r="H76" i="2"/>
  <c r="G77" i="2"/>
  <c r="H77" i="2"/>
  <c r="G78" i="2"/>
  <c r="H78" i="2"/>
  <c r="G79" i="2"/>
  <c r="H79" i="2"/>
  <c r="G80" i="2"/>
  <c r="H80" i="2"/>
  <c r="G81" i="2"/>
  <c r="H81" i="2"/>
  <c r="G82" i="2"/>
  <c r="H82" i="2"/>
  <c r="G83" i="2"/>
  <c r="H83" i="2"/>
  <c r="G84" i="2"/>
  <c r="H84" i="2"/>
  <c r="G85" i="2"/>
  <c r="H85" i="2"/>
  <c r="G86" i="2"/>
  <c r="H86" i="2"/>
  <c r="G87" i="2"/>
  <c r="H87" i="2"/>
  <c r="G88" i="2"/>
  <c r="H88" i="2"/>
  <c r="G89" i="2"/>
  <c r="H89" i="2"/>
  <c r="G90" i="2"/>
  <c r="H90" i="2"/>
  <c r="G91" i="2"/>
  <c r="H91" i="2"/>
  <c r="G92" i="2"/>
  <c r="H92" i="2"/>
  <c r="G93" i="2"/>
  <c r="H93" i="2"/>
  <c r="G94" i="2"/>
  <c r="H94" i="2"/>
  <c r="G95" i="2"/>
  <c r="H95" i="2"/>
  <c r="G96" i="2"/>
  <c r="H96" i="2"/>
  <c r="G97" i="2"/>
  <c r="H97" i="2"/>
  <c r="G98" i="2"/>
  <c r="H98" i="2"/>
  <c r="G99" i="2"/>
  <c r="H99" i="2"/>
  <c r="G100" i="2"/>
  <c r="H100" i="2"/>
  <c r="G101" i="2"/>
  <c r="H101" i="2"/>
  <c r="G102" i="2"/>
  <c r="H102" i="2"/>
  <c r="G103" i="2"/>
  <c r="H103" i="2"/>
  <c r="G104" i="2"/>
  <c r="H104" i="2"/>
  <c r="G105" i="2"/>
  <c r="H105" i="2"/>
  <c r="G106" i="2"/>
  <c r="H106" i="2"/>
  <c r="G107" i="2"/>
  <c r="H107" i="2"/>
  <c r="G108" i="2"/>
  <c r="H108" i="2"/>
  <c r="G109" i="2"/>
  <c r="H109" i="2"/>
  <c r="G110" i="2"/>
  <c r="H110" i="2"/>
  <c r="G111" i="2"/>
  <c r="H111" i="2"/>
  <c r="G112" i="2"/>
  <c r="H112" i="2"/>
  <c r="G113" i="2"/>
  <c r="H113" i="2"/>
  <c r="G114" i="2"/>
  <c r="H114" i="2"/>
  <c r="G115" i="2"/>
  <c r="H115" i="2"/>
  <c r="G116" i="2"/>
  <c r="H116" i="2"/>
  <c r="G117" i="2"/>
  <c r="H117" i="2"/>
  <c r="G118" i="2"/>
  <c r="H118" i="2"/>
  <c r="G119" i="2"/>
  <c r="H119" i="2"/>
  <c r="G120" i="2"/>
  <c r="H120" i="2"/>
  <c r="G121" i="2"/>
  <c r="H121" i="2"/>
  <c r="G122" i="2"/>
  <c r="H122" i="2"/>
  <c r="G123" i="2"/>
  <c r="H123" i="2"/>
  <c r="G124" i="2"/>
  <c r="H124" i="2"/>
  <c r="G125" i="2"/>
  <c r="H125" i="2"/>
  <c r="G126" i="2"/>
  <c r="H126" i="2"/>
  <c r="G127" i="2"/>
  <c r="H127" i="2"/>
  <c r="G128" i="2"/>
  <c r="H128" i="2"/>
  <c r="G129" i="2"/>
  <c r="H129" i="2"/>
  <c r="G130" i="2"/>
  <c r="H130" i="2"/>
  <c r="G131" i="2"/>
  <c r="H131" i="2"/>
  <c r="G132" i="2"/>
  <c r="H132" i="2"/>
  <c r="G133" i="2"/>
  <c r="H133" i="2"/>
  <c r="G134" i="2"/>
  <c r="H134" i="2"/>
  <c r="G135" i="2"/>
  <c r="H135" i="2"/>
  <c r="G136" i="2"/>
  <c r="H136" i="2"/>
  <c r="G137" i="2"/>
  <c r="H137" i="2"/>
  <c r="G138" i="2"/>
  <c r="H138" i="2"/>
  <c r="G139" i="2"/>
  <c r="H139" i="2"/>
  <c r="G140" i="2"/>
  <c r="H140" i="2"/>
  <c r="G141" i="2"/>
  <c r="H141" i="2"/>
  <c r="G142" i="2"/>
  <c r="H142" i="2"/>
  <c r="G143" i="2"/>
  <c r="H143" i="2"/>
  <c r="G144" i="2"/>
  <c r="H144" i="2"/>
  <c r="G145" i="2"/>
  <c r="H145" i="2"/>
  <c r="G146" i="2"/>
  <c r="H146" i="2"/>
  <c r="G147" i="2"/>
  <c r="H147" i="2"/>
  <c r="G148" i="2"/>
  <c r="H148" i="2"/>
  <c r="G149" i="2"/>
  <c r="H149" i="2"/>
  <c r="G150" i="2"/>
  <c r="H150" i="2"/>
  <c r="G151" i="2"/>
  <c r="H151" i="2"/>
  <c r="G152" i="2"/>
  <c r="H152" i="2"/>
  <c r="G153" i="2"/>
  <c r="H153" i="2"/>
  <c r="G154" i="2"/>
  <c r="H154" i="2"/>
  <c r="G155" i="2"/>
  <c r="H155" i="2"/>
  <c r="G156" i="2"/>
  <c r="H156" i="2"/>
  <c r="G157" i="2"/>
  <c r="H157" i="2"/>
  <c r="G158" i="2"/>
  <c r="H158" i="2"/>
  <c r="G159" i="2"/>
  <c r="H159" i="2"/>
  <c r="G160" i="2"/>
  <c r="H160" i="2"/>
  <c r="G161" i="2"/>
  <c r="H161" i="2"/>
  <c r="G162" i="2"/>
  <c r="H162" i="2"/>
  <c r="G163" i="2"/>
  <c r="H163" i="2"/>
  <c r="G164" i="2"/>
  <c r="H164" i="2"/>
  <c r="G165" i="2"/>
  <c r="H165" i="2"/>
  <c r="G166" i="2"/>
  <c r="H166" i="2"/>
  <c r="G167" i="2"/>
  <c r="H167" i="2"/>
  <c r="G168" i="2"/>
  <c r="H168" i="2"/>
  <c r="G169" i="2"/>
  <c r="H169" i="2"/>
  <c r="G170" i="2"/>
  <c r="H170" i="2"/>
  <c r="G171" i="2"/>
  <c r="H171" i="2"/>
  <c r="G172" i="2"/>
  <c r="H172" i="2"/>
  <c r="G173" i="2"/>
  <c r="H173" i="2"/>
  <c r="G174" i="2"/>
  <c r="H174" i="2"/>
  <c r="G175" i="2"/>
  <c r="H175" i="2"/>
  <c r="G176" i="2"/>
  <c r="H176" i="2"/>
  <c r="G177" i="2"/>
  <c r="H177" i="2"/>
  <c r="G178" i="2"/>
  <c r="H178" i="2"/>
  <c r="G179" i="2"/>
  <c r="H179" i="2"/>
  <c r="G180" i="2"/>
  <c r="H180" i="2"/>
  <c r="G181" i="2"/>
  <c r="H181" i="2"/>
  <c r="G182" i="2"/>
  <c r="H182" i="2"/>
  <c r="G183" i="2"/>
  <c r="H183" i="2"/>
  <c r="G184" i="2"/>
  <c r="H184" i="2"/>
  <c r="G185" i="2"/>
  <c r="H185" i="2"/>
  <c r="G186" i="2"/>
  <c r="H186" i="2"/>
  <c r="G187" i="2"/>
  <c r="H187" i="2"/>
  <c r="G188" i="2"/>
  <c r="H188" i="2"/>
  <c r="G189" i="2"/>
  <c r="H189" i="2"/>
  <c r="G190" i="2"/>
  <c r="H190" i="2"/>
  <c r="G191" i="2"/>
  <c r="H191" i="2"/>
  <c r="G192" i="2"/>
  <c r="H192" i="2"/>
  <c r="G193" i="2"/>
  <c r="H193" i="2"/>
  <c r="G194" i="2"/>
  <c r="H194" i="2"/>
  <c r="G195" i="2"/>
  <c r="H195" i="2"/>
  <c r="G196" i="2"/>
  <c r="H196" i="2"/>
  <c r="G197" i="2"/>
  <c r="H197" i="2"/>
  <c r="G198" i="2"/>
  <c r="H198" i="2"/>
  <c r="G199" i="2"/>
  <c r="H199" i="2"/>
  <c r="G200" i="2"/>
  <c r="H200" i="2"/>
  <c r="G201" i="2"/>
  <c r="H201" i="2"/>
  <c r="G202" i="2"/>
  <c r="H202" i="2"/>
  <c r="G203" i="2"/>
  <c r="H203" i="2"/>
  <c r="G204" i="2"/>
  <c r="H204" i="2"/>
  <c r="G205" i="2"/>
  <c r="H205" i="2"/>
  <c r="G206" i="2"/>
  <c r="H206" i="2"/>
  <c r="G207" i="2"/>
  <c r="H207" i="2"/>
  <c r="G208" i="2"/>
  <c r="H208" i="2"/>
  <c r="G209" i="2"/>
  <c r="H209" i="2"/>
  <c r="G210" i="2"/>
  <c r="H210" i="2"/>
  <c r="G211" i="2"/>
  <c r="H211" i="2"/>
  <c r="G212" i="2"/>
  <c r="H212" i="2"/>
  <c r="G213" i="2"/>
  <c r="H213" i="2"/>
  <c r="G214" i="2"/>
  <c r="H214" i="2"/>
  <c r="G215" i="2"/>
  <c r="H215" i="2"/>
  <c r="G216" i="2"/>
  <c r="H216" i="2"/>
  <c r="G217" i="2"/>
  <c r="H217" i="2"/>
  <c r="G218" i="2"/>
  <c r="H218" i="2"/>
  <c r="G219" i="2"/>
  <c r="H219" i="2"/>
  <c r="G220" i="2"/>
  <c r="H220" i="2"/>
  <c r="G221" i="2"/>
  <c r="H221" i="2"/>
  <c r="G222" i="2"/>
  <c r="H222" i="2"/>
  <c r="G223" i="2"/>
  <c r="H223" i="2"/>
  <c r="G224" i="2"/>
  <c r="H224" i="2"/>
  <c r="G225" i="2"/>
  <c r="H225" i="2"/>
  <c r="G226" i="2"/>
  <c r="H226" i="2"/>
  <c r="G227" i="2"/>
  <c r="H227" i="2"/>
  <c r="G228" i="2"/>
  <c r="H228" i="2"/>
  <c r="G229" i="2"/>
  <c r="H229" i="2"/>
  <c r="G230" i="2"/>
  <c r="H230" i="2"/>
  <c r="G231" i="2"/>
  <c r="H231" i="2"/>
  <c r="G232" i="2"/>
  <c r="H232" i="2"/>
  <c r="G233" i="2"/>
  <c r="H233" i="2"/>
  <c r="G234" i="2"/>
  <c r="H234" i="2"/>
  <c r="G235" i="2"/>
  <c r="H235" i="2"/>
  <c r="G236" i="2"/>
  <c r="H236" i="2"/>
  <c r="G237" i="2"/>
  <c r="H237" i="2"/>
  <c r="G238" i="2"/>
  <c r="H238" i="2"/>
  <c r="G239" i="2"/>
  <c r="H239" i="2"/>
  <c r="G240" i="2"/>
  <c r="H240" i="2"/>
  <c r="G241" i="2"/>
  <c r="H241" i="2"/>
  <c r="G242" i="2"/>
  <c r="H242" i="2"/>
  <c r="G243" i="2"/>
  <c r="H243" i="2"/>
  <c r="G244" i="2"/>
  <c r="H244" i="2"/>
  <c r="G245" i="2"/>
  <c r="H245" i="2"/>
  <c r="G246" i="2"/>
  <c r="H246" i="2"/>
  <c r="G247" i="2"/>
  <c r="H247" i="2"/>
  <c r="G248" i="2"/>
  <c r="H248" i="2"/>
  <c r="G249" i="2"/>
  <c r="H249" i="2"/>
  <c r="G250" i="2"/>
  <c r="H250" i="2"/>
  <c r="G251" i="2"/>
  <c r="H251" i="2"/>
  <c r="G252" i="2"/>
  <c r="H252" i="2"/>
  <c r="G253" i="2"/>
  <c r="H253" i="2"/>
  <c r="G254" i="2"/>
  <c r="H254" i="2"/>
  <c r="G255" i="2"/>
  <c r="H255" i="2"/>
  <c r="G256" i="2"/>
  <c r="H256" i="2"/>
  <c r="G257" i="2"/>
  <c r="H257" i="2"/>
  <c r="G258" i="2"/>
  <c r="H258" i="2"/>
  <c r="G259" i="2"/>
  <c r="H259" i="2"/>
  <c r="G260" i="2"/>
  <c r="H260" i="2"/>
  <c r="G261" i="2"/>
  <c r="H261" i="2"/>
  <c r="G262" i="2"/>
  <c r="H262" i="2"/>
  <c r="G263" i="2"/>
  <c r="H263" i="2"/>
  <c r="G264" i="2"/>
  <c r="H264" i="2"/>
  <c r="G265" i="2"/>
  <c r="H265" i="2"/>
  <c r="G266" i="2"/>
  <c r="H266" i="2"/>
  <c r="G267" i="2"/>
  <c r="H267" i="2"/>
  <c r="G268" i="2"/>
  <c r="H268" i="2"/>
  <c r="G269" i="2"/>
  <c r="H269" i="2"/>
  <c r="G270" i="2"/>
  <c r="H270" i="2"/>
  <c r="G271" i="2"/>
  <c r="H271" i="2"/>
  <c r="G272" i="2"/>
  <c r="H272" i="2"/>
  <c r="G273" i="2"/>
  <c r="H273" i="2"/>
  <c r="G274" i="2"/>
  <c r="H274" i="2"/>
  <c r="G275" i="2"/>
  <c r="H275" i="2"/>
  <c r="G276" i="2"/>
  <c r="H276" i="2"/>
  <c r="G277" i="2"/>
  <c r="H277" i="2"/>
  <c r="G278" i="2"/>
  <c r="H278" i="2"/>
  <c r="G279" i="2"/>
  <c r="H279" i="2"/>
  <c r="G280" i="2"/>
  <c r="H280" i="2"/>
  <c r="G281" i="2"/>
  <c r="H281" i="2"/>
  <c r="G282" i="2"/>
  <c r="H282" i="2"/>
  <c r="G283" i="2"/>
  <c r="H283" i="2"/>
  <c r="G284" i="2"/>
  <c r="H284" i="2"/>
  <c r="G285" i="2"/>
  <c r="H285" i="2"/>
  <c r="G286" i="2"/>
  <c r="H286" i="2"/>
  <c r="G287" i="2"/>
  <c r="H287" i="2"/>
  <c r="G288" i="2"/>
  <c r="H288" i="2"/>
  <c r="G289" i="2"/>
  <c r="H289" i="2"/>
  <c r="G290" i="2"/>
  <c r="H290" i="2"/>
  <c r="G291" i="2"/>
  <c r="H291" i="2"/>
  <c r="G292" i="2"/>
  <c r="H292" i="2"/>
  <c r="G293" i="2"/>
  <c r="H293" i="2"/>
  <c r="G294" i="2"/>
  <c r="H294" i="2"/>
  <c r="G295" i="2"/>
  <c r="H295" i="2"/>
  <c r="G296" i="2"/>
  <c r="H296" i="2"/>
  <c r="G297" i="2"/>
  <c r="H297" i="2"/>
  <c r="G298" i="2"/>
  <c r="H298" i="2"/>
  <c r="G299" i="2"/>
  <c r="H299" i="2"/>
  <c r="G300" i="2"/>
  <c r="H300" i="2"/>
  <c r="G301" i="2"/>
  <c r="H301" i="2"/>
  <c r="G302" i="2"/>
  <c r="H302" i="2"/>
  <c r="G303" i="2"/>
  <c r="H303" i="2"/>
  <c r="G304" i="2"/>
  <c r="H304" i="2"/>
  <c r="G305" i="2"/>
  <c r="H305" i="2"/>
  <c r="G306" i="2"/>
  <c r="H306" i="2"/>
  <c r="G307" i="2"/>
  <c r="H307" i="2"/>
  <c r="G308" i="2"/>
  <c r="H308" i="2"/>
  <c r="G309" i="2"/>
  <c r="H309" i="2"/>
  <c r="G310" i="2"/>
  <c r="H310" i="2"/>
  <c r="G311" i="2"/>
  <c r="H311" i="2"/>
  <c r="G312" i="2"/>
  <c r="H312" i="2"/>
  <c r="G313" i="2"/>
  <c r="H313" i="2"/>
  <c r="G314" i="2"/>
  <c r="H314" i="2"/>
  <c r="G315" i="2"/>
  <c r="H315" i="2"/>
  <c r="G316" i="2"/>
  <c r="H316" i="2"/>
  <c r="G317" i="2"/>
  <c r="H317" i="2"/>
  <c r="G318" i="2"/>
  <c r="H318" i="2"/>
  <c r="G319" i="2"/>
  <c r="H319" i="2"/>
  <c r="G320" i="2"/>
  <c r="H320" i="2"/>
  <c r="G321" i="2"/>
  <c r="H321" i="2"/>
  <c r="G322" i="2"/>
  <c r="H322" i="2"/>
  <c r="G323" i="2"/>
  <c r="H323" i="2"/>
  <c r="G324" i="2"/>
  <c r="H324" i="2"/>
  <c r="G325" i="2"/>
  <c r="H325" i="2"/>
  <c r="G326" i="2"/>
  <c r="H326" i="2"/>
  <c r="G327" i="2"/>
  <c r="H327" i="2"/>
  <c r="G328" i="2"/>
  <c r="H328" i="2"/>
  <c r="G329" i="2"/>
  <c r="H329" i="2"/>
  <c r="G330" i="2"/>
  <c r="H330" i="2"/>
  <c r="G331" i="2"/>
  <c r="H331" i="2"/>
  <c r="G332" i="2"/>
  <c r="H332" i="2"/>
  <c r="G333" i="2"/>
  <c r="H333" i="2"/>
  <c r="G334" i="2"/>
  <c r="H334" i="2"/>
  <c r="G335" i="2"/>
  <c r="H335" i="2"/>
  <c r="G336" i="2"/>
  <c r="H336" i="2"/>
  <c r="G337" i="2"/>
  <c r="H337" i="2"/>
  <c r="G338" i="2"/>
  <c r="H338" i="2"/>
  <c r="G339" i="2"/>
  <c r="H339" i="2"/>
  <c r="G340" i="2"/>
  <c r="H340" i="2"/>
  <c r="G341" i="2"/>
  <c r="H341" i="2"/>
  <c r="G342" i="2"/>
  <c r="H342" i="2"/>
  <c r="G343" i="2"/>
  <c r="H343" i="2"/>
  <c r="G344" i="2"/>
  <c r="H344" i="2"/>
  <c r="G345" i="2"/>
  <c r="H345" i="2"/>
  <c r="G346" i="2"/>
  <c r="H346" i="2"/>
  <c r="G347" i="2"/>
  <c r="H347" i="2"/>
  <c r="G348" i="2"/>
  <c r="H348" i="2"/>
  <c r="G349" i="2"/>
  <c r="H349" i="2"/>
  <c r="G350" i="2"/>
  <c r="H350" i="2"/>
  <c r="G351" i="2"/>
  <c r="H351" i="2"/>
  <c r="G352" i="2"/>
  <c r="H352" i="2"/>
  <c r="G353" i="2"/>
  <c r="H353" i="2"/>
  <c r="G354" i="2"/>
  <c r="H354" i="2"/>
  <c r="G355" i="2"/>
  <c r="H355" i="2"/>
  <c r="G356" i="2"/>
  <c r="H356" i="2"/>
  <c r="G357" i="2"/>
  <c r="H357" i="2"/>
  <c r="G358" i="2"/>
  <c r="H358" i="2"/>
  <c r="G359" i="2"/>
  <c r="H359" i="2"/>
  <c r="G360" i="2"/>
  <c r="H360" i="2"/>
  <c r="G361" i="2"/>
  <c r="H361" i="2"/>
  <c r="G362" i="2"/>
  <c r="H362" i="2"/>
  <c r="G363" i="2"/>
  <c r="H363" i="2"/>
  <c r="G364" i="2"/>
  <c r="H364" i="2"/>
  <c r="G365" i="2"/>
  <c r="H365" i="2"/>
  <c r="G366" i="2"/>
  <c r="H366" i="2"/>
  <c r="G367" i="2"/>
  <c r="H367" i="2"/>
  <c r="G368" i="2"/>
  <c r="H368" i="2"/>
  <c r="G369" i="2"/>
  <c r="H369" i="2"/>
  <c r="G370" i="2"/>
  <c r="H370" i="2"/>
  <c r="G371" i="2"/>
  <c r="H371" i="2"/>
  <c r="G372" i="2"/>
  <c r="H372" i="2"/>
  <c r="G373" i="2"/>
  <c r="H373" i="2"/>
  <c r="G374" i="2"/>
  <c r="H374" i="2"/>
  <c r="G375" i="2"/>
  <c r="H375" i="2"/>
  <c r="G376" i="2"/>
  <c r="H376" i="2"/>
  <c r="G377" i="2"/>
  <c r="H377" i="2"/>
  <c r="G378" i="2"/>
  <c r="H378" i="2"/>
  <c r="G379" i="2"/>
  <c r="H379" i="2"/>
  <c r="G380" i="2"/>
  <c r="H380" i="2"/>
  <c r="G381" i="2"/>
  <c r="H381" i="2"/>
  <c r="G382" i="2"/>
  <c r="H382" i="2"/>
  <c r="G383" i="2"/>
  <c r="H383" i="2"/>
  <c r="G384" i="2"/>
  <c r="H384" i="2"/>
  <c r="G385" i="2"/>
  <c r="H385" i="2"/>
  <c r="G386" i="2"/>
  <c r="H386" i="2"/>
  <c r="G387" i="2"/>
  <c r="H387" i="2"/>
  <c r="G388" i="2"/>
  <c r="H388" i="2"/>
  <c r="G389" i="2"/>
  <c r="H389" i="2"/>
  <c r="G390" i="2"/>
  <c r="H390" i="2"/>
  <c r="G391" i="2"/>
  <c r="H391" i="2"/>
  <c r="G392" i="2"/>
  <c r="H392" i="2"/>
  <c r="G393" i="2"/>
  <c r="H393" i="2"/>
  <c r="G394" i="2"/>
  <c r="H394" i="2"/>
  <c r="G395" i="2"/>
  <c r="H395" i="2"/>
  <c r="G396" i="2"/>
  <c r="H396" i="2"/>
  <c r="G397" i="2"/>
  <c r="H397" i="2"/>
  <c r="G398" i="2"/>
  <c r="H398" i="2"/>
  <c r="G399" i="2"/>
  <c r="H399" i="2"/>
  <c r="G400" i="2"/>
  <c r="H400" i="2"/>
  <c r="G401" i="2"/>
  <c r="H401" i="2"/>
  <c r="G402" i="2"/>
  <c r="H402" i="2"/>
  <c r="G403" i="2"/>
  <c r="H403" i="2"/>
  <c r="G404" i="2"/>
  <c r="H404" i="2"/>
  <c r="G405" i="2"/>
  <c r="H405" i="2"/>
  <c r="G406" i="2"/>
  <c r="H406" i="2"/>
  <c r="G407" i="2"/>
  <c r="H407" i="2"/>
  <c r="G408" i="2"/>
  <c r="H408" i="2"/>
  <c r="G409" i="2"/>
  <c r="H409" i="2"/>
  <c r="G410" i="2"/>
  <c r="H410" i="2"/>
  <c r="G411" i="2"/>
  <c r="H411" i="2"/>
  <c r="G412" i="2"/>
  <c r="H412" i="2"/>
  <c r="G413" i="2"/>
  <c r="H413" i="2"/>
  <c r="G414" i="2"/>
  <c r="H414" i="2"/>
  <c r="G415" i="2"/>
  <c r="H415" i="2"/>
  <c r="G416" i="2"/>
  <c r="H416" i="2"/>
  <c r="G417" i="2"/>
  <c r="H417" i="2"/>
  <c r="G418" i="2"/>
  <c r="H418" i="2"/>
  <c r="G419" i="2"/>
  <c r="H419" i="2"/>
  <c r="G420" i="2"/>
  <c r="H420" i="2"/>
  <c r="G421" i="2"/>
  <c r="H421" i="2"/>
  <c r="G422" i="2"/>
  <c r="H422" i="2"/>
  <c r="G423" i="2"/>
  <c r="H423" i="2"/>
  <c r="G424" i="2"/>
  <c r="H424" i="2"/>
  <c r="G425" i="2"/>
  <c r="H425" i="2"/>
  <c r="G426" i="2"/>
  <c r="H426" i="2"/>
  <c r="G427" i="2"/>
  <c r="H427" i="2"/>
  <c r="G428" i="2"/>
  <c r="H428" i="2"/>
  <c r="G429" i="2"/>
  <c r="H429" i="2"/>
  <c r="G430" i="2"/>
  <c r="H430" i="2"/>
  <c r="G431" i="2"/>
  <c r="H431" i="2"/>
  <c r="G432" i="2"/>
  <c r="H432" i="2"/>
  <c r="G433" i="2"/>
  <c r="H433" i="2"/>
  <c r="G434" i="2"/>
  <c r="H434" i="2"/>
  <c r="G435" i="2"/>
  <c r="H435" i="2"/>
  <c r="G436" i="2"/>
  <c r="H436" i="2"/>
  <c r="G437" i="2"/>
  <c r="H437" i="2"/>
  <c r="G438" i="2"/>
  <c r="H438" i="2"/>
  <c r="G439" i="2"/>
  <c r="H439" i="2"/>
  <c r="G440" i="2"/>
  <c r="H440" i="2"/>
  <c r="G441" i="2"/>
  <c r="H441" i="2"/>
  <c r="G442" i="2"/>
  <c r="H442" i="2"/>
  <c r="G443" i="2"/>
  <c r="H443" i="2"/>
  <c r="G444" i="2"/>
  <c r="H444" i="2"/>
  <c r="G445" i="2"/>
  <c r="H445" i="2"/>
  <c r="G446" i="2"/>
  <c r="H446" i="2"/>
  <c r="G447" i="2"/>
  <c r="H447" i="2"/>
  <c r="G448" i="2"/>
  <c r="H448" i="2"/>
  <c r="G449" i="2"/>
  <c r="H449" i="2"/>
  <c r="G450" i="2"/>
  <c r="H450" i="2"/>
  <c r="G451" i="2"/>
  <c r="H451" i="2"/>
  <c r="G452" i="2"/>
  <c r="H452" i="2"/>
  <c r="G453" i="2"/>
  <c r="H453" i="2"/>
  <c r="G454" i="2"/>
  <c r="H454" i="2"/>
  <c r="G455" i="2"/>
  <c r="H455" i="2"/>
  <c r="G456" i="2"/>
  <c r="H456" i="2"/>
  <c r="G457" i="2"/>
  <c r="H457" i="2"/>
  <c r="G458" i="2"/>
  <c r="H458" i="2"/>
  <c r="G459" i="2"/>
  <c r="H459" i="2"/>
  <c r="G460" i="2"/>
  <c r="H460" i="2"/>
  <c r="G461" i="2"/>
  <c r="H461" i="2"/>
  <c r="G462" i="2"/>
  <c r="H462" i="2"/>
  <c r="G463" i="2"/>
  <c r="H463" i="2"/>
  <c r="G464" i="2"/>
  <c r="H464" i="2"/>
  <c r="G465" i="2"/>
  <c r="H465" i="2"/>
  <c r="G466" i="2"/>
  <c r="H466" i="2"/>
  <c r="G467" i="2"/>
  <c r="H467" i="2"/>
  <c r="G468" i="2"/>
  <c r="H468" i="2"/>
  <c r="G469" i="2"/>
  <c r="H469" i="2"/>
  <c r="G470" i="2"/>
  <c r="H470" i="2"/>
  <c r="G471" i="2"/>
  <c r="H471" i="2"/>
  <c r="G472" i="2"/>
  <c r="H472" i="2"/>
  <c r="G473" i="2"/>
  <c r="H473" i="2"/>
  <c r="G474" i="2"/>
  <c r="H474" i="2"/>
  <c r="G475" i="2"/>
  <c r="H475" i="2"/>
  <c r="G476" i="2"/>
  <c r="H476" i="2"/>
  <c r="G477" i="2"/>
  <c r="H477" i="2"/>
  <c r="G478" i="2"/>
  <c r="H478" i="2"/>
  <c r="G479" i="2"/>
  <c r="H479" i="2"/>
  <c r="G480" i="2"/>
  <c r="H480" i="2"/>
  <c r="G481" i="2"/>
  <c r="H481" i="2"/>
  <c r="G482" i="2"/>
  <c r="H482" i="2"/>
  <c r="G483" i="2"/>
  <c r="H483" i="2"/>
  <c r="G484" i="2"/>
  <c r="H484" i="2"/>
  <c r="G485" i="2"/>
  <c r="H485" i="2"/>
  <c r="G486" i="2"/>
  <c r="H486" i="2"/>
  <c r="G487" i="2"/>
  <c r="H487" i="2"/>
  <c r="G488" i="2"/>
  <c r="H488" i="2"/>
  <c r="G489" i="2"/>
  <c r="H489" i="2"/>
  <c r="G490" i="2"/>
  <c r="H490" i="2"/>
  <c r="G491" i="2"/>
  <c r="H491" i="2"/>
  <c r="G492" i="2"/>
  <c r="H492" i="2"/>
  <c r="G493" i="2"/>
  <c r="H493" i="2"/>
  <c r="G494" i="2"/>
  <c r="H494" i="2"/>
  <c r="G495" i="2"/>
  <c r="H495" i="2"/>
  <c r="G496" i="2"/>
  <c r="H496" i="2"/>
  <c r="G497" i="2"/>
  <c r="H497" i="2"/>
  <c r="G498" i="2"/>
  <c r="H498" i="2"/>
  <c r="G499" i="2"/>
  <c r="H499" i="2"/>
  <c r="G500" i="2"/>
  <c r="H500" i="2"/>
  <c r="G501" i="2"/>
  <c r="H501" i="2"/>
  <c r="G502" i="2"/>
  <c r="H502" i="2"/>
  <c r="G503" i="2"/>
  <c r="H503" i="2"/>
  <c r="G504" i="2"/>
  <c r="H504" i="2"/>
  <c r="G505" i="2"/>
  <c r="H505" i="2"/>
  <c r="G506" i="2"/>
  <c r="H506" i="2"/>
  <c r="G507" i="2"/>
  <c r="H507" i="2"/>
  <c r="G508" i="2"/>
  <c r="H508" i="2"/>
  <c r="G509" i="2"/>
  <c r="H509" i="2"/>
  <c r="G510" i="2"/>
  <c r="H510" i="2"/>
  <c r="G511" i="2"/>
  <c r="H511" i="2"/>
  <c r="G512" i="2"/>
  <c r="H512" i="2"/>
  <c r="G513" i="2"/>
  <c r="H513" i="2"/>
  <c r="G514" i="2"/>
  <c r="H514" i="2"/>
  <c r="G515" i="2"/>
  <c r="H515" i="2"/>
  <c r="G516" i="2"/>
  <c r="H516" i="2"/>
  <c r="G517" i="2"/>
  <c r="H517" i="2"/>
  <c r="G518" i="2"/>
  <c r="H518" i="2"/>
  <c r="G519" i="2"/>
  <c r="H519" i="2"/>
  <c r="G520" i="2"/>
  <c r="H520" i="2"/>
  <c r="G521" i="2"/>
  <c r="H521" i="2"/>
  <c r="G522" i="2"/>
  <c r="H522" i="2"/>
  <c r="G523" i="2"/>
  <c r="H523" i="2"/>
  <c r="G524" i="2"/>
  <c r="H524" i="2"/>
  <c r="G525" i="2"/>
  <c r="H525" i="2"/>
  <c r="G526" i="2"/>
  <c r="H526" i="2"/>
  <c r="G527" i="2"/>
  <c r="H527" i="2"/>
  <c r="G528" i="2"/>
  <c r="H528" i="2"/>
  <c r="G529" i="2"/>
  <c r="H529" i="2"/>
  <c r="G530" i="2"/>
  <c r="H530" i="2"/>
  <c r="G531" i="2"/>
  <c r="H531" i="2"/>
  <c r="G532" i="2"/>
  <c r="H532" i="2"/>
  <c r="G533" i="2"/>
  <c r="H533" i="2"/>
  <c r="G534" i="2"/>
  <c r="H534" i="2"/>
  <c r="G535" i="2"/>
  <c r="H535" i="2"/>
  <c r="G536" i="2"/>
  <c r="H536" i="2"/>
  <c r="G537" i="2"/>
  <c r="H537" i="2"/>
  <c r="G538" i="2"/>
  <c r="H538" i="2"/>
  <c r="G539" i="2"/>
  <c r="H539" i="2"/>
  <c r="G540" i="2"/>
  <c r="H540" i="2"/>
  <c r="G541" i="2"/>
  <c r="H541" i="2"/>
  <c r="G542" i="2"/>
  <c r="H542" i="2"/>
  <c r="G543" i="2"/>
  <c r="H543" i="2"/>
  <c r="G544" i="2"/>
  <c r="H544" i="2"/>
  <c r="G545" i="2"/>
  <c r="H545" i="2"/>
  <c r="G546" i="2"/>
  <c r="H546" i="2"/>
  <c r="G547" i="2"/>
  <c r="H547" i="2"/>
  <c r="G548" i="2"/>
  <c r="H548" i="2"/>
  <c r="G549" i="2"/>
  <c r="H549" i="2"/>
  <c r="G550" i="2"/>
  <c r="H550" i="2"/>
  <c r="G551" i="2"/>
  <c r="H551" i="2"/>
  <c r="G552" i="2"/>
  <c r="H552" i="2"/>
  <c r="G553" i="2"/>
  <c r="H553" i="2"/>
  <c r="G554" i="2"/>
  <c r="H554" i="2"/>
  <c r="G555" i="2"/>
  <c r="H555" i="2"/>
  <c r="G556" i="2"/>
  <c r="H556" i="2"/>
  <c r="G557" i="2"/>
  <c r="H557" i="2"/>
  <c r="G558" i="2"/>
  <c r="H558" i="2"/>
  <c r="G559" i="2"/>
  <c r="H559" i="2"/>
  <c r="G560" i="2"/>
  <c r="H560" i="2"/>
  <c r="G561" i="2"/>
  <c r="H561" i="2"/>
  <c r="G562" i="2"/>
  <c r="H562" i="2"/>
  <c r="G563" i="2"/>
  <c r="H563" i="2"/>
  <c r="G564" i="2"/>
  <c r="H564" i="2"/>
  <c r="G565" i="2"/>
  <c r="H565" i="2"/>
  <c r="G566" i="2"/>
  <c r="H566" i="2"/>
  <c r="G567" i="2"/>
  <c r="H567" i="2"/>
  <c r="G568" i="2"/>
  <c r="H568" i="2"/>
  <c r="G569" i="2"/>
  <c r="H569" i="2"/>
  <c r="G570" i="2"/>
  <c r="H570" i="2"/>
  <c r="G571" i="2"/>
  <c r="H571" i="2"/>
  <c r="G572" i="2"/>
  <c r="H572" i="2"/>
  <c r="G573" i="2"/>
  <c r="H573" i="2"/>
  <c r="G574" i="2"/>
  <c r="H574" i="2"/>
  <c r="G575" i="2"/>
  <c r="H575" i="2"/>
  <c r="G576" i="2"/>
  <c r="H576" i="2"/>
  <c r="G577" i="2"/>
  <c r="H577" i="2"/>
  <c r="G578" i="2"/>
  <c r="H578" i="2"/>
  <c r="G579" i="2"/>
  <c r="H579" i="2"/>
  <c r="G580" i="2"/>
  <c r="H580" i="2"/>
  <c r="G581" i="2"/>
  <c r="H581" i="2"/>
  <c r="G582" i="2"/>
  <c r="H582" i="2"/>
  <c r="G583" i="2"/>
  <c r="H583" i="2"/>
  <c r="G584" i="2"/>
  <c r="H584" i="2"/>
  <c r="G585" i="2"/>
  <c r="H585" i="2"/>
  <c r="G586" i="2"/>
  <c r="H586" i="2"/>
  <c r="G587" i="2"/>
  <c r="H587" i="2"/>
  <c r="G588" i="2"/>
  <c r="H588" i="2"/>
  <c r="G589" i="2"/>
  <c r="H589" i="2"/>
  <c r="G590" i="2"/>
  <c r="H590" i="2"/>
  <c r="G591" i="2"/>
  <c r="H591" i="2"/>
  <c r="G592" i="2"/>
  <c r="H592" i="2"/>
  <c r="G593" i="2"/>
  <c r="H593" i="2"/>
  <c r="G594" i="2"/>
  <c r="H594" i="2"/>
  <c r="G595" i="2"/>
  <c r="H595" i="2"/>
  <c r="G596" i="2"/>
  <c r="H596" i="2"/>
  <c r="G597" i="2"/>
  <c r="H597" i="2"/>
  <c r="G598" i="2"/>
  <c r="H598" i="2"/>
  <c r="G599" i="2"/>
  <c r="H599" i="2"/>
  <c r="G600" i="2"/>
  <c r="H600" i="2"/>
  <c r="G601" i="2"/>
  <c r="H601" i="2"/>
  <c r="G602" i="2"/>
  <c r="H602" i="2"/>
  <c r="G603" i="2"/>
  <c r="H603" i="2"/>
  <c r="G604" i="2"/>
  <c r="H604" i="2"/>
  <c r="G605" i="2"/>
  <c r="H605" i="2"/>
  <c r="G606" i="2"/>
  <c r="H606" i="2"/>
  <c r="G607" i="2"/>
  <c r="H607" i="2"/>
  <c r="G608" i="2"/>
  <c r="H608" i="2"/>
  <c r="G609" i="2"/>
  <c r="H609" i="2"/>
  <c r="G610" i="2"/>
  <c r="H610" i="2"/>
  <c r="G611" i="2"/>
  <c r="H611" i="2"/>
  <c r="G612" i="2"/>
  <c r="H612" i="2"/>
  <c r="G613" i="2"/>
  <c r="H613" i="2"/>
  <c r="G614" i="2"/>
  <c r="H614" i="2"/>
  <c r="G615" i="2"/>
  <c r="H615" i="2"/>
  <c r="G616" i="2"/>
  <c r="H616" i="2"/>
  <c r="G617" i="2"/>
  <c r="H617" i="2"/>
  <c r="G618" i="2"/>
  <c r="H618" i="2"/>
  <c r="G619" i="2"/>
  <c r="H619" i="2"/>
  <c r="G620" i="2"/>
  <c r="H620" i="2"/>
  <c r="G621" i="2"/>
  <c r="H621" i="2"/>
  <c r="G622" i="2"/>
  <c r="H622" i="2"/>
  <c r="G623" i="2"/>
  <c r="H623" i="2"/>
  <c r="G624" i="2"/>
  <c r="H624" i="2"/>
  <c r="G625" i="2"/>
  <c r="H625" i="2"/>
  <c r="G626" i="2"/>
  <c r="H626" i="2"/>
  <c r="G627" i="2"/>
  <c r="H627" i="2"/>
  <c r="G628" i="2"/>
  <c r="H628" i="2"/>
  <c r="G629" i="2"/>
  <c r="H629" i="2"/>
  <c r="G630" i="2"/>
  <c r="H630" i="2"/>
  <c r="G631" i="2"/>
  <c r="H631" i="2"/>
  <c r="G632" i="2"/>
  <c r="H632" i="2"/>
  <c r="G633" i="2"/>
  <c r="H633" i="2"/>
  <c r="G634" i="2"/>
  <c r="H634" i="2"/>
  <c r="G635" i="2"/>
  <c r="H635" i="2"/>
  <c r="G636" i="2"/>
  <c r="H636" i="2"/>
  <c r="G637" i="2"/>
  <c r="H637" i="2"/>
  <c r="G638" i="2"/>
  <c r="H638" i="2"/>
  <c r="G639" i="2"/>
  <c r="H639" i="2"/>
  <c r="G640" i="2"/>
  <c r="H640" i="2"/>
  <c r="G641" i="2"/>
  <c r="H641" i="2"/>
  <c r="G642" i="2"/>
  <c r="H642" i="2"/>
  <c r="G643" i="2"/>
  <c r="H643" i="2"/>
  <c r="G644" i="2"/>
  <c r="H644" i="2"/>
  <c r="G645" i="2"/>
  <c r="H645" i="2"/>
  <c r="G646" i="2"/>
  <c r="H646" i="2"/>
  <c r="G647" i="2"/>
  <c r="H647" i="2"/>
  <c r="G648" i="2"/>
  <c r="H648" i="2"/>
  <c r="G649" i="2"/>
  <c r="H649" i="2"/>
  <c r="G650" i="2"/>
  <c r="H650" i="2"/>
  <c r="G651" i="2"/>
  <c r="H651" i="2"/>
  <c r="G652" i="2"/>
  <c r="H652" i="2"/>
  <c r="G653" i="2"/>
  <c r="H653" i="2"/>
  <c r="G654" i="2"/>
  <c r="H654" i="2"/>
  <c r="G655" i="2"/>
  <c r="H655" i="2"/>
  <c r="G656" i="2"/>
  <c r="H656" i="2"/>
  <c r="G657" i="2"/>
  <c r="H657" i="2"/>
  <c r="G658" i="2"/>
  <c r="H658" i="2"/>
  <c r="G659" i="2"/>
  <c r="H659" i="2"/>
  <c r="G660" i="2"/>
  <c r="H660" i="2"/>
  <c r="G661" i="2"/>
  <c r="H661" i="2"/>
  <c r="G662" i="2"/>
  <c r="H662" i="2"/>
  <c r="G663" i="2"/>
  <c r="H663" i="2"/>
  <c r="G664" i="2"/>
  <c r="H664" i="2"/>
  <c r="G665" i="2"/>
  <c r="H665" i="2"/>
  <c r="G666" i="2"/>
  <c r="H666" i="2"/>
  <c r="G667" i="2"/>
  <c r="H667" i="2"/>
  <c r="G668" i="2"/>
  <c r="H668" i="2"/>
  <c r="G669" i="2"/>
  <c r="H669" i="2"/>
  <c r="G670" i="2"/>
  <c r="H670" i="2"/>
  <c r="G671" i="2"/>
  <c r="H671" i="2"/>
  <c r="G672" i="2"/>
  <c r="H672" i="2"/>
  <c r="G673" i="2"/>
  <c r="H673" i="2"/>
  <c r="G674" i="2"/>
  <c r="H674" i="2"/>
  <c r="G675" i="2"/>
  <c r="H675" i="2"/>
  <c r="G676" i="2"/>
  <c r="H676" i="2"/>
  <c r="G677" i="2"/>
  <c r="H677" i="2"/>
  <c r="G678" i="2"/>
  <c r="H678" i="2"/>
  <c r="G679" i="2"/>
  <c r="H679" i="2"/>
  <c r="G680" i="2"/>
  <c r="H680" i="2"/>
  <c r="G681" i="2"/>
  <c r="H681" i="2"/>
  <c r="G682" i="2"/>
  <c r="H682" i="2"/>
  <c r="G683" i="2"/>
  <c r="H683" i="2"/>
  <c r="G684" i="2"/>
  <c r="H684" i="2"/>
  <c r="G685" i="2"/>
  <c r="H685" i="2"/>
  <c r="G686" i="2"/>
  <c r="H686" i="2"/>
  <c r="G687" i="2"/>
  <c r="H687" i="2"/>
  <c r="G688" i="2"/>
  <c r="H688" i="2"/>
  <c r="G689" i="2"/>
  <c r="H689" i="2"/>
  <c r="G690" i="2"/>
  <c r="H690" i="2"/>
  <c r="G691" i="2"/>
  <c r="H691" i="2"/>
  <c r="G692" i="2"/>
  <c r="H692" i="2"/>
  <c r="G693" i="2"/>
  <c r="H693" i="2"/>
  <c r="G694" i="2"/>
  <c r="H694" i="2"/>
  <c r="G695" i="2"/>
  <c r="H695" i="2"/>
  <c r="G696" i="2"/>
  <c r="H696" i="2"/>
  <c r="G697" i="2"/>
  <c r="H697" i="2"/>
  <c r="G698" i="2"/>
  <c r="H698" i="2"/>
  <c r="G699" i="2"/>
  <c r="H699" i="2"/>
  <c r="G700" i="2"/>
  <c r="H700" i="2"/>
  <c r="G701" i="2"/>
  <c r="H701" i="2"/>
  <c r="G702" i="2"/>
  <c r="H702" i="2"/>
  <c r="G703" i="2"/>
  <c r="H703" i="2"/>
  <c r="G704" i="2"/>
  <c r="H704" i="2"/>
  <c r="G705" i="2"/>
  <c r="H705" i="2"/>
  <c r="G706" i="2"/>
  <c r="H706" i="2"/>
  <c r="G707" i="2"/>
  <c r="H707" i="2"/>
  <c r="G708" i="2"/>
  <c r="H708" i="2"/>
  <c r="G709" i="2"/>
  <c r="H709" i="2"/>
  <c r="G710" i="2"/>
  <c r="H710" i="2"/>
  <c r="G711" i="2"/>
  <c r="H711" i="2"/>
  <c r="G712" i="2"/>
  <c r="H712" i="2"/>
  <c r="G713" i="2"/>
  <c r="H713" i="2"/>
  <c r="G714" i="2"/>
  <c r="H714" i="2"/>
  <c r="G715" i="2"/>
  <c r="H715" i="2"/>
  <c r="G716" i="2"/>
  <c r="H716" i="2"/>
  <c r="G717" i="2"/>
  <c r="H717" i="2"/>
  <c r="G718" i="2"/>
  <c r="H718" i="2"/>
  <c r="G719" i="2"/>
  <c r="H719" i="2"/>
  <c r="G720" i="2"/>
  <c r="H720" i="2"/>
  <c r="G721" i="2"/>
  <c r="H721" i="2"/>
  <c r="G722" i="2"/>
  <c r="H722" i="2"/>
  <c r="G723" i="2"/>
  <c r="H723" i="2"/>
  <c r="G724" i="2"/>
  <c r="H724" i="2"/>
  <c r="G725" i="2"/>
  <c r="H725" i="2"/>
  <c r="G726" i="2"/>
  <c r="H726" i="2"/>
  <c r="G727" i="2"/>
  <c r="H727" i="2"/>
  <c r="G728" i="2"/>
  <c r="H728" i="2"/>
  <c r="G729" i="2"/>
  <c r="H729" i="2"/>
  <c r="G730" i="2"/>
  <c r="H730" i="2"/>
  <c r="G731" i="2"/>
  <c r="H731" i="2"/>
  <c r="G732" i="2"/>
  <c r="H732" i="2"/>
  <c r="G733" i="2"/>
  <c r="H733" i="2"/>
  <c r="G734" i="2"/>
  <c r="H734" i="2"/>
  <c r="G735" i="2"/>
  <c r="H735" i="2"/>
  <c r="G736" i="2"/>
  <c r="H736" i="2"/>
  <c r="G737" i="2"/>
  <c r="H737" i="2"/>
  <c r="G738" i="2"/>
  <c r="H738" i="2"/>
  <c r="G739" i="2"/>
  <c r="H739" i="2"/>
  <c r="G740" i="2"/>
  <c r="H740" i="2"/>
  <c r="G741" i="2"/>
  <c r="H741" i="2"/>
  <c r="G742" i="2"/>
  <c r="H742" i="2"/>
  <c r="G743" i="2"/>
  <c r="H743" i="2"/>
  <c r="G744" i="2"/>
  <c r="H744" i="2"/>
  <c r="G745" i="2"/>
  <c r="H745" i="2"/>
  <c r="G746" i="2"/>
  <c r="H746" i="2"/>
  <c r="G747" i="2"/>
  <c r="H747" i="2"/>
  <c r="G748" i="2"/>
  <c r="H748" i="2"/>
  <c r="G749" i="2"/>
  <c r="H749" i="2"/>
  <c r="G750" i="2"/>
  <c r="H750" i="2"/>
  <c r="G751" i="2"/>
  <c r="H751" i="2"/>
  <c r="G752" i="2"/>
  <c r="H752" i="2"/>
  <c r="G753" i="2"/>
  <c r="H753" i="2"/>
  <c r="G754" i="2"/>
  <c r="H754" i="2"/>
  <c r="G755" i="2"/>
  <c r="H755" i="2"/>
  <c r="G756" i="2"/>
  <c r="H756" i="2"/>
  <c r="G757" i="2"/>
  <c r="H757" i="2"/>
  <c r="G758" i="2"/>
  <c r="H758" i="2"/>
  <c r="G759" i="2"/>
  <c r="H759" i="2"/>
  <c r="G760" i="2"/>
  <c r="H760" i="2"/>
  <c r="G761" i="2"/>
  <c r="H761" i="2"/>
  <c r="G762" i="2"/>
  <c r="H762" i="2"/>
  <c r="G763" i="2"/>
  <c r="H763" i="2"/>
  <c r="G764" i="2"/>
  <c r="H764" i="2"/>
  <c r="G765" i="2"/>
  <c r="H765" i="2"/>
  <c r="G766" i="2"/>
  <c r="H766" i="2"/>
  <c r="G767" i="2"/>
  <c r="H767" i="2"/>
  <c r="G768" i="2"/>
  <c r="H768" i="2"/>
  <c r="G769" i="2"/>
  <c r="H769" i="2"/>
  <c r="G770" i="2"/>
  <c r="H770" i="2"/>
  <c r="G771" i="2"/>
  <c r="H771" i="2"/>
  <c r="G772" i="2"/>
  <c r="H772" i="2"/>
  <c r="G773" i="2"/>
  <c r="H773" i="2"/>
  <c r="G774" i="2"/>
  <c r="H774" i="2"/>
  <c r="G775" i="2"/>
  <c r="H775" i="2"/>
  <c r="G776" i="2"/>
  <c r="H776" i="2"/>
  <c r="G777" i="2"/>
  <c r="H777" i="2"/>
  <c r="G778" i="2"/>
  <c r="H778" i="2"/>
  <c r="G779" i="2"/>
  <c r="H779" i="2"/>
  <c r="G780" i="2"/>
  <c r="H780" i="2"/>
  <c r="G781" i="2"/>
  <c r="H781" i="2"/>
  <c r="G782" i="2"/>
  <c r="H782" i="2"/>
  <c r="G783" i="2"/>
  <c r="H783" i="2"/>
  <c r="G784" i="2"/>
  <c r="H784" i="2"/>
  <c r="G785" i="2"/>
  <c r="H785" i="2"/>
  <c r="G786" i="2"/>
  <c r="H786" i="2"/>
  <c r="G787" i="2"/>
  <c r="H787" i="2"/>
  <c r="G788" i="2"/>
  <c r="H788" i="2"/>
  <c r="G789" i="2"/>
  <c r="H789" i="2"/>
  <c r="G790" i="2"/>
  <c r="H790" i="2"/>
  <c r="G791" i="2"/>
  <c r="H791" i="2"/>
  <c r="G792" i="2"/>
  <c r="H792" i="2"/>
  <c r="G793" i="2"/>
  <c r="H793" i="2"/>
  <c r="G794" i="2"/>
  <c r="H794" i="2"/>
  <c r="G795" i="2"/>
  <c r="H795" i="2"/>
  <c r="G796" i="2"/>
  <c r="H796" i="2"/>
  <c r="G797" i="2"/>
  <c r="H797" i="2"/>
  <c r="G798" i="2"/>
  <c r="H798" i="2"/>
  <c r="G799" i="2"/>
  <c r="H799" i="2"/>
  <c r="G800" i="2"/>
  <c r="H800" i="2"/>
  <c r="G801" i="2"/>
  <c r="H801" i="2"/>
  <c r="G802" i="2"/>
  <c r="H802" i="2"/>
  <c r="G803" i="2"/>
  <c r="H803" i="2"/>
  <c r="G804" i="2"/>
  <c r="H804" i="2"/>
  <c r="G805" i="2"/>
  <c r="H805" i="2"/>
  <c r="G806" i="2"/>
  <c r="H806" i="2"/>
  <c r="G807" i="2"/>
  <c r="H807" i="2"/>
  <c r="G808" i="2"/>
  <c r="H808" i="2"/>
  <c r="G809" i="2"/>
  <c r="H809" i="2"/>
  <c r="G810" i="2"/>
  <c r="H810" i="2"/>
  <c r="G811" i="2"/>
  <c r="H811" i="2"/>
  <c r="G812" i="2"/>
  <c r="H812" i="2"/>
  <c r="G813" i="2"/>
  <c r="H813" i="2"/>
  <c r="G814" i="2"/>
  <c r="H814" i="2"/>
  <c r="G815" i="2"/>
  <c r="H815" i="2"/>
  <c r="G816" i="2"/>
  <c r="H816" i="2"/>
  <c r="G817" i="2"/>
  <c r="H817" i="2"/>
  <c r="G818" i="2"/>
  <c r="H818" i="2"/>
  <c r="G819" i="2"/>
  <c r="H819" i="2"/>
  <c r="G820" i="2"/>
  <c r="H820" i="2"/>
  <c r="G821" i="2"/>
  <c r="H821" i="2"/>
  <c r="G822" i="2"/>
  <c r="H822" i="2"/>
  <c r="G823" i="2"/>
  <c r="H823" i="2"/>
  <c r="G824" i="2"/>
  <c r="H824" i="2"/>
  <c r="G825" i="2"/>
  <c r="H825" i="2"/>
  <c r="G826" i="2"/>
  <c r="H826" i="2"/>
  <c r="G827" i="2"/>
  <c r="H827" i="2"/>
  <c r="G828" i="2"/>
  <c r="H828" i="2"/>
  <c r="G829" i="2"/>
  <c r="H829" i="2"/>
  <c r="G830" i="2"/>
  <c r="H830" i="2"/>
  <c r="G831" i="2"/>
  <c r="H831" i="2"/>
  <c r="G832" i="2"/>
  <c r="H832" i="2"/>
  <c r="G833" i="2"/>
  <c r="H833" i="2"/>
  <c r="G834" i="2"/>
  <c r="H834" i="2"/>
  <c r="G835" i="2"/>
  <c r="H835" i="2"/>
  <c r="G836" i="2"/>
  <c r="H836" i="2"/>
  <c r="G837" i="2"/>
  <c r="H837" i="2"/>
  <c r="G838" i="2"/>
  <c r="H838" i="2"/>
  <c r="G839" i="2"/>
  <c r="H839" i="2"/>
  <c r="G840" i="2"/>
  <c r="H840" i="2"/>
  <c r="G841" i="2"/>
  <c r="H841" i="2"/>
  <c r="G842" i="2"/>
  <c r="H842" i="2"/>
  <c r="G843" i="2"/>
  <c r="H843" i="2"/>
  <c r="G844" i="2"/>
  <c r="H844" i="2"/>
  <c r="G845" i="2"/>
  <c r="H845" i="2"/>
  <c r="G846" i="2"/>
  <c r="H846" i="2"/>
  <c r="G847" i="2"/>
  <c r="H847" i="2"/>
  <c r="G848" i="2"/>
  <c r="H848" i="2"/>
  <c r="G849" i="2"/>
  <c r="H849" i="2"/>
  <c r="G850" i="2"/>
  <c r="H850" i="2"/>
  <c r="G851" i="2"/>
  <c r="H851" i="2"/>
  <c r="G852" i="2"/>
  <c r="H852" i="2"/>
  <c r="G853" i="2"/>
  <c r="H853" i="2"/>
  <c r="G854" i="2"/>
  <c r="H854" i="2"/>
  <c r="G855" i="2"/>
  <c r="H855" i="2"/>
  <c r="G856" i="2"/>
  <c r="H856" i="2"/>
  <c r="G857" i="2"/>
  <c r="H857" i="2"/>
  <c r="G858" i="2"/>
  <c r="H858" i="2"/>
  <c r="G859" i="2"/>
  <c r="H859" i="2"/>
  <c r="G860" i="2"/>
  <c r="H860" i="2"/>
  <c r="G861" i="2"/>
  <c r="H861" i="2"/>
  <c r="G862" i="2"/>
  <c r="H862" i="2"/>
  <c r="G863" i="2"/>
  <c r="H863" i="2"/>
  <c r="G864" i="2"/>
  <c r="H864" i="2"/>
  <c r="G865" i="2"/>
  <c r="H865" i="2"/>
  <c r="G866" i="2"/>
  <c r="H866" i="2"/>
  <c r="G867" i="2"/>
  <c r="H867" i="2"/>
  <c r="G868" i="2"/>
  <c r="H868" i="2"/>
  <c r="G869" i="2"/>
  <c r="H869" i="2"/>
  <c r="G870" i="2"/>
  <c r="H870" i="2"/>
  <c r="G871" i="2"/>
  <c r="H871" i="2"/>
  <c r="G872" i="2"/>
  <c r="H872" i="2"/>
  <c r="G873" i="2"/>
  <c r="H873" i="2"/>
  <c r="G874" i="2"/>
  <c r="H874" i="2"/>
  <c r="G875" i="2"/>
  <c r="H875" i="2"/>
  <c r="G876" i="2"/>
  <c r="H876" i="2"/>
  <c r="G877" i="2"/>
  <c r="H877" i="2"/>
  <c r="G878" i="2"/>
  <c r="H878" i="2"/>
  <c r="G879" i="2"/>
  <c r="H879" i="2"/>
  <c r="G880" i="2"/>
  <c r="H880" i="2"/>
  <c r="G881" i="2"/>
  <c r="H881" i="2"/>
  <c r="G882" i="2"/>
  <c r="H882" i="2"/>
  <c r="G883" i="2"/>
  <c r="H883" i="2"/>
  <c r="G884" i="2"/>
  <c r="H884" i="2"/>
  <c r="G885" i="2"/>
  <c r="H885" i="2"/>
  <c r="G886" i="2"/>
  <c r="H886" i="2"/>
  <c r="G887" i="2"/>
  <c r="H887" i="2"/>
  <c r="G888" i="2"/>
  <c r="H888" i="2"/>
  <c r="G889" i="2"/>
  <c r="H889" i="2"/>
  <c r="G890" i="2"/>
  <c r="H890" i="2"/>
  <c r="G891" i="2"/>
  <c r="H891" i="2"/>
  <c r="G892" i="2"/>
  <c r="H892" i="2"/>
  <c r="G893" i="2"/>
  <c r="H893" i="2"/>
  <c r="G894" i="2"/>
  <c r="H894" i="2"/>
  <c r="G895" i="2"/>
  <c r="H895" i="2"/>
  <c r="G896" i="2"/>
  <c r="H896" i="2"/>
  <c r="G897" i="2"/>
  <c r="H897" i="2"/>
  <c r="G898" i="2"/>
  <c r="H898" i="2"/>
  <c r="G899" i="2"/>
  <c r="H899" i="2"/>
  <c r="G900" i="2"/>
  <c r="H900" i="2"/>
  <c r="G901" i="2"/>
  <c r="H901" i="2"/>
  <c r="G902" i="2"/>
  <c r="H902" i="2"/>
  <c r="G903" i="2"/>
  <c r="H903" i="2"/>
  <c r="G904" i="2"/>
  <c r="H904" i="2"/>
  <c r="G905" i="2"/>
  <c r="H905" i="2"/>
  <c r="G906" i="2"/>
  <c r="H906" i="2"/>
  <c r="G907" i="2"/>
  <c r="H907" i="2"/>
  <c r="G908" i="2"/>
  <c r="H908" i="2"/>
  <c r="G909" i="2"/>
  <c r="H909" i="2"/>
  <c r="G910" i="2"/>
  <c r="H910" i="2"/>
  <c r="G911" i="2"/>
  <c r="H911" i="2"/>
  <c r="G912" i="2"/>
  <c r="H912" i="2"/>
  <c r="G913" i="2"/>
  <c r="H913" i="2"/>
  <c r="G914" i="2"/>
  <c r="H914" i="2"/>
  <c r="G915" i="2"/>
  <c r="H915" i="2"/>
  <c r="G916" i="2"/>
  <c r="H916" i="2"/>
  <c r="G917" i="2"/>
  <c r="H917" i="2"/>
  <c r="G918" i="2"/>
  <c r="H918" i="2"/>
  <c r="G919" i="2"/>
  <c r="H919" i="2"/>
  <c r="G920" i="2"/>
  <c r="H920" i="2"/>
  <c r="G921" i="2"/>
  <c r="H921" i="2"/>
  <c r="G922" i="2"/>
  <c r="H922" i="2"/>
  <c r="G923" i="2"/>
  <c r="H923" i="2"/>
  <c r="G924" i="2"/>
  <c r="H924" i="2"/>
  <c r="G925" i="2"/>
  <c r="H925" i="2"/>
  <c r="G926" i="2"/>
  <c r="H926" i="2"/>
  <c r="G927" i="2"/>
  <c r="H927" i="2"/>
  <c r="G928" i="2"/>
  <c r="H928" i="2"/>
  <c r="G929" i="2"/>
  <c r="H929" i="2"/>
  <c r="G930" i="2"/>
  <c r="H930" i="2"/>
  <c r="G931" i="2"/>
  <c r="H931" i="2"/>
  <c r="G932" i="2"/>
  <c r="H932" i="2"/>
  <c r="G933" i="2"/>
  <c r="H933" i="2"/>
  <c r="G934" i="2"/>
  <c r="H934" i="2"/>
  <c r="G935" i="2"/>
  <c r="H935" i="2"/>
  <c r="G936" i="2"/>
  <c r="H936" i="2"/>
  <c r="G937" i="2"/>
  <c r="H937" i="2"/>
  <c r="G938" i="2"/>
  <c r="H938" i="2"/>
  <c r="G939" i="2"/>
  <c r="H939" i="2"/>
  <c r="G940" i="2"/>
  <c r="H940" i="2"/>
  <c r="G941" i="2"/>
  <c r="H941" i="2"/>
  <c r="G942" i="2"/>
  <c r="H942" i="2"/>
  <c r="G943" i="2"/>
  <c r="H943" i="2"/>
  <c r="G944" i="2"/>
  <c r="H944" i="2"/>
  <c r="G945" i="2"/>
  <c r="H945" i="2"/>
  <c r="G946" i="2"/>
  <c r="H946" i="2"/>
  <c r="G947" i="2"/>
  <c r="H947" i="2"/>
  <c r="G948" i="2"/>
  <c r="H948" i="2"/>
  <c r="G949" i="2"/>
  <c r="H949" i="2"/>
  <c r="G950" i="2"/>
  <c r="H950" i="2"/>
  <c r="G951" i="2"/>
  <c r="H951" i="2"/>
  <c r="G952" i="2"/>
  <c r="H952" i="2"/>
  <c r="G953" i="2"/>
  <c r="H953" i="2"/>
  <c r="G954" i="2"/>
  <c r="H954" i="2"/>
  <c r="G955" i="2"/>
  <c r="H955" i="2"/>
  <c r="G956" i="2"/>
  <c r="H956" i="2"/>
  <c r="G957" i="2"/>
  <c r="H957" i="2"/>
  <c r="G958" i="2"/>
  <c r="H958" i="2"/>
  <c r="G959" i="2"/>
  <c r="H959" i="2"/>
  <c r="G960" i="2"/>
  <c r="H960" i="2"/>
  <c r="G961" i="2"/>
  <c r="H961" i="2"/>
  <c r="G962" i="2"/>
  <c r="H962" i="2"/>
  <c r="G963" i="2"/>
  <c r="H963" i="2"/>
  <c r="G964" i="2"/>
  <c r="H964" i="2"/>
  <c r="G965" i="2"/>
  <c r="H965" i="2"/>
  <c r="G966" i="2"/>
  <c r="H966" i="2"/>
  <c r="G967" i="2"/>
  <c r="H967" i="2"/>
  <c r="G968" i="2"/>
  <c r="H968" i="2"/>
  <c r="G969" i="2"/>
  <c r="H969" i="2"/>
  <c r="G970" i="2"/>
  <c r="H970" i="2"/>
  <c r="G971" i="2"/>
  <c r="H971" i="2"/>
  <c r="G972" i="2"/>
  <c r="H972" i="2"/>
  <c r="G973" i="2"/>
  <c r="H973" i="2"/>
  <c r="G974" i="2"/>
  <c r="H974" i="2"/>
  <c r="G975" i="2"/>
  <c r="H975" i="2"/>
  <c r="G976" i="2"/>
  <c r="H976" i="2"/>
  <c r="G977" i="2"/>
  <c r="H977" i="2"/>
  <c r="G978" i="2"/>
  <c r="H978" i="2"/>
  <c r="G979" i="2"/>
  <c r="H979" i="2"/>
  <c r="G980" i="2"/>
  <c r="H980" i="2"/>
  <c r="G981" i="2"/>
  <c r="H981" i="2"/>
  <c r="G982" i="2"/>
  <c r="H982" i="2"/>
  <c r="G983" i="2"/>
  <c r="H983" i="2"/>
  <c r="G984" i="2"/>
  <c r="H984" i="2"/>
  <c r="G985" i="2"/>
  <c r="H985" i="2"/>
  <c r="G986" i="2"/>
  <c r="H986" i="2"/>
  <c r="G987" i="2"/>
  <c r="H987" i="2"/>
  <c r="G988" i="2"/>
  <c r="H988" i="2"/>
  <c r="G989" i="2"/>
  <c r="H989" i="2"/>
  <c r="G990" i="2"/>
  <c r="H990" i="2"/>
  <c r="G991" i="2"/>
  <c r="H991" i="2"/>
  <c r="G992" i="2"/>
  <c r="H992" i="2"/>
  <c r="G993" i="2"/>
  <c r="H993" i="2"/>
  <c r="G994" i="2"/>
  <c r="H994" i="2"/>
  <c r="G995" i="2"/>
  <c r="H995" i="2"/>
  <c r="G996" i="2"/>
  <c r="H996" i="2"/>
  <c r="G997" i="2"/>
  <c r="H997" i="2"/>
  <c r="G998" i="2"/>
  <c r="H998" i="2"/>
  <c r="G999" i="2"/>
  <c r="H999" i="2"/>
  <c r="G1000" i="2"/>
  <c r="H1000" i="2"/>
  <c r="G1001" i="2"/>
  <c r="H1001" i="2"/>
  <c r="G1002" i="2"/>
  <c r="H1002" i="2"/>
  <c r="G1003" i="2"/>
  <c r="H1003" i="2"/>
  <c r="G1004" i="2"/>
  <c r="H1004" i="2"/>
  <c r="G1005" i="2"/>
  <c r="H1005" i="2"/>
  <c r="G1006" i="2"/>
  <c r="H1006" i="2"/>
  <c r="G1007" i="2"/>
  <c r="H1007" i="2"/>
  <c r="G1008" i="2"/>
  <c r="H1008" i="2"/>
  <c r="G1009" i="2"/>
  <c r="H1009" i="2"/>
  <c r="G1010" i="2"/>
  <c r="H1010" i="2"/>
  <c r="G1011" i="2"/>
  <c r="H1011" i="2"/>
  <c r="G1012" i="2"/>
  <c r="H1012" i="2"/>
  <c r="G1013" i="2"/>
  <c r="H1013" i="2"/>
  <c r="G1014" i="2"/>
  <c r="H1014" i="2"/>
  <c r="G1015" i="2"/>
  <c r="H1015" i="2"/>
  <c r="G1016" i="2"/>
  <c r="H1016" i="2"/>
  <c r="G1017" i="2"/>
  <c r="H1017" i="2"/>
  <c r="G1018" i="2"/>
  <c r="H1018" i="2"/>
  <c r="G1019" i="2"/>
  <c r="H1019" i="2"/>
  <c r="G1020" i="2"/>
  <c r="H1020" i="2"/>
  <c r="G1021" i="2"/>
  <c r="H1021" i="2"/>
  <c r="G1022" i="2"/>
  <c r="H1022" i="2"/>
  <c r="G1023" i="2"/>
  <c r="H1023" i="2"/>
  <c r="G1024" i="2"/>
  <c r="H1024" i="2"/>
  <c r="G1025" i="2"/>
  <c r="H1025" i="2"/>
  <c r="G1026" i="2"/>
  <c r="H1026" i="2"/>
  <c r="G1027" i="2"/>
  <c r="H1027" i="2"/>
  <c r="G1028" i="2"/>
  <c r="H1028" i="2"/>
  <c r="G1029" i="2"/>
  <c r="H1029" i="2"/>
  <c r="G1030" i="2"/>
  <c r="H1030" i="2"/>
  <c r="G1031" i="2"/>
  <c r="H1031" i="2"/>
  <c r="G1032" i="2"/>
  <c r="H1032" i="2"/>
  <c r="G1033" i="2"/>
  <c r="H1033" i="2"/>
  <c r="G1034" i="2"/>
  <c r="H1034" i="2"/>
  <c r="G1035" i="2"/>
  <c r="H1035" i="2"/>
  <c r="G1036" i="2"/>
  <c r="H1036" i="2"/>
  <c r="G1037" i="2"/>
  <c r="H1037" i="2"/>
  <c r="G1038" i="2"/>
  <c r="H1038" i="2"/>
  <c r="G1039" i="2"/>
  <c r="H1039" i="2"/>
  <c r="G1040" i="2"/>
  <c r="H1040" i="2"/>
  <c r="G1041" i="2"/>
  <c r="H1041" i="2"/>
  <c r="G1042" i="2"/>
  <c r="H1042" i="2"/>
  <c r="G1043" i="2"/>
  <c r="H1043" i="2"/>
  <c r="G1044" i="2"/>
  <c r="H1044" i="2"/>
  <c r="G1045" i="2"/>
  <c r="H1045" i="2"/>
  <c r="G1046" i="2"/>
  <c r="H1046" i="2"/>
  <c r="G1047" i="2"/>
  <c r="H1047" i="2"/>
  <c r="G1048" i="2"/>
  <c r="H1048" i="2"/>
  <c r="G1049" i="2"/>
  <c r="H1049" i="2"/>
  <c r="G1050" i="2"/>
  <c r="H1050" i="2"/>
  <c r="G1051" i="2"/>
  <c r="H1051" i="2"/>
  <c r="G1052" i="2"/>
  <c r="H1052" i="2"/>
  <c r="G1053" i="2"/>
  <c r="H1053" i="2"/>
  <c r="G1054" i="2"/>
  <c r="H1054" i="2"/>
  <c r="G1055" i="2"/>
  <c r="H1055" i="2"/>
  <c r="G1056" i="2"/>
  <c r="H1056" i="2"/>
  <c r="G1057" i="2"/>
  <c r="H1057" i="2"/>
  <c r="G1058" i="2"/>
  <c r="H1058" i="2"/>
  <c r="G1059" i="2"/>
  <c r="H1059" i="2"/>
  <c r="G1060" i="2"/>
  <c r="H1060" i="2"/>
  <c r="G1061" i="2"/>
  <c r="H1061" i="2"/>
  <c r="G1062" i="2"/>
  <c r="H1062" i="2"/>
  <c r="G1063" i="2"/>
  <c r="H1063" i="2"/>
  <c r="G1064" i="2"/>
  <c r="H1064" i="2"/>
  <c r="G1065" i="2"/>
  <c r="H1065" i="2"/>
  <c r="G1066" i="2"/>
  <c r="H1066" i="2"/>
  <c r="G1067" i="2"/>
  <c r="H1067" i="2"/>
  <c r="G1068" i="2"/>
  <c r="H1068" i="2"/>
  <c r="G1069" i="2"/>
  <c r="H1069" i="2"/>
  <c r="G1070" i="2"/>
  <c r="H1070" i="2"/>
  <c r="G1071" i="2"/>
  <c r="H1071" i="2"/>
  <c r="G1072" i="2"/>
  <c r="H1072" i="2"/>
  <c r="G1073" i="2"/>
  <c r="H1073" i="2"/>
  <c r="G1074" i="2"/>
  <c r="H1074" i="2"/>
  <c r="G1075" i="2"/>
  <c r="H1075" i="2"/>
  <c r="G1076" i="2"/>
  <c r="H1076" i="2"/>
  <c r="G1077" i="2"/>
  <c r="H1077" i="2"/>
  <c r="G1078" i="2"/>
  <c r="H1078" i="2"/>
  <c r="G1079" i="2"/>
  <c r="H1079" i="2"/>
  <c r="G1080" i="2"/>
  <c r="H1080" i="2"/>
  <c r="G1081" i="2"/>
  <c r="H1081" i="2"/>
  <c r="G1082" i="2"/>
  <c r="H1082" i="2"/>
  <c r="G1083" i="2"/>
  <c r="H1083" i="2"/>
  <c r="G1084" i="2"/>
  <c r="H1084" i="2"/>
  <c r="G1085" i="2"/>
  <c r="H1085" i="2"/>
  <c r="G1086" i="2"/>
  <c r="H1086" i="2"/>
  <c r="G1087" i="2"/>
  <c r="H1087" i="2"/>
  <c r="G1088" i="2"/>
  <c r="H1088" i="2"/>
  <c r="G1089" i="2"/>
  <c r="H1089" i="2"/>
  <c r="G1090" i="2"/>
  <c r="H1090" i="2"/>
  <c r="G1091" i="2"/>
  <c r="H1091" i="2"/>
  <c r="G1092" i="2"/>
  <c r="H1092" i="2"/>
  <c r="G1093" i="2"/>
  <c r="H1093" i="2"/>
  <c r="G1094" i="2"/>
  <c r="H1094" i="2"/>
  <c r="G1095" i="2"/>
  <c r="H1095" i="2"/>
  <c r="G1096" i="2"/>
  <c r="H1096" i="2"/>
  <c r="G1097" i="2"/>
  <c r="H1097" i="2"/>
  <c r="G1098" i="2"/>
  <c r="H1098" i="2"/>
  <c r="G1099" i="2"/>
  <c r="H1099" i="2"/>
  <c r="G1100" i="2"/>
  <c r="H1100" i="2"/>
  <c r="G1101" i="2"/>
  <c r="H1101" i="2"/>
  <c r="G1102" i="2"/>
  <c r="H1102" i="2"/>
  <c r="G1103" i="2"/>
  <c r="H1103" i="2"/>
  <c r="G1104" i="2"/>
  <c r="H1104" i="2"/>
  <c r="G1105" i="2"/>
  <c r="H1105" i="2"/>
  <c r="G1106" i="2"/>
  <c r="H1106" i="2"/>
  <c r="G1107" i="2"/>
  <c r="H1107" i="2"/>
  <c r="G1108" i="2"/>
  <c r="H1108" i="2"/>
  <c r="G1109" i="2"/>
  <c r="H1109" i="2"/>
  <c r="G1110" i="2"/>
  <c r="H1110" i="2"/>
  <c r="G1111" i="2"/>
  <c r="H1111" i="2"/>
  <c r="G1112" i="2"/>
  <c r="H1112" i="2"/>
  <c r="G1113" i="2"/>
  <c r="H1113" i="2"/>
  <c r="G1114" i="2"/>
  <c r="H1114" i="2"/>
  <c r="G1115" i="2"/>
  <c r="H1115" i="2"/>
  <c r="G1116" i="2"/>
  <c r="H1116" i="2"/>
  <c r="G1117" i="2"/>
  <c r="H1117" i="2"/>
  <c r="G1118" i="2"/>
  <c r="H1118" i="2"/>
  <c r="G1119" i="2"/>
  <c r="H1119" i="2"/>
  <c r="G1120" i="2"/>
  <c r="H1120" i="2"/>
  <c r="G1121" i="2"/>
  <c r="H1121" i="2"/>
  <c r="G1122" i="2"/>
  <c r="H1122" i="2"/>
  <c r="G1123" i="2"/>
  <c r="H1123" i="2"/>
  <c r="G1124" i="2"/>
  <c r="H1124" i="2"/>
  <c r="G1125" i="2"/>
  <c r="H1125" i="2"/>
  <c r="G1126" i="2"/>
  <c r="H1126" i="2"/>
  <c r="G1127" i="2"/>
  <c r="H1127" i="2"/>
  <c r="G1128" i="2"/>
  <c r="H1128" i="2"/>
  <c r="G1129" i="2"/>
  <c r="H1129" i="2"/>
  <c r="G1130" i="2"/>
  <c r="H1130" i="2"/>
  <c r="G1131" i="2"/>
  <c r="H1131" i="2"/>
  <c r="G1132" i="2"/>
  <c r="H1132" i="2"/>
  <c r="G1133" i="2"/>
  <c r="H1133" i="2"/>
  <c r="G1134" i="2"/>
  <c r="H1134" i="2"/>
  <c r="G1135" i="2"/>
  <c r="H1135" i="2"/>
  <c r="G1136" i="2"/>
  <c r="H1136" i="2"/>
  <c r="G1137" i="2"/>
  <c r="H1137" i="2"/>
  <c r="G1138" i="2"/>
  <c r="H1138" i="2"/>
  <c r="G1139" i="2"/>
  <c r="H1139" i="2"/>
  <c r="G1140" i="2"/>
  <c r="H1140" i="2"/>
  <c r="G1141" i="2"/>
  <c r="H1141" i="2"/>
  <c r="G1142" i="2"/>
  <c r="H1142" i="2"/>
  <c r="G1143" i="2"/>
  <c r="H1143" i="2"/>
  <c r="G1144" i="2"/>
  <c r="H1144" i="2"/>
  <c r="G1145" i="2"/>
  <c r="H1145" i="2"/>
  <c r="G1146" i="2"/>
  <c r="H1146" i="2"/>
  <c r="G1147" i="2"/>
  <c r="H1147" i="2"/>
  <c r="G1148" i="2"/>
  <c r="H1148" i="2"/>
  <c r="G1149" i="2"/>
  <c r="H1149" i="2"/>
  <c r="G1150" i="2"/>
  <c r="H1150" i="2"/>
  <c r="G1151" i="2"/>
  <c r="H1151" i="2"/>
  <c r="G1152" i="2"/>
  <c r="H1152" i="2"/>
  <c r="G1153" i="2"/>
  <c r="H1153" i="2"/>
  <c r="G1154" i="2"/>
  <c r="H1154" i="2"/>
  <c r="G1155" i="2"/>
  <c r="H1155" i="2"/>
  <c r="G1156" i="2"/>
  <c r="H1156" i="2"/>
  <c r="G1157" i="2"/>
  <c r="H1157" i="2"/>
  <c r="G1158" i="2"/>
  <c r="H1158" i="2"/>
  <c r="G1159" i="2"/>
  <c r="H1159" i="2"/>
  <c r="G1160" i="2"/>
  <c r="H1160" i="2"/>
  <c r="G1161" i="2"/>
  <c r="H1161" i="2"/>
  <c r="G1162" i="2"/>
  <c r="H1162" i="2"/>
  <c r="G1163" i="2"/>
  <c r="H1163" i="2"/>
  <c r="G1164" i="2"/>
  <c r="H1164" i="2"/>
  <c r="G1165" i="2"/>
  <c r="H1165" i="2"/>
  <c r="G1166" i="2"/>
  <c r="H1166" i="2"/>
  <c r="G1167" i="2"/>
  <c r="H1167" i="2"/>
  <c r="G1168" i="2"/>
  <c r="H1168" i="2"/>
  <c r="G1169" i="2"/>
  <c r="H1169" i="2"/>
  <c r="G1170" i="2"/>
  <c r="H1170" i="2"/>
  <c r="G1171" i="2"/>
  <c r="H1171" i="2"/>
  <c r="G1172" i="2"/>
  <c r="H1172" i="2"/>
  <c r="G1173" i="2"/>
  <c r="H1173" i="2"/>
  <c r="G1174" i="2"/>
  <c r="H1174" i="2"/>
  <c r="G1175" i="2"/>
  <c r="H1175" i="2"/>
  <c r="G1176" i="2"/>
  <c r="H1176" i="2"/>
  <c r="G1177" i="2"/>
  <c r="H1177" i="2"/>
  <c r="G1178" i="2"/>
  <c r="H1178" i="2"/>
  <c r="G1179" i="2"/>
  <c r="H1179" i="2"/>
  <c r="G1180" i="2"/>
  <c r="H1180" i="2"/>
  <c r="G1181" i="2"/>
  <c r="H1181" i="2"/>
  <c r="G1182" i="2"/>
  <c r="H1182" i="2"/>
  <c r="G1183" i="2"/>
  <c r="H1183" i="2"/>
  <c r="G1184" i="2"/>
  <c r="H1184" i="2"/>
  <c r="G1185" i="2"/>
  <c r="H1185" i="2"/>
  <c r="G1186" i="2"/>
  <c r="H1186" i="2"/>
  <c r="G1187" i="2"/>
  <c r="H1187" i="2"/>
  <c r="G1188" i="2"/>
  <c r="H1188" i="2"/>
  <c r="G1189" i="2"/>
  <c r="H1189" i="2"/>
  <c r="G1190" i="2"/>
  <c r="H1190" i="2"/>
  <c r="G1191" i="2"/>
  <c r="H1191" i="2"/>
  <c r="G1192" i="2"/>
  <c r="H1192" i="2"/>
  <c r="G1193" i="2"/>
  <c r="H1193" i="2"/>
  <c r="G1194" i="2"/>
  <c r="H1194" i="2"/>
  <c r="G1195" i="2"/>
  <c r="H1195" i="2"/>
  <c r="G1196" i="2"/>
  <c r="H1196" i="2"/>
  <c r="G1197" i="2"/>
  <c r="H1197" i="2"/>
  <c r="G1198" i="2"/>
  <c r="H1198" i="2"/>
  <c r="G1199" i="2"/>
  <c r="H1199" i="2"/>
  <c r="G1200" i="2"/>
  <c r="H1200" i="2"/>
  <c r="G1201" i="2"/>
  <c r="H1201" i="2"/>
  <c r="G1202" i="2"/>
  <c r="H1202" i="2"/>
  <c r="G1203" i="2"/>
  <c r="H1203" i="2"/>
  <c r="G1204" i="2"/>
  <c r="H1204" i="2"/>
  <c r="G1205" i="2"/>
  <c r="H1205" i="2"/>
  <c r="G1206" i="2"/>
  <c r="H1206" i="2"/>
  <c r="G1207" i="2"/>
  <c r="H1207" i="2"/>
  <c r="G1208" i="2"/>
  <c r="H1208" i="2"/>
  <c r="G1209" i="2"/>
  <c r="H1209" i="2"/>
  <c r="G1210" i="2"/>
  <c r="H1210" i="2"/>
  <c r="G1211" i="2"/>
  <c r="H1211" i="2"/>
  <c r="G1212" i="2"/>
  <c r="H1212" i="2"/>
  <c r="G1213" i="2"/>
  <c r="H1213" i="2"/>
  <c r="G1214" i="2"/>
  <c r="H1214" i="2"/>
  <c r="G1215" i="2"/>
  <c r="H1215" i="2"/>
  <c r="G1216" i="2"/>
  <c r="H1216" i="2"/>
  <c r="G1217" i="2"/>
  <c r="H1217" i="2"/>
  <c r="G1218" i="2"/>
  <c r="H1218" i="2"/>
  <c r="G1219" i="2"/>
  <c r="H1219" i="2"/>
  <c r="G1220" i="2"/>
  <c r="H1220" i="2"/>
  <c r="G1221" i="2"/>
  <c r="H1221" i="2"/>
  <c r="G1222" i="2"/>
  <c r="H1222" i="2"/>
  <c r="G1223" i="2"/>
  <c r="H1223" i="2"/>
  <c r="G1224" i="2"/>
  <c r="H1224" i="2"/>
  <c r="G1225" i="2"/>
  <c r="H1225" i="2"/>
  <c r="G1226" i="2"/>
  <c r="H1226" i="2"/>
  <c r="G1227" i="2"/>
  <c r="H1227" i="2"/>
  <c r="G1228" i="2"/>
  <c r="H1228" i="2"/>
  <c r="G1229" i="2"/>
  <c r="H1229" i="2"/>
  <c r="G1230" i="2"/>
  <c r="H1230" i="2"/>
  <c r="G1231" i="2"/>
  <c r="H1231" i="2"/>
  <c r="G1232" i="2"/>
  <c r="H1232" i="2"/>
  <c r="G1233" i="2"/>
  <c r="H1233" i="2"/>
  <c r="G1234" i="2"/>
  <c r="H1234" i="2"/>
  <c r="G1235" i="2"/>
  <c r="H1235" i="2"/>
  <c r="G1236" i="2"/>
  <c r="H1236" i="2"/>
  <c r="G1237" i="2"/>
  <c r="H1237" i="2"/>
  <c r="G1238" i="2"/>
  <c r="H1238" i="2"/>
  <c r="G1239" i="2"/>
  <c r="H1239" i="2"/>
  <c r="G1240" i="2"/>
  <c r="H1240" i="2"/>
  <c r="G1241" i="2"/>
  <c r="H1241" i="2"/>
  <c r="G1242" i="2"/>
  <c r="H1242" i="2"/>
  <c r="G1243" i="2"/>
  <c r="H1243" i="2"/>
  <c r="G1244" i="2"/>
  <c r="H1244" i="2"/>
  <c r="G1245" i="2"/>
  <c r="H1245" i="2"/>
  <c r="G1246" i="2"/>
  <c r="H1246" i="2"/>
  <c r="G1247" i="2"/>
  <c r="H1247" i="2"/>
  <c r="G1248" i="2"/>
  <c r="H1248" i="2"/>
  <c r="G1249" i="2"/>
  <c r="H1249" i="2"/>
  <c r="G1250" i="2"/>
  <c r="H1250" i="2"/>
  <c r="G1251" i="2"/>
  <c r="H1251" i="2"/>
  <c r="G1252" i="2"/>
  <c r="H1252" i="2"/>
  <c r="G1253" i="2"/>
  <c r="H1253" i="2"/>
  <c r="G1254" i="2"/>
  <c r="H1254" i="2"/>
  <c r="G1255" i="2"/>
  <c r="H1255" i="2"/>
  <c r="G1256" i="2"/>
  <c r="H1256" i="2"/>
  <c r="G1257" i="2"/>
  <c r="H1257" i="2"/>
  <c r="G1258" i="2"/>
  <c r="H1258" i="2"/>
  <c r="G1259" i="2"/>
  <c r="H1259" i="2"/>
  <c r="G1260" i="2"/>
  <c r="H1260" i="2"/>
  <c r="G1261" i="2"/>
  <c r="H1261" i="2"/>
  <c r="G1262" i="2"/>
  <c r="H1262" i="2"/>
  <c r="G1263" i="2"/>
  <c r="H1263" i="2"/>
  <c r="G1264" i="2"/>
  <c r="H1264" i="2"/>
  <c r="G1265" i="2"/>
  <c r="H1265" i="2"/>
  <c r="G1266" i="2"/>
  <c r="H1266" i="2"/>
  <c r="G1267" i="2"/>
  <c r="H1267" i="2"/>
  <c r="G1268" i="2"/>
  <c r="H1268" i="2"/>
  <c r="G1269" i="2"/>
  <c r="H1269" i="2"/>
  <c r="G1270" i="2"/>
  <c r="H1270" i="2"/>
  <c r="G1271" i="2"/>
  <c r="H1271" i="2"/>
  <c r="G1272" i="2"/>
  <c r="H1272" i="2"/>
  <c r="G1273" i="2"/>
  <c r="H1273" i="2"/>
  <c r="G1274" i="2"/>
  <c r="H1274" i="2"/>
  <c r="G1275" i="2"/>
  <c r="H1275" i="2"/>
  <c r="G1276" i="2"/>
  <c r="H1276" i="2"/>
  <c r="G1277" i="2"/>
  <c r="H1277" i="2"/>
  <c r="G1278" i="2"/>
  <c r="H1278" i="2"/>
  <c r="G1279" i="2"/>
  <c r="H1279" i="2"/>
  <c r="G1280" i="2"/>
  <c r="H1280" i="2"/>
  <c r="G1281" i="2"/>
  <c r="H1281" i="2"/>
  <c r="G1282" i="2"/>
  <c r="H1282" i="2"/>
  <c r="G1283" i="2"/>
  <c r="H1283" i="2"/>
  <c r="G1284" i="2"/>
  <c r="H1284" i="2"/>
  <c r="G1285" i="2"/>
  <c r="H1285" i="2"/>
  <c r="G1286" i="2"/>
  <c r="H1286" i="2"/>
  <c r="G1287" i="2"/>
  <c r="H1287" i="2"/>
  <c r="G1288" i="2"/>
  <c r="H1288" i="2"/>
  <c r="G1289" i="2"/>
  <c r="H1289" i="2"/>
  <c r="G1290" i="2"/>
  <c r="H1290" i="2"/>
  <c r="G1291" i="2"/>
  <c r="H1291" i="2"/>
  <c r="G1292" i="2"/>
  <c r="H1292" i="2"/>
  <c r="G1293" i="2"/>
  <c r="H1293" i="2"/>
  <c r="G1294" i="2"/>
  <c r="H1294" i="2"/>
  <c r="G1295" i="2"/>
  <c r="H1295" i="2"/>
  <c r="G1296" i="2"/>
  <c r="H1296" i="2"/>
  <c r="G1297" i="2"/>
  <c r="H1297" i="2"/>
  <c r="G1298" i="2"/>
  <c r="H1298" i="2"/>
  <c r="G1299" i="2"/>
  <c r="H1299" i="2"/>
  <c r="G1300" i="2"/>
  <c r="H1300" i="2"/>
  <c r="G1301" i="2"/>
  <c r="H1301" i="2"/>
  <c r="G1302" i="2"/>
  <c r="H1302" i="2"/>
  <c r="G1303" i="2"/>
  <c r="H1303" i="2"/>
  <c r="G1304" i="2"/>
  <c r="H1304" i="2"/>
  <c r="G1305" i="2"/>
  <c r="H1305" i="2"/>
  <c r="G1306" i="2"/>
  <c r="H1306" i="2"/>
  <c r="G1307" i="2"/>
  <c r="H1307" i="2"/>
  <c r="G1308" i="2"/>
  <c r="H1308" i="2"/>
  <c r="G1309" i="2"/>
  <c r="H1309" i="2"/>
  <c r="G1310" i="2"/>
  <c r="H1310" i="2"/>
  <c r="G1311" i="2"/>
  <c r="H1311" i="2"/>
  <c r="G1312" i="2"/>
  <c r="H1312" i="2"/>
  <c r="G1313" i="2"/>
  <c r="H1313" i="2"/>
  <c r="G1314" i="2"/>
  <c r="H1314" i="2"/>
  <c r="G1315" i="2"/>
  <c r="H1315" i="2"/>
  <c r="G1316" i="2"/>
  <c r="H1316" i="2"/>
  <c r="G1317" i="2"/>
  <c r="H1317" i="2"/>
  <c r="G1318" i="2"/>
  <c r="H1318" i="2"/>
  <c r="G1319" i="2"/>
  <c r="H1319" i="2"/>
  <c r="G1320" i="2"/>
  <c r="H1320" i="2"/>
  <c r="G1321" i="2"/>
  <c r="H1321" i="2"/>
  <c r="G1322" i="2"/>
  <c r="H1322" i="2"/>
  <c r="G1323" i="2"/>
  <c r="H1323" i="2"/>
  <c r="G1324" i="2"/>
  <c r="H1324" i="2"/>
  <c r="G1325" i="2"/>
  <c r="H1325" i="2"/>
  <c r="G1326" i="2"/>
  <c r="H1326" i="2"/>
  <c r="G1327" i="2"/>
  <c r="H1327" i="2"/>
  <c r="G1328" i="2"/>
  <c r="H1328" i="2"/>
  <c r="G1329" i="2"/>
  <c r="H1329" i="2"/>
  <c r="G1330" i="2"/>
  <c r="H1330" i="2"/>
  <c r="G1331" i="2"/>
  <c r="H1331" i="2"/>
  <c r="G1332" i="2"/>
  <c r="H1332" i="2"/>
  <c r="G1333" i="2"/>
  <c r="H1333" i="2"/>
  <c r="G1334" i="2"/>
  <c r="H1334" i="2"/>
  <c r="G1335" i="2"/>
  <c r="H1335" i="2"/>
  <c r="G1336" i="2"/>
  <c r="H1336" i="2"/>
  <c r="G1337" i="2"/>
  <c r="H1337" i="2"/>
  <c r="G1338" i="2"/>
  <c r="H1338" i="2"/>
  <c r="G1339" i="2"/>
  <c r="H1339" i="2"/>
  <c r="G1340" i="2"/>
  <c r="H1340" i="2"/>
  <c r="G1341" i="2"/>
  <c r="H1341" i="2"/>
  <c r="G1342" i="2"/>
  <c r="H1342" i="2"/>
  <c r="G1343" i="2"/>
  <c r="H1343" i="2"/>
  <c r="G1344" i="2"/>
  <c r="H1344" i="2"/>
  <c r="G1345" i="2"/>
  <c r="H1345" i="2"/>
  <c r="G1346" i="2"/>
  <c r="H1346" i="2"/>
  <c r="G1347" i="2"/>
  <c r="H1347" i="2"/>
  <c r="G1348" i="2"/>
  <c r="H1348" i="2"/>
  <c r="G1349" i="2"/>
  <c r="H1349" i="2"/>
  <c r="G1350" i="2"/>
  <c r="H1350" i="2"/>
  <c r="G1351" i="2"/>
  <c r="H1351" i="2"/>
  <c r="G1352" i="2"/>
  <c r="H1352" i="2"/>
  <c r="G1353" i="2"/>
  <c r="H1353" i="2"/>
  <c r="G1354" i="2"/>
  <c r="H1354" i="2"/>
  <c r="G1355" i="2"/>
  <c r="H1355" i="2"/>
  <c r="G1356" i="2"/>
  <c r="H1356" i="2"/>
  <c r="G1357" i="2"/>
  <c r="H1357" i="2"/>
  <c r="G1358" i="2"/>
  <c r="H1358" i="2"/>
  <c r="G1359" i="2"/>
  <c r="H1359" i="2"/>
  <c r="G1360" i="2"/>
  <c r="H1360" i="2"/>
  <c r="G1361" i="2"/>
  <c r="H1361" i="2"/>
  <c r="G1362" i="2"/>
  <c r="H1362" i="2"/>
  <c r="G1363" i="2"/>
  <c r="H1363" i="2"/>
  <c r="G1364" i="2"/>
  <c r="H1364" i="2"/>
  <c r="G1365" i="2"/>
  <c r="H1365" i="2"/>
  <c r="G1366" i="2"/>
  <c r="H1366" i="2"/>
  <c r="G1367" i="2"/>
  <c r="H1367" i="2"/>
  <c r="G1368" i="2"/>
  <c r="H1368" i="2"/>
  <c r="G1369" i="2"/>
  <c r="H1369" i="2"/>
  <c r="G1370" i="2"/>
  <c r="H1370" i="2"/>
  <c r="G1371" i="2"/>
  <c r="H1371" i="2"/>
  <c r="G1372" i="2"/>
  <c r="H1372" i="2"/>
  <c r="G1373" i="2"/>
  <c r="H1373" i="2"/>
  <c r="G1374" i="2"/>
  <c r="H1374" i="2"/>
  <c r="G1375" i="2"/>
  <c r="H1375" i="2"/>
  <c r="G1376" i="2"/>
  <c r="H1376" i="2"/>
  <c r="G1377" i="2"/>
  <c r="H1377" i="2"/>
  <c r="G1378" i="2"/>
  <c r="H1378" i="2"/>
  <c r="G1379" i="2"/>
  <c r="H1379" i="2"/>
  <c r="G1380" i="2"/>
  <c r="H1380" i="2"/>
  <c r="G1381" i="2"/>
  <c r="H1381" i="2"/>
  <c r="G1382" i="2"/>
  <c r="H1382" i="2"/>
  <c r="G1383" i="2"/>
  <c r="H1383" i="2"/>
  <c r="G1384" i="2"/>
  <c r="H1384" i="2"/>
  <c r="G1385" i="2"/>
  <c r="H1385" i="2"/>
  <c r="G1386" i="2"/>
  <c r="H1386" i="2"/>
  <c r="G1387" i="2"/>
  <c r="H1387" i="2"/>
  <c r="G1388" i="2"/>
  <c r="H1388" i="2"/>
  <c r="G1389" i="2"/>
  <c r="H1389" i="2"/>
  <c r="G1390" i="2"/>
  <c r="H1390" i="2"/>
  <c r="G1391" i="2"/>
  <c r="H1391" i="2"/>
  <c r="G1392" i="2"/>
  <c r="H1392" i="2"/>
  <c r="G1393" i="2"/>
  <c r="H1393" i="2"/>
  <c r="G1394" i="2"/>
  <c r="H1394" i="2"/>
  <c r="G1395" i="2"/>
  <c r="H1395" i="2"/>
  <c r="G1396" i="2"/>
  <c r="H1396" i="2"/>
  <c r="G1397" i="2"/>
  <c r="H1397" i="2"/>
  <c r="G1398" i="2"/>
  <c r="H1398" i="2"/>
  <c r="G1399" i="2"/>
  <c r="H1399" i="2"/>
  <c r="G1400" i="2"/>
  <c r="H1400" i="2"/>
  <c r="G1401" i="2"/>
  <c r="H1401" i="2"/>
  <c r="G1402" i="2"/>
  <c r="H1402" i="2"/>
  <c r="G1403" i="2"/>
  <c r="H1403" i="2"/>
  <c r="G1404" i="2"/>
  <c r="H1404" i="2"/>
  <c r="G1405" i="2"/>
  <c r="H1405" i="2"/>
  <c r="G1406" i="2"/>
  <c r="H1406" i="2"/>
  <c r="G1407" i="2"/>
  <c r="H1407" i="2"/>
  <c r="G1408" i="2"/>
  <c r="H1408" i="2"/>
  <c r="G1409" i="2"/>
  <c r="H1409" i="2"/>
  <c r="G1410" i="2"/>
  <c r="H1410" i="2"/>
  <c r="G1411" i="2"/>
  <c r="H1411" i="2"/>
  <c r="G1412" i="2"/>
  <c r="H1412" i="2"/>
  <c r="G1413" i="2"/>
  <c r="H1413" i="2"/>
  <c r="G1414" i="2"/>
  <c r="H1414" i="2"/>
  <c r="G1415" i="2"/>
  <c r="H1415" i="2"/>
  <c r="G1416" i="2"/>
  <c r="H1416" i="2"/>
  <c r="G1417" i="2"/>
  <c r="H1417" i="2"/>
  <c r="G1418" i="2"/>
  <c r="H1418" i="2"/>
  <c r="G1419" i="2"/>
  <c r="H1419" i="2"/>
  <c r="G1420" i="2"/>
  <c r="H1420" i="2"/>
  <c r="G1421" i="2"/>
  <c r="H1421" i="2"/>
  <c r="G1422" i="2"/>
  <c r="H1422" i="2"/>
  <c r="G1423" i="2"/>
  <c r="H1423" i="2"/>
  <c r="G1424" i="2"/>
  <c r="H1424" i="2"/>
  <c r="G1425" i="2"/>
  <c r="H1425" i="2"/>
  <c r="G1426" i="2"/>
  <c r="H1426" i="2"/>
  <c r="G1427" i="2"/>
  <c r="H1427" i="2"/>
  <c r="G1428" i="2"/>
  <c r="H1428" i="2"/>
  <c r="G1429" i="2"/>
  <c r="H1429" i="2"/>
  <c r="G1430" i="2"/>
  <c r="H1430" i="2"/>
  <c r="G1431" i="2"/>
  <c r="H1431" i="2"/>
  <c r="G1432" i="2"/>
  <c r="H1432" i="2"/>
  <c r="G1433" i="2"/>
  <c r="H1433" i="2"/>
  <c r="G1434" i="2"/>
  <c r="H1434" i="2"/>
  <c r="G1435" i="2"/>
  <c r="H1435" i="2"/>
  <c r="G1436" i="2"/>
  <c r="H1436" i="2"/>
  <c r="G1437" i="2"/>
  <c r="H1437" i="2"/>
  <c r="G1438" i="2"/>
  <c r="H1438" i="2"/>
  <c r="G1439" i="2"/>
  <c r="H1439" i="2"/>
  <c r="G1440" i="2"/>
  <c r="H1440" i="2"/>
  <c r="G1441" i="2"/>
  <c r="H1441" i="2"/>
  <c r="G1442" i="2"/>
  <c r="H1442" i="2"/>
  <c r="G1443" i="2"/>
  <c r="H1443" i="2"/>
  <c r="G1444" i="2"/>
  <c r="H1444" i="2"/>
  <c r="G1445" i="2"/>
  <c r="H1445" i="2"/>
  <c r="G1446" i="2"/>
  <c r="H1446" i="2"/>
  <c r="G1447" i="2"/>
  <c r="H1447" i="2"/>
  <c r="G1448" i="2"/>
  <c r="H1448" i="2"/>
  <c r="G1449" i="2"/>
  <c r="H1449" i="2"/>
  <c r="G1450" i="2"/>
  <c r="H1450" i="2"/>
  <c r="G1451" i="2"/>
  <c r="H1451" i="2"/>
  <c r="G1452" i="2"/>
  <c r="H1452" i="2"/>
  <c r="G1453" i="2"/>
  <c r="H1453" i="2"/>
  <c r="G1454" i="2"/>
  <c r="H1454" i="2"/>
  <c r="G1455" i="2"/>
  <c r="H1455" i="2"/>
  <c r="G1456" i="2"/>
  <c r="H1456" i="2"/>
  <c r="G1457" i="2"/>
  <c r="H1457" i="2"/>
  <c r="G1458" i="2"/>
  <c r="H1458" i="2"/>
  <c r="G1459" i="2"/>
  <c r="H1459" i="2"/>
  <c r="G1460" i="2"/>
  <c r="H1460" i="2"/>
  <c r="G1461" i="2"/>
  <c r="H1461" i="2"/>
  <c r="G1462" i="2"/>
  <c r="H1462" i="2"/>
  <c r="G1463" i="2"/>
  <c r="H1463" i="2"/>
  <c r="G1464" i="2"/>
  <c r="H1464" i="2"/>
  <c r="G1465" i="2"/>
  <c r="H1465" i="2"/>
  <c r="G1466" i="2"/>
  <c r="H1466" i="2"/>
  <c r="G1467" i="2"/>
  <c r="H1467" i="2"/>
  <c r="G1468" i="2"/>
  <c r="H1468" i="2"/>
  <c r="G1469" i="2"/>
  <c r="H1469" i="2"/>
  <c r="G1470" i="2"/>
  <c r="H1470" i="2"/>
  <c r="G1471" i="2"/>
  <c r="H1471" i="2"/>
  <c r="G1472" i="2"/>
  <c r="H1472" i="2"/>
  <c r="G1473" i="2"/>
  <c r="H1473" i="2"/>
  <c r="G1474" i="2"/>
  <c r="H1474" i="2"/>
  <c r="G1475" i="2"/>
  <c r="H1475" i="2"/>
  <c r="G1476" i="2"/>
  <c r="H1476" i="2"/>
  <c r="G1477" i="2"/>
  <c r="H1477" i="2"/>
  <c r="G1478" i="2"/>
  <c r="H1478" i="2"/>
  <c r="G1479" i="2"/>
  <c r="H1479" i="2"/>
  <c r="G1480" i="2"/>
  <c r="H1480" i="2"/>
  <c r="G1481" i="2"/>
  <c r="H1481" i="2"/>
  <c r="G1482" i="2"/>
  <c r="H1482" i="2"/>
  <c r="G1483" i="2"/>
  <c r="H1483" i="2"/>
  <c r="G1484" i="2"/>
  <c r="H1484" i="2"/>
  <c r="G1485" i="2"/>
  <c r="H1485" i="2"/>
  <c r="G1486" i="2"/>
  <c r="H1486" i="2"/>
  <c r="G1487" i="2"/>
  <c r="H1487" i="2"/>
  <c r="G1488" i="2"/>
  <c r="H1488" i="2"/>
  <c r="G1489" i="2"/>
  <c r="H1489" i="2"/>
  <c r="G1490" i="2"/>
  <c r="H1490" i="2"/>
  <c r="G1491" i="2"/>
  <c r="H1491" i="2"/>
  <c r="G1492" i="2"/>
  <c r="H1492" i="2"/>
  <c r="G1493" i="2"/>
  <c r="H1493" i="2"/>
  <c r="G1494" i="2"/>
  <c r="H1494" i="2"/>
  <c r="G1495" i="2"/>
  <c r="H1495" i="2"/>
  <c r="G1496" i="2"/>
  <c r="H1496" i="2"/>
  <c r="G1497" i="2"/>
  <c r="H1497" i="2"/>
  <c r="G1498" i="2"/>
  <c r="H1498" i="2"/>
  <c r="G1499" i="2"/>
  <c r="H1499" i="2"/>
  <c r="G1500" i="2"/>
  <c r="H1500" i="2"/>
  <c r="G1501" i="2"/>
  <c r="H1501" i="2"/>
  <c r="G1502" i="2"/>
  <c r="H1502" i="2"/>
  <c r="G1503" i="2"/>
  <c r="H1503" i="2"/>
  <c r="G1504" i="2"/>
  <c r="H1504" i="2"/>
  <c r="G1505" i="2"/>
  <c r="H1505" i="2"/>
  <c r="G1506" i="2"/>
  <c r="H1506" i="2"/>
  <c r="G1507" i="2"/>
  <c r="H1507" i="2"/>
  <c r="G1508" i="2"/>
  <c r="H1508" i="2"/>
  <c r="G1509" i="2"/>
  <c r="H1509" i="2"/>
  <c r="G1510" i="2"/>
  <c r="H1510" i="2"/>
  <c r="G1511" i="2"/>
  <c r="H1511" i="2"/>
  <c r="G1512" i="2"/>
  <c r="H1512" i="2"/>
  <c r="G1513" i="2"/>
  <c r="H1513" i="2"/>
  <c r="G1514" i="2"/>
  <c r="H1514" i="2"/>
  <c r="G1515" i="2"/>
  <c r="H1515" i="2"/>
  <c r="G1516" i="2"/>
  <c r="H1516" i="2"/>
  <c r="G1517" i="2"/>
  <c r="H1517" i="2"/>
  <c r="G1518" i="2"/>
  <c r="H1518" i="2"/>
  <c r="G1519" i="2"/>
  <c r="H1519" i="2"/>
  <c r="G1520" i="2"/>
  <c r="H1520" i="2"/>
  <c r="G1521" i="2"/>
  <c r="H1521" i="2"/>
  <c r="G1522" i="2"/>
  <c r="H1522" i="2"/>
  <c r="G1523" i="2"/>
  <c r="H1523" i="2"/>
  <c r="G1524" i="2"/>
  <c r="H1524" i="2"/>
  <c r="G1525" i="2"/>
  <c r="H1525" i="2"/>
  <c r="G1526" i="2"/>
  <c r="H1526" i="2"/>
  <c r="G1527" i="2"/>
  <c r="H1527" i="2"/>
  <c r="G1528" i="2"/>
  <c r="H1528" i="2"/>
  <c r="G1529" i="2"/>
  <c r="H1529" i="2"/>
  <c r="G1530" i="2"/>
  <c r="H1530" i="2"/>
  <c r="G1531" i="2"/>
  <c r="H1531" i="2"/>
  <c r="G1532" i="2"/>
  <c r="H1532" i="2"/>
  <c r="G1533" i="2"/>
  <c r="H1533" i="2"/>
  <c r="G1534" i="2"/>
  <c r="H1534" i="2"/>
  <c r="G1535" i="2"/>
  <c r="H1535" i="2"/>
  <c r="G1536" i="2"/>
  <c r="H1536" i="2"/>
  <c r="G1537" i="2"/>
  <c r="H1537" i="2"/>
  <c r="G1538" i="2"/>
  <c r="H1538" i="2"/>
  <c r="G1539" i="2"/>
  <c r="H1539" i="2"/>
  <c r="G1540" i="2"/>
  <c r="H1540" i="2"/>
  <c r="G1541" i="2"/>
  <c r="H1541" i="2"/>
  <c r="G1542" i="2"/>
  <c r="H1542" i="2"/>
  <c r="G1543" i="2"/>
  <c r="H1543" i="2"/>
  <c r="G1544" i="2"/>
  <c r="H1544" i="2"/>
  <c r="G1545" i="2"/>
  <c r="H1545" i="2"/>
  <c r="G1546" i="2"/>
  <c r="H1546" i="2"/>
  <c r="G1547" i="2"/>
  <c r="H1547" i="2"/>
  <c r="G1548" i="2"/>
  <c r="H1548" i="2"/>
  <c r="G1549" i="2"/>
  <c r="H1549" i="2"/>
  <c r="G1550" i="2"/>
  <c r="H1550" i="2"/>
  <c r="G1551" i="2"/>
  <c r="H1551" i="2"/>
  <c r="G1552" i="2"/>
  <c r="H1552" i="2"/>
  <c r="G1553" i="2"/>
  <c r="H1553" i="2"/>
  <c r="G1554" i="2"/>
  <c r="H1554" i="2"/>
  <c r="G1555" i="2"/>
  <c r="H1555" i="2"/>
  <c r="G1556" i="2"/>
  <c r="H1556" i="2"/>
  <c r="G1557" i="2"/>
  <c r="H1557" i="2"/>
  <c r="G1558" i="2"/>
  <c r="H1558" i="2"/>
  <c r="G1559" i="2"/>
  <c r="H1559" i="2"/>
  <c r="G1560" i="2"/>
  <c r="H1560" i="2"/>
  <c r="G1561" i="2"/>
  <c r="H1561" i="2"/>
  <c r="G1562" i="2"/>
  <c r="H1562" i="2"/>
  <c r="G1563" i="2"/>
  <c r="H1563" i="2"/>
  <c r="G1564" i="2"/>
  <c r="H1564" i="2"/>
  <c r="G1565" i="2"/>
  <c r="H1565" i="2"/>
  <c r="G1566" i="2"/>
  <c r="H1566" i="2"/>
  <c r="G1567" i="2"/>
  <c r="H1567" i="2"/>
  <c r="G1568" i="2"/>
  <c r="H1568" i="2"/>
  <c r="G1569" i="2"/>
  <c r="H1569" i="2"/>
  <c r="G1570" i="2"/>
  <c r="H1570" i="2"/>
  <c r="G1571" i="2"/>
  <c r="H1571" i="2"/>
  <c r="G1572" i="2"/>
  <c r="H1572" i="2"/>
  <c r="G1573" i="2"/>
  <c r="H1573" i="2"/>
  <c r="G1574" i="2"/>
  <c r="H1574" i="2"/>
  <c r="G1575" i="2"/>
  <c r="H1575" i="2"/>
  <c r="G1576" i="2"/>
  <c r="H1576" i="2"/>
  <c r="G1577" i="2"/>
  <c r="H1577" i="2"/>
  <c r="G1578" i="2"/>
  <c r="H1578" i="2"/>
  <c r="G1579" i="2"/>
  <c r="H1579" i="2"/>
  <c r="G1580" i="2"/>
  <c r="H1580" i="2"/>
  <c r="G1581" i="2"/>
  <c r="H1581" i="2"/>
  <c r="G1582" i="2"/>
  <c r="H1582" i="2"/>
  <c r="G1583" i="2"/>
  <c r="H1583" i="2"/>
  <c r="G1584" i="2"/>
  <c r="H1584" i="2"/>
  <c r="G1585" i="2"/>
  <c r="H1585" i="2"/>
  <c r="G1586" i="2"/>
  <c r="H1586" i="2"/>
  <c r="G1587" i="2"/>
  <c r="H1587" i="2"/>
  <c r="G1588" i="2"/>
  <c r="H1588" i="2"/>
  <c r="G1589" i="2"/>
  <c r="H1589" i="2"/>
  <c r="G1590" i="2"/>
  <c r="H1590" i="2"/>
  <c r="G1591" i="2"/>
  <c r="H1591" i="2"/>
  <c r="G1592" i="2"/>
  <c r="H1592" i="2"/>
  <c r="G1593" i="2"/>
  <c r="H1593" i="2"/>
  <c r="G1594" i="2"/>
  <c r="H1594" i="2"/>
  <c r="G1595" i="2"/>
  <c r="H1595" i="2"/>
  <c r="G1596" i="2"/>
  <c r="H1596" i="2"/>
  <c r="G1597" i="2"/>
  <c r="H1597" i="2"/>
  <c r="G1598" i="2"/>
  <c r="H1598" i="2"/>
  <c r="G1599" i="2"/>
  <c r="H1599" i="2"/>
  <c r="G1600" i="2"/>
  <c r="H1600" i="2"/>
  <c r="G1601" i="2"/>
  <c r="H1601" i="2"/>
  <c r="G1602" i="2"/>
  <c r="H1602" i="2"/>
  <c r="G1603" i="2"/>
  <c r="H1603" i="2"/>
  <c r="G1604" i="2"/>
  <c r="H1604" i="2"/>
  <c r="G1605" i="2"/>
  <c r="H1605" i="2"/>
  <c r="G1606" i="2"/>
  <c r="H1606" i="2"/>
  <c r="G1607" i="2"/>
  <c r="H1607" i="2"/>
  <c r="G1608" i="2"/>
  <c r="H1608" i="2"/>
  <c r="G1609" i="2"/>
  <c r="H1609" i="2"/>
  <c r="G1610" i="2"/>
  <c r="H1610" i="2"/>
  <c r="G1611" i="2"/>
  <c r="H1611" i="2"/>
  <c r="G1612" i="2"/>
  <c r="H1612" i="2"/>
  <c r="G1613" i="2"/>
  <c r="H1613" i="2"/>
  <c r="G1614" i="2"/>
  <c r="H1614" i="2"/>
  <c r="G1615" i="2"/>
  <c r="H1615" i="2"/>
  <c r="G1616" i="2"/>
  <c r="H1616" i="2"/>
  <c r="G1617" i="2"/>
  <c r="H1617" i="2"/>
  <c r="G1618" i="2"/>
  <c r="H1618" i="2"/>
  <c r="G1619" i="2"/>
  <c r="H1619" i="2"/>
  <c r="G1620" i="2"/>
  <c r="H1620" i="2"/>
  <c r="G1621" i="2"/>
  <c r="H1621" i="2"/>
  <c r="G1622" i="2"/>
  <c r="H1622" i="2"/>
  <c r="G1623" i="2"/>
  <c r="H1623" i="2"/>
  <c r="G1624" i="2"/>
  <c r="H1624" i="2"/>
  <c r="G1625" i="2"/>
  <c r="H1625" i="2"/>
  <c r="G1626" i="2"/>
  <c r="H1626" i="2"/>
  <c r="G1627" i="2"/>
  <c r="H1627" i="2"/>
  <c r="G1628" i="2"/>
  <c r="H1628" i="2"/>
  <c r="G1629" i="2"/>
  <c r="H1629" i="2"/>
  <c r="G1630" i="2"/>
  <c r="H1630" i="2"/>
  <c r="G1631" i="2"/>
  <c r="H1631" i="2"/>
  <c r="G1632" i="2"/>
  <c r="H1632" i="2"/>
  <c r="G1633" i="2"/>
  <c r="H1633" i="2"/>
  <c r="G1634" i="2"/>
  <c r="H1634" i="2"/>
  <c r="G1635" i="2"/>
  <c r="H1635" i="2"/>
  <c r="G1636" i="2"/>
  <c r="H1636" i="2"/>
  <c r="G1637" i="2"/>
  <c r="H1637" i="2"/>
  <c r="G1638" i="2"/>
  <c r="H1638" i="2"/>
  <c r="G1639" i="2"/>
  <c r="H1639" i="2"/>
  <c r="G1640" i="2"/>
  <c r="H1640" i="2"/>
  <c r="G1641" i="2"/>
  <c r="H1641" i="2"/>
  <c r="G1642" i="2"/>
  <c r="H1642" i="2"/>
  <c r="G1643" i="2"/>
  <c r="H1643" i="2"/>
  <c r="G1644" i="2"/>
  <c r="H1644" i="2"/>
  <c r="G1645" i="2"/>
  <c r="H1645" i="2"/>
  <c r="G1646" i="2"/>
  <c r="H1646" i="2"/>
  <c r="G1647" i="2"/>
  <c r="H1647" i="2"/>
  <c r="G1648" i="2"/>
  <c r="H1648" i="2"/>
  <c r="G1649" i="2"/>
  <c r="H1649" i="2"/>
  <c r="G1650" i="2"/>
  <c r="H1650" i="2"/>
  <c r="G1651" i="2"/>
  <c r="H1651" i="2"/>
  <c r="G1652" i="2"/>
  <c r="H1652" i="2"/>
  <c r="G1653" i="2"/>
  <c r="H1653" i="2"/>
  <c r="G1654" i="2"/>
  <c r="H1654" i="2"/>
  <c r="G1655" i="2"/>
  <c r="H1655" i="2"/>
  <c r="G1656" i="2"/>
  <c r="H1656" i="2"/>
  <c r="G1657" i="2"/>
  <c r="H1657" i="2"/>
  <c r="G1658" i="2"/>
  <c r="H1658" i="2"/>
  <c r="G1659" i="2"/>
  <c r="H1659" i="2"/>
  <c r="G1660" i="2"/>
  <c r="H1660" i="2"/>
  <c r="G1661" i="2"/>
  <c r="H1661" i="2"/>
  <c r="G1662" i="2"/>
  <c r="H1662" i="2"/>
  <c r="G1663" i="2"/>
  <c r="H1663" i="2"/>
  <c r="G1664" i="2"/>
  <c r="H1664" i="2"/>
  <c r="G1665" i="2"/>
  <c r="H1665" i="2"/>
  <c r="G1666" i="2"/>
  <c r="H1666" i="2"/>
  <c r="G1667" i="2"/>
  <c r="H1667" i="2"/>
  <c r="G1668" i="2"/>
  <c r="H1668" i="2"/>
  <c r="G1669" i="2"/>
  <c r="H1669" i="2"/>
  <c r="G1670" i="2"/>
  <c r="H1670" i="2"/>
  <c r="G1671" i="2"/>
  <c r="H1671" i="2"/>
  <c r="G1672" i="2"/>
  <c r="H1672" i="2"/>
  <c r="G1673" i="2"/>
  <c r="H1673" i="2"/>
  <c r="G1674" i="2"/>
  <c r="H1674" i="2"/>
  <c r="G1675" i="2"/>
  <c r="H1675" i="2"/>
  <c r="G1676" i="2"/>
  <c r="H1676" i="2"/>
  <c r="G1677" i="2"/>
  <c r="H1677" i="2"/>
  <c r="G1678" i="2"/>
  <c r="H1678" i="2"/>
  <c r="G1679" i="2"/>
  <c r="H1679" i="2"/>
  <c r="G1680" i="2"/>
  <c r="H1680" i="2"/>
  <c r="G1681" i="2"/>
  <c r="H1681" i="2"/>
  <c r="G1682" i="2"/>
  <c r="H1682" i="2"/>
  <c r="G1683" i="2"/>
  <c r="H1683" i="2"/>
  <c r="G1684" i="2"/>
  <c r="H1684" i="2"/>
  <c r="G1685" i="2"/>
  <c r="H1685" i="2"/>
  <c r="G1686" i="2"/>
  <c r="H1686" i="2"/>
  <c r="G1687" i="2"/>
  <c r="H1687" i="2"/>
  <c r="G1688" i="2"/>
  <c r="H1688" i="2"/>
  <c r="G1689" i="2"/>
  <c r="H1689" i="2"/>
  <c r="G1690" i="2"/>
  <c r="H1690" i="2"/>
  <c r="G1691" i="2"/>
  <c r="H1691" i="2"/>
  <c r="G1692" i="2"/>
  <c r="H1692" i="2"/>
  <c r="G1693" i="2"/>
  <c r="H1693" i="2"/>
  <c r="G1694" i="2"/>
  <c r="H1694" i="2"/>
  <c r="G1695" i="2"/>
  <c r="H1695" i="2"/>
  <c r="G1696" i="2"/>
  <c r="H1696" i="2"/>
  <c r="G1697" i="2"/>
  <c r="H1697" i="2"/>
  <c r="G1698" i="2"/>
  <c r="H1698" i="2"/>
  <c r="G1699" i="2"/>
  <c r="H1699" i="2"/>
  <c r="G1700" i="2"/>
  <c r="H1700" i="2"/>
  <c r="G1701" i="2"/>
  <c r="H1701" i="2"/>
  <c r="G1702" i="2"/>
  <c r="H1702" i="2"/>
  <c r="G1703" i="2"/>
  <c r="H1703" i="2"/>
  <c r="G1704" i="2"/>
  <c r="H1704" i="2"/>
  <c r="G1705" i="2"/>
  <c r="H1705" i="2"/>
  <c r="G1706" i="2"/>
  <c r="H1706" i="2"/>
  <c r="G1707" i="2"/>
  <c r="H1707" i="2"/>
  <c r="G1708" i="2"/>
  <c r="H1708" i="2"/>
  <c r="G1709" i="2"/>
  <c r="H1709" i="2"/>
  <c r="G1710" i="2"/>
  <c r="H1710" i="2"/>
  <c r="G1711" i="2"/>
  <c r="H1711" i="2"/>
  <c r="G1712" i="2"/>
  <c r="H1712" i="2"/>
  <c r="G1713" i="2"/>
  <c r="H1713" i="2"/>
  <c r="G1714" i="2"/>
  <c r="H1714" i="2"/>
  <c r="G1715" i="2"/>
  <c r="H1715" i="2"/>
  <c r="G1716" i="2"/>
  <c r="H1716" i="2"/>
  <c r="G1717" i="2"/>
  <c r="H1717" i="2"/>
  <c r="G1718" i="2"/>
  <c r="H1718" i="2"/>
  <c r="G1719" i="2"/>
  <c r="H1719" i="2"/>
  <c r="G1720" i="2"/>
  <c r="H1720" i="2"/>
  <c r="G1721" i="2"/>
  <c r="H1721" i="2"/>
  <c r="G1722" i="2"/>
  <c r="H1722" i="2"/>
  <c r="G1723" i="2"/>
  <c r="H1723" i="2"/>
  <c r="G1724" i="2"/>
  <c r="H1724" i="2"/>
  <c r="G1725" i="2"/>
  <c r="H1725" i="2"/>
  <c r="G1726" i="2"/>
  <c r="H1726" i="2"/>
  <c r="G1727" i="2"/>
  <c r="H1727" i="2"/>
  <c r="G1728" i="2"/>
  <c r="H1728" i="2"/>
  <c r="G1729" i="2"/>
  <c r="H1729" i="2"/>
  <c r="G1730" i="2"/>
  <c r="H1730" i="2"/>
  <c r="G1731" i="2"/>
  <c r="H1731" i="2"/>
  <c r="G1732" i="2"/>
  <c r="H1732" i="2"/>
  <c r="G1733" i="2"/>
  <c r="H1733" i="2"/>
  <c r="G1734" i="2"/>
  <c r="H1734" i="2"/>
  <c r="G1735" i="2"/>
  <c r="H1735" i="2"/>
  <c r="G1736" i="2"/>
  <c r="H1736" i="2"/>
  <c r="G1737" i="2"/>
  <c r="H1737" i="2"/>
  <c r="G1738" i="2"/>
  <c r="H1738" i="2"/>
  <c r="G1739" i="2"/>
  <c r="H1739" i="2"/>
  <c r="G1740" i="2"/>
  <c r="H1740" i="2"/>
  <c r="G1741" i="2"/>
  <c r="H1741" i="2"/>
  <c r="G1742" i="2"/>
  <c r="H1742" i="2"/>
  <c r="G1743" i="2"/>
  <c r="H1743" i="2"/>
  <c r="G1744" i="2"/>
  <c r="H1744" i="2"/>
  <c r="G1745" i="2"/>
  <c r="H1745" i="2"/>
  <c r="G1746" i="2"/>
  <c r="H1746" i="2"/>
  <c r="G1747" i="2"/>
  <c r="H1747" i="2"/>
  <c r="G1748" i="2"/>
  <c r="H1748" i="2"/>
  <c r="G1749" i="2"/>
  <c r="H1749" i="2"/>
  <c r="G1750" i="2"/>
  <c r="H1750" i="2"/>
  <c r="G1751" i="2"/>
  <c r="H1751" i="2"/>
  <c r="G1752" i="2"/>
  <c r="H1752" i="2"/>
  <c r="G1753" i="2"/>
  <c r="H1753" i="2"/>
  <c r="G1754" i="2"/>
  <c r="H1754" i="2"/>
  <c r="G1755" i="2"/>
  <c r="H1755" i="2"/>
  <c r="G1756" i="2"/>
  <c r="H1756" i="2"/>
  <c r="G1757" i="2"/>
  <c r="H1757" i="2"/>
  <c r="G1758" i="2"/>
  <c r="H1758" i="2"/>
  <c r="G1759" i="2"/>
  <c r="H1759" i="2"/>
  <c r="G1760" i="2"/>
  <c r="H1760" i="2"/>
  <c r="G1761" i="2"/>
  <c r="H1761" i="2"/>
  <c r="G1762" i="2"/>
  <c r="H1762" i="2"/>
  <c r="G1763" i="2"/>
  <c r="H1763" i="2"/>
  <c r="G1764" i="2"/>
  <c r="H1764" i="2"/>
  <c r="G1765" i="2"/>
  <c r="H1765" i="2"/>
  <c r="G1766" i="2"/>
  <c r="H1766" i="2"/>
  <c r="G1767" i="2"/>
  <c r="H1767" i="2"/>
  <c r="G1768" i="2"/>
  <c r="H1768" i="2"/>
  <c r="G1769" i="2"/>
  <c r="H1769" i="2"/>
  <c r="G1770" i="2"/>
  <c r="H1770" i="2"/>
  <c r="G1771" i="2"/>
  <c r="H1771" i="2"/>
  <c r="G1772" i="2"/>
  <c r="H1772" i="2"/>
  <c r="G1773" i="2"/>
  <c r="H1773" i="2"/>
  <c r="G1774" i="2"/>
  <c r="H1774" i="2"/>
  <c r="G1775" i="2"/>
  <c r="H1775" i="2"/>
  <c r="G1776" i="2"/>
  <c r="H1776" i="2"/>
  <c r="G1777" i="2"/>
  <c r="H1777" i="2"/>
  <c r="G1778" i="2"/>
  <c r="H1778" i="2"/>
  <c r="G1779" i="2"/>
  <c r="H1779" i="2"/>
  <c r="G1780" i="2"/>
  <c r="H1780" i="2"/>
  <c r="G1781" i="2"/>
  <c r="H1781" i="2"/>
  <c r="G1782" i="2"/>
  <c r="H1782" i="2"/>
  <c r="G1783" i="2"/>
  <c r="H1783" i="2"/>
  <c r="G1784" i="2"/>
  <c r="H1784" i="2"/>
  <c r="G1785" i="2"/>
  <c r="H1785" i="2"/>
  <c r="G1786" i="2"/>
  <c r="H1786" i="2"/>
  <c r="G1787" i="2"/>
  <c r="H1787" i="2"/>
  <c r="G1788" i="2"/>
  <c r="H1788" i="2"/>
  <c r="G1789" i="2"/>
  <c r="H1789" i="2"/>
  <c r="G1790" i="2"/>
  <c r="H1790" i="2"/>
  <c r="G1791" i="2"/>
  <c r="H1791" i="2"/>
  <c r="G1792" i="2"/>
  <c r="H1792" i="2"/>
  <c r="G1793" i="2"/>
  <c r="H1793" i="2"/>
  <c r="G1794" i="2"/>
  <c r="H1794" i="2"/>
  <c r="G1795" i="2"/>
  <c r="H1795" i="2"/>
  <c r="G1796" i="2"/>
  <c r="H1796" i="2"/>
  <c r="G1797" i="2"/>
  <c r="H1797" i="2"/>
  <c r="G1798" i="2"/>
  <c r="H1798" i="2"/>
  <c r="G1799" i="2"/>
  <c r="H1799" i="2"/>
  <c r="G1800" i="2"/>
  <c r="H1800" i="2"/>
  <c r="G1801" i="2"/>
  <c r="H1801" i="2"/>
  <c r="G1802" i="2"/>
  <c r="H1802" i="2"/>
  <c r="G1803" i="2"/>
  <c r="H1803" i="2"/>
  <c r="G1804" i="2"/>
  <c r="H1804" i="2"/>
  <c r="G1805" i="2"/>
  <c r="H1805" i="2"/>
  <c r="G1806" i="2"/>
  <c r="H1806" i="2"/>
  <c r="G1807" i="2"/>
  <c r="H1807" i="2"/>
  <c r="G1808" i="2"/>
  <c r="H1808" i="2"/>
  <c r="G1809" i="2"/>
  <c r="H1809" i="2"/>
  <c r="G1810" i="2"/>
  <c r="H1810" i="2"/>
  <c r="G1811" i="2"/>
  <c r="H1811" i="2"/>
  <c r="G1812" i="2"/>
  <c r="H1812" i="2"/>
  <c r="G1813" i="2"/>
  <c r="H1813" i="2"/>
  <c r="G1814" i="2"/>
  <c r="H1814" i="2"/>
  <c r="G1815" i="2"/>
  <c r="H1815" i="2"/>
  <c r="G1816" i="2"/>
  <c r="H1816" i="2"/>
  <c r="G1817" i="2"/>
  <c r="H1817" i="2"/>
  <c r="G1818" i="2"/>
  <c r="H1818" i="2"/>
  <c r="G1819" i="2"/>
  <c r="H1819" i="2"/>
  <c r="G1820" i="2"/>
  <c r="H1820" i="2"/>
  <c r="G1821" i="2"/>
  <c r="H1821" i="2"/>
  <c r="G1822" i="2"/>
  <c r="H1822" i="2"/>
  <c r="G1823" i="2"/>
  <c r="H1823" i="2"/>
  <c r="G1824" i="2"/>
  <c r="H1824" i="2"/>
  <c r="G1825" i="2"/>
  <c r="H1825" i="2"/>
  <c r="G1826" i="2"/>
  <c r="H1826" i="2"/>
  <c r="G1827" i="2"/>
  <c r="H1827" i="2"/>
  <c r="G1828" i="2"/>
  <c r="H1828" i="2"/>
  <c r="G1829" i="2"/>
  <c r="H1829" i="2"/>
  <c r="G1830" i="2"/>
  <c r="H1830" i="2"/>
  <c r="G1831" i="2"/>
  <c r="H1831" i="2"/>
  <c r="G1832" i="2"/>
  <c r="H1832" i="2"/>
  <c r="G1833" i="2"/>
  <c r="H1833" i="2"/>
  <c r="G1834" i="2"/>
  <c r="H1834" i="2"/>
  <c r="G1835" i="2"/>
  <c r="H1835" i="2"/>
  <c r="G1836" i="2"/>
  <c r="H1836" i="2"/>
  <c r="G1837" i="2"/>
  <c r="H1837" i="2"/>
  <c r="G1838" i="2"/>
  <c r="H1838" i="2"/>
  <c r="G1839" i="2"/>
  <c r="H1839" i="2"/>
  <c r="G1840" i="2"/>
  <c r="H1840" i="2"/>
  <c r="G1841" i="2"/>
  <c r="H1841" i="2"/>
  <c r="G1842" i="2"/>
  <c r="H1842" i="2"/>
  <c r="G1843" i="2"/>
  <c r="H1843" i="2"/>
  <c r="G1844" i="2"/>
  <c r="H1844" i="2"/>
  <c r="G1845" i="2"/>
  <c r="H1845" i="2"/>
  <c r="G1846" i="2"/>
  <c r="H1846" i="2"/>
  <c r="G1847" i="2"/>
  <c r="H1847" i="2"/>
  <c r="G1848" i="2"/>
  <c r="H1848" i="2"/>
  <c r="G1849" i="2"/>
  <c r="H1849" i="2"/>
  <c r="G1850" i="2"/>
  <c r="H1850" i="2"/>
  <c r="G1851" i="2"/>
  <c r="H1851" i="2"/>
  <c r="G1852" i="2"/>
  <c r="H1852" i="2"/>
  <c r="G1853" i="2"/>
  <c r="H1853" i="2"/>
  <c r="G1854" i="2"/>
  <c r="H1854" i="2"/>
  <c r="G1855" i="2"/>
  <c r="H1855" i="2"/>
  <c r="G1856" i="2"/>
  <c r="H1856" i="2"/>
  <c r="G1857" i="2"/>
  <c r="H1857" i="2"/>
  <c r="G1858" i="2"/>
  <c r="H1858" i="2"/>
  <c r="G1859" i="2"/>
  <c r="H1859" i="2"/>
  <c r="G1860" i="2"/>
  <c r="H1860" i="2"/>
  <c r="G1861" i="2"/>
  <c r="H1861" i="2"/>
  <c r="G1862" i="2"/>
  <c r="H1862" i="2"/>
  <c r="G1863" i="2"/>
  <c r="H1863" i="2"/>
  <c r="G1864" i="2"/>
  <c r="H1864" i="2"/>
  <c r="G1865" i="2"/>
  <c r="H1865" i="2"/>
  <c r="G1866" i="2"/>
  <c r="H1866" i="2"/>
  <c r="G1867" i="2"/>
  <c r="H1867" i="2"/>
  <c r="G1868" i="2"/>
  <c r="H1868" i="2"/>
  <c r="G1869" i="2"/>
  <c r="H1869" i="2"/>
  <c r="G1870" i="2"/>
  <c r="H1870" i="2"/>
  <c r="G1871" i="2"/>
  <c r="H1871" i="2"/>
  <c r="G1872" i="2"/>
  <c r="H1872" i="2"/>
  <c r="G1873" i="2"/>
  <c r="H1873" i="2"/>
  <c r="G1874" i="2"/>
  <c r="H1874" i="2"/>
  <c r="G1875" i="2"/>
  <c r="H1875" i="2"/>
  <c r="G1876" i="2"/>
  <c r="H1876" i="2"/>
  <c r="G1877" i="2"/>
  <c r="H1877" i="2"/>
  <c r="G1878" i="2"/>
  <c r="H1878" i="2"/>
  <c r="G1879" i="2"/>
  <c r="H1879" i="2"/>
  <c r="G1880" i="2"/>
  <c r="H1880" i="2"/>
  <c r="G1881" i="2"/>
  <c r="H1881" i="2"/>
  <c r="G1882" i="2"/>
  <c r="H1882" i="2"/>
  <c r="G1883" i="2"/>
  <c r="H1883" i="2"/>
  <c r="G1884" i="2"/>
  <c r="H1884" i="2"/>
  <c r="G1885" i="2"/>
  <c r="H1885" i="2"/>
  <c r="G1886" i="2"/>
  <c r="H1886" i="2"/>
  <c r="G1887" i="2"/>
  <c r="H1887" i="2"/>
  <c r="G1888" i="2"/>
  <c r="H1888" i="2"/>
  <c r="G1889" i="2"/>
  <c r="H1889" i="2"/>
  <c r="G1890" i="2"/>
  <c r="H1890" i="2"/>
  <c r="G1891" i="2"/>
  <c r="H1891" i="2"/>
  <c r="G1892" i="2"/>
  <c r="H1892" i="2"/>
  <c r="G1893" i="2"/>
  <c r="H1893" i="2"/>
  <c r="G1894" i="2"/>
  <c r="H1894" i="2"/>
  <c r="G1895" i="2"/>
  <c r="H1895" i="2"/>
  <c r="G1896" i="2"/>
  <c r="H1896" i="2"/>
  <c r="G1897" i="2"/>
  <c r="H1897" i="2"/>
  <c r="G1898" i="2"/>
  <c r="H1898" i="2"/>
  <c r="G1899" i="2"/>
  <c r="H1899" i="2"/>
  <c r="G1900" i="2"/>
  <c r="H1900" i="2"/>
  <c r="G1901" i="2"/>
  <c r="H1901" i="2"/>
  <c r="G1902" i="2"/>
  <c r="H1902" i="2"/>
  <c r="G1903" i="2"/>
  <c r="H1903" i="2"/>
  <c r="G1904" i="2"/>
  <c r="H1904" i="2"/>
  <c r="G1905" i="2"/>
  <c r="H1905" i="2"/>
  <c r="G1906" i="2"/>
  <c r="H1906" i="2"/>
  <c r="G1907" i="2"/>
  <c r="H1907" i="2"/>
  <c r="G1908" i="2"/>
  <c r="H1908" i="2"/>
  <c r="G1909" i="2"/>
  <c r="H1909" i="2"/>
  <c r="G1910" i="2"/>
  <c r="H1910" i="2"/>
  <c r="G1911" i="2"/>
  <c r="H1911" i="2"/>
  <c r="G1912" i="2"/>
  <c r="H1912" i="2"/>
  <c r="G1913" i="2"/>
  <c r="H1913" i="2"/>
  <c r="G1914" i="2"/>
  <c r="H1914" i="2"/>
  <c r="G1915" i="2"/>
  <c r="H1915" i="2"/>
  <c r="G1916" i="2"/>
  <c r="H1916" i="2"/>
  <c r="G1917" i="2"/>
  <c r="H1917" i="2"/>
  <c r="G1918" i="2"/>
  <c r="H1918" i="2"/>
  <c r="G1919" i="2"/>
  <c r="H1919" i="2"/>
  <c r="G1920" i="2"/>
  <c r="H1920" i="2"/>
  <c r="G1921" i="2"/>
  <c r="H1921" i="2"/>
  <c r="G1922" i="2"/>
  <c r="H1922" i="2"/>
  <c r="G1923" i="2"/>
  <c r="H1923" i="2"/>
  <c r="G1924" i="2"/>
  <c r="H1924" i="2"/>
  <c r="G1925" i="2"/>
  <c r="H1925" i="2"/>
  <c r="G1926" i="2"/>
  <c r="H1926" i="2"/>
  <c r="G1927" i="2"/>
  <c r="H1927" i="2"/>
  <c r="G1928" i="2"/>
  <c r="H1928" i="2"/>
  <c r="G1929" i="2"/>
  <c r="H1929" i="2"/>
  <c r="G1930" i="2"/>
  <c r="H1930" i="2"/>
  <c r="G1931" i="2"/>
  <c r="H1931" i="2"/>
  <c r="G1932" i="2"/>
  <c r="H1932" i="2"/>
  <c r="G1933" i="2"/>
  <c r="H1933" i="2"/>
  <c r="G1934" i="2"/>
  <c r="H1934" i="2"/>
  <c r="G1935" i="2"/>
  <c r="H1935" i="2"/>
  <c r="G1936" i="2"/>
  <c r="H1936" i="2"/>
  <c r="G1937" i="2"/>
  <c r="H1937" i="2"/>
  <c r="G1938" i="2"/>
  <c r="H1938" i="2"/>
  <c r="G1939" i="2"/>
  <c r="H1939" i="2"/>
  <c r="G1940" i="2"/>
  <c r="H1940" i="2"/>
  <c r="G1941" i="2"/>
  <c r="H1941" i="2"/>
  <c r="G1942" i="2"/>
  <c r="H1942" i="2"/>
  <c r="G1943" i="2"/>
  <c r="H1943" i="2"/>
  <c r="G1944" i="2"/>
  <c r="H1944" i="2"/>
  <c r="G1945" i="2"/>
  <c r="H1945" i="2"/>
  <c r="G1946" i="2"/>
  <c r="H1946" i="2"/>
  <c r="G1947" i="2"/>
  <c r="H1947" i="2"/>
  <c r="G1948" i="2"/>
  <c r="H1948" i="2"/>
  <c r="G1949" i="2"/>
  <c r="H1949" i="2"/>
  <c r="G1950" i="2"/>
  <c r="H1950" i="2"/>
  <c r="G1951" i="2"/>
  <c r="H1951" i="2"/>
  <c r="G1952" i="2"/>
  <c r="H1952" i="2"/>
  <c r="G1953" i="2"/>
  <c r="H1953" i="2"/>
  <c r="G1954" i="2"/>
  <c r="H1954" i="2"/>
  <c r="G1955" i="2"/>
  <c r="H1955" i="2"/>
  <c r="G1956" i="2"/>
  <c r="H1956" i="2"/>
  <c r="G1957" i="2"/>
  <c r="H1957" i="2"/>
  <c r="G1958" i="2"/>
  <c r="H1958" i="2"/>
  <c r="G1959" i="2"/>
  <c r="H1959" i="2"/>
  <c r="G1960" i="2"/>
  <c r="H1960" i="2"/>
  <c r="G1961" i="2"/>
  <c r="H1961" i="2"/>
  <c r="G1962" i="2"/>
  <c r="H1962" i="2"/>
  <c r="G1963" i="2"/>
  <c r="H1963" i="2"/>
  <c r="G1964" i="2"/>
  <c r="H1964" i="2"/>
  <c r="G1965" i="2"/>
  <c r="H1965" i="2"/>
  <c r="G1966" i="2"/>
  <c r="H1966" i="2"/>
  <c r="G1967" i="2"/>
  <c r="H1967" i="2"/>
  <c r="G1968" i="2"/>
  <c r="H1968" i="2"/>
  <c r="G1969" i="2"/>
  <c r="H1969" i="2"/>
  <c r="G1970" i="2"/>
  <c r="H1970" i="2"/>
  <c r="G1971" i="2"/>
  <c r="H1971" i="2"/>
  <c r="G1972" i="2"/>
  <c r="H1972" i="2"/>
  <c r="G1973" i="2"/>
  <c r="H1973" i="2"/>
  <c r="G1974" i="2"/>
  <c r="H1974" i="2"/>
  <c r="G1975" i="2"/>
  <c r="H1975" i="2"/>
  <c r="G1976" i="2"/>
  <c r="H1976" i="2"/>
  <c r="G1977" i="2"/>
  <c r="H1977" i="2"/>
  <c r="G1978" i="2"/>
  <c r="H1978" i="2"/>
  <c r="G1979" i="2"/>
  <c r="H1979" i="2"/>
  <c r="G1980" i="2"/>
  <c r="H1980" i="2"/>
  <c r="G1981" i="2"/>
  <c r="H1981" i="2"/>
  <c r="G1982" i="2"/>
  <c r="H1982" i="2"/>
  <c r="G1983" i="2"/>
  <c r="H1983" i="2"/>
  <c r="G1984" i="2"/>
  <c r="H1984" i="2"/>
  <c r="G1985" i="2"/>
  <c r="H1985" i="2"/>
  <c r="G1986" i="2"/>
  <c r="H1986" i="2"/>
  <c r="G1987" i="2"/>
  <c r="H1987" i="2"/>
  <c r="G1988" i="2"/>
  <c r="H1988" i="2"/>
  <c r="G1989" i="2"/>
  <c r="H1989" i="2"/>
  <c r="G1990" i="2"/>
  <c r="H1990" i="2"/>
  <c r="G1991" i="2"/>
  <c r="H1991" i="2"/>
  <c r="G1992" i="2"/>
  <c r="H1992" i="2"/>
  <c r="G1993" i="2"/>
  <c r="H1993" i="2"/>
  <c r="G1994" i="2"/>
  <c r="H1994" i="2"/>
  <c r="G1995" i="2"/>
  <c r="H1995" i="2"/>
  <c r="G1996" i="2"/>
  <c r="H1996" i="2"/>
  <c r="G1997" i="2"/>
  <c r="H1997" i="2"/>
  <c r="G1998" i="2"/>
  <c r="H1998" i="2"/>
  <c r="G1999" i="2"/>
  <c r="H1999" i="2"/>
  <c r="G2000" i="2"/>
  <c r="H2000" i="2"/>
  <c r="G2001" i="2"/>
  <c r="H2001" i="2"/>
  <c r="G2002" i="2"/>
  <c r="H2002" i="2"/>
  <c r="G2003" i="2"/>
  <c r="H2003" i="2"/>
  <c r="G2004" i="2"/>
  <c r="H2004" i="2"/>
  <c r="G2005" i="2"/>
  <c r="H2005" i="2"/>
  <c r="G2006" i="2"/>
  <c r="H2006" i="2"/>
  <c r="G2007" i="2"/>
  <c r="H2007" i="2"/>
  <c r="G2008" i="2"/>
  <c r="H2008" i="2"/>
  <c r="G2009" i="2"/>
  <c r="H2009" i="2"/>
  <c r="G2010" i="2"/>
  <c r="H2010" i="2"/>
  <c r="G2011" i="2"/>
  <c r="H2011" i="2"/>
  <c r="G2012" i="2"/>
  <c r="H2012" i="2"/>
  <c r="G2013" i="2"/>
  <c r="H2013" i="2"/>
  <c r="G2014" i="2"/>
  <c r="H2014" i="2"/>
  <c r="G2015" i="2"/>
  <c r="H2015" i="2"/>
  <c r="G2016" i="2"/>
  <c r="H2016" i="2"/>
  <c r="G2017" i="2"/>
  <c r="H2017" i="2"/>
  <c r="G2018" i="2"/>
  <c r="H2018" i="2"/>
  <c r="G2019" i="2"/>
  <c r="H2019" i="2"/>
  <c r="G2020" i="2"/>
  <c r="H2020" i="2"/>
  <c r="G2021" i="2"/>
  <c r="H2021" i="2"/>
  <c r="G2022" i="2"/>
  <c r="H2022" i="2"/>
  <c r="G2023" i="2"/>
  <c r="H2023" i="2"/>
  <c r="G2024" i="2"/>
  <c r="H2024" i="2"/>
  <c r="G2025" i="2"/>
  <c r="H2025" i="2"/>
  <c r="G2026" i="2"/>
  <c r="H2026" i="2"/>
  <c r="G2027" i="2"/>
  <c r="H2027" i="2"/>
  <c r="G2028" i="2"/>
  <c r="H2028" i="2"/>
  <c r="G2029" i="2"/>
  <c r="H2029" i="2"/>
  <c r="G2030" i="2"/>
  <c r="H2030" i="2"/>
  <c r="G2031" i="2"/>
  <c r="H2031" i="2"/>
  <c r="G2032" i="2"/>
  <c r="H2032" i="2"/>
  <c r="G2033" i="2"/>
  <c r="H2033" i="2"/>
  <c r="G2034" i="2"/>
  <c r="H2034" i="2"/>
  <c r="G2035" i="2"/>
  <c r="H2035" i="2"/>
  <c r="G2036" i="2"/>
  <c r="H2036" i="2"/>
  <c r="G2037" i="2"/>
  <c r="H2037" i="2"/>
  <c r="G2038" i="2"/>
  <c r="H2038" i="2"/>
  <c r="G2039" i="2"/>
  <c r="H2039" i="2"/>
  <c r="G2040" i="2"/>
  <c r="H2040" i="2"/>
  <c r="G2041" i="2"/>
  <c r="H2041" i="2"/>
  <c r="G2042" i="2"/>
  <c r="H2042" i="2"/>
  <c r="G2043" i="2"/>
  <c r="H2043" i="2"/>
  <c r="G2044" i="2"/>
  <c r="H2044" i="2"/>
  <c r="G2045" i="2"/>
  <c r="H2045" i="2"/>
  <c r="G2046" i="2"/>
  <c r="H2046" i="2"/>
  <c r="G2047" i="2"/>
  <c r="H2047" i="2"/>
  <c r="G2048" i="2"/>
  <c r="H2048" i="2"/>
  <c r="G2049" i="2"/>
  <c r="H2049" i="2"/>
  <c r="G2050" i="2"/>
  <c r="H2050" i="2"/>
  <c r="G2051" i="2"/>
  <c r="H2051" i="2"/>
  <c r="G2052" i="2"/>
  <c r="H2052" i="2"/>
  <c r="G2053" i="2"/>
  <c r="H2053" i="2"/>
  <c r="G2054" i="2"/>
  <c r="H2054" i="2"/>
  <c r="G2055" i="2"/>
  <c r="H2055" i="2"/>
  <c r="G2056" i="2"/>
  <c r="H2056" i="2"/>
  <c r="G2057" i="2"/>
  <c r="H2057" i="2"/>
  <c r="G2058" i="2"/>
  <c r="H2058" i="2"/>
  <c r="G2059" i="2"/>
  <c r="H2059" i="2"/>
  <c r="G2060" i="2"/>
  <c r="H2060" i="2"/>
  <c r="G2061" i="2"/>
  <c r="H2061" i="2"/>
  <c r="G2062" i="2"/>
  <c r="H2062" i="2"/>
  <c r="G2063" i="2"/>
  <c r="H2063" i="2"/>
  <c r="G2064" i="2"/>
  <c r="H2064" i="2"/>
  <c r="G2065" i="2"/>
  <c r="H2065" i="2"/>
  <c r="G2066" i="2"/>
  <c r="H2066" i="2"/>
  <c r="G2067" i="2"/>
  <c r="H2067" i="2"/>
  <c r="G2068" i="2"/>
  <c r="H2068" i="2"/>
  <c r="G2069" i="2"/>
  <c r="H2069" i="2"/>
  <c r="G2070" i="2"/>
  <c r="H2070" i="2"/>
  <c r="G2071" i="2"/>
  <c r="H2071" i="2"/>
  <c r="G2072" i="2"/>
  <c r="H2072" i="2"/>
  <c r="G2073" i="2"/>
  <c r="H2073" i="2"/>
  <c r="G2074" i="2"/>
  <c r="H2074" i="2"/>
  <c r="G2075" i="2"/>
  <c r="H2075" i="2"/>
  <c r="G2076" i="2"/>
  <c r="H2076" i="2"/>
  <c r="G2077" i="2"/>
  <c r="H2077" i="2"/>
  <c r="G2078" i="2"/>
  <c r="H2078" i="2"/>
  <c r="G2079" i="2"/>
  <c r="H2079" i="2"/>
  <c r="G2080" i="2"/>
  <c r="H2080" i="2"/>
  <c r="G2081" i="2"/>
  <c r="H2081" i="2"/>
  <c r="G2082" i="2"/>
  <c r="H2082" i="2"/>
  <c r="G2083" i="2"/>
  <c r="H2083" i="2"/>
  <c r="G2084" i="2"/>
  <c r="H2084" i="2"/>
  <c r="G2085" i="2"/>
  <c r="H2085" i="2"/>
  <c r="G2086" i="2"/>
  <c r="H2086" i="2"/>
  <c r="G2087" i="2"/>
  <c r="H2087" i="2"/>
  <c r="G2088" i="2"/>
  <c r="H2088" i="2"/>
  <c r="G2089" i="2"/>
  <c r="H2089" i="2"/>
  <c r="G2090" i="2"/>
  <c r="H2090" i="2"/>
  <c r="G2091" i="2"/>
  <c r="H2091" i="2"/>
  <c r="G2092" i="2"/>
  <c r="H2092" i="2"/>
  <c r="G2093" i="2"/>
  <c r="H2093" i="2"/>
  <c r="G2094" i="2"/>
  <c r="H2094" i="2"/>
  <c r="G2095" i="2"/>
  <c r="H2095" i="2"/>
  <c r="G2096" i="2"/>
  <c r="H2096" i="2"/>
  <c r="G2097" i="2"/>
  <c r="H2097" i="2"/>
  <c r="G2098" i="2"/>
  <c r="H2098" i="2"/>
  <c r="G2099" i="2"/>
  <c r="H2099" i="2"/>
  <c r="G2100" i="2"/>
  <c r="H2100" i="2"/>
  <c r="G2101" i="2"/>
  <c r="H2101" i="2"/>
  <c r="G2102" i="2"/>
  <c r="H2102" i="2"/>
  <c r="G2103" i="2"/>
  <c r="H2103" i="2"/>
  <c r="G2104" i="2"/>
  <c r="H2104" i="2"/>
  <c r="G2105" i="2"/>
  <c r="H2105" i="2"/>
  <c r="G2106" i="2"/>
  <c r="H2106" i="2"/>
  <c r="G2107" i="2"/>
  <c r="H2107" i="2"/>
  <c r="G2108" i="2"/>
  <c r="H2108" i="2"/>
  <c r="G2109" i="2"/>
  <c r="H2109" i="2"/>
  <c r="G2110" i="2"/>
  <c r="H2110" i="2"/>
  <c r="G2111" i="2"/>
  <c r="H2111" i="2"/>
  <c r="G2112" i="2"/>
  <c r="H2112" i="2"/>
  <c r="G2113" i="2"/>
  <c r="H2113" i="2"/>
  <c r="G2114" i="2"/>
  <c r="H2114" i="2"/>
  <c r="G2115" i="2"/>
  <c r="H2115" i="2"/>
  <c r="G2116" i="2"/>
  <c r="H2116" i="2"/>
  <c r="G2117" i="2"/>
  <c r="H2117" i="2"/>
  <c r="G2118" i="2"/>
  <c r="H2118" i="2"/>
  <c r="G2119" i="2"/>
  <c r="H2119" i="2"/>
  <c r="G2120" i="2"/>
  <c r="H2120" i="2"/>
  <c r="G2121" i="2"/>
  <c r="H2121" i="2"/>
  <c r="G2122" i="2"/>
  <c r="H2122" i="2"/>
  <c r="G2123" i="2"/>
  <c r="H2123" i="2"/>
  <c r="G2124" i="2"/>
  <c r="H2124" i="2"/>
  <c r="G2125" i="2"/>
  <c r="H2125" i="2"/>
  <c r="G2126" i="2"/>
  <c r="H2126" i="2"/>
  <c r="G2127" i="2"/>
  <c r="H2127" i="2"/>
  <c r="G2128" i="2"/>
  <c r="H2128" i="2"/>
  <c r="G2129" i="2"/>
  <c r="H2129" i="2"/>
  <c r="G2130" i="2"/>
  <c r="H2130" i="2"/>
  <c r="G2131" i="2"/>
  <c r="H2131" i="2"/>
  <c r="G2132" i="2"/>
  <c r="H2132" i="2"/>
  <c r="G2133" i="2"/>
  <c r="H2133" i="2"/>
  <c r="G2134" i="2"/>
  <c r="H2134" i="2"/>
  <c r="G2135" i="2"/>
  <c r="H2135" i="2"/>
  <c r="G2136" i="2"/>
  <c r="H2136" i="2"/>
  <c r="G2137" i="2"/>
  <c r="H2137" i="2"/>
  <c r="G2138" i="2"/>
  <c r="H2138" i="2"/>
  <c r="G2139" i="2"/>
  <c r="H2139" i="2"/>
  <c r="G2140" i="2"/>
  <c r="H2140" i="2"/>
  <c r="G2141" i="2"/>
  <c r="H2141" i="2"/>
  <c r="G2142" i="2"/>
  <c r="H2142" i="2"/>
  <c r="G2143" i="2"/>
  <c r="H2143" i="2"/>
  <c r="G2144" i="2"/>
  <c r="H2144" i="2"/>
  <c r="G2145" i="2"/>
  <c r="H2145" i="2"/>
  <c r="G2146" i="2"/>
  <c r="H2146" i="2"/>
  <c r="G2147" i="2"/>
  <c r="H2147" i="2"/>
  <c r="G2148" i="2"/>
  <c r="H2148" i="2"/>
  <c r="G2149" i="2"/>
  <c r="H2149" i="2"/>
  <c r="G2150" i="2"/>
  <c r="H2150" i="2"/>
  <c r="G2151" i="2"/>
  <c r="H2151" i="2"/>
  <c r="G2152" i="2"/>
  <c r="H2152" i="2"/>
  <c r="G2153" i="2"/>
  <c r="H2153" i="2"/>
  <c r="G2154" i="2"/>
  <c r="H2154" i="2"/>
  <c r="G2155" i="2"/>
  <c r="H2155" i="2"/>
  <c r="G2156" i="2"/>
  <c r="H2156" i="2"/>
  <c r="G2157" i="2"/>
  <c r="H2157" i="2"/>
  <c r="G2158" i="2"/>
  <c r="H2158" i="2"/>
  <c r="G2159" i="2"/>
  <c r="H2159" i="2"/>
  <c r="G2160" i="2"/>
  <c r="H2160" i="2"/>
  <c r="G2161" i="2"/>
  <c r="H2161" i="2"/>
  <c r="G2162" i="2"/>
  <c r="H2162" i="2"/>
  <c r="G2163" i="2"/>
  <c r="H2163" i="2"/>
  <c r="G2164" i="2"/>
  <c r="H2164" i="2"/>
  <c r="G2165" i="2"/>
  <c r="H2165" i="2"/>
  <c r="G2166" i="2"/>
  <c r="H2166" i="2"/>
  <c r="G2167" i="2"/>
  <c r="H2167" i="2"/>
  <c r="G2168" i="2"/>
  <c r="H2168" i="2"/>
  <c r="G2169" i="2"/>
  <c r="H2169" i="2"/>
  <c r="G2170" i="2"/>
  <c r="H2170" i="2"/>
  <c r="G2171" i="2"/>
  <c r="H2171" i="2"/>
  <c r="G2172" i="2"/>
  <c r="H2172" i="2"/>
  <c r="G2173" i="2"/>
  <c r="H2173" i="2"/>
  <c r="G2174" i="2"/>
  <c r="H2174" i="2"/>
  <c r="G2175" i="2"/>
  <c r="H2175" i="2"/>
  <c r="G2176" i="2"/>
  <c r="H2176" i="2"/>
  <c r="G2177" i="2"/>
  <c r="H2177" i="2"/>
  <c r="G2178" i="2"/>
  <c r="H2178" i="2"/>
  <c r="G2179" i="2"/>
  <c r="H2179" i="2"/>
  <c r="G2180" i="2"/>
  <c r="H2180" i="2"/>
  <c r="G2181" i="2"/>
  <c r="H2181" i="2"/>
  <c r="G2182" i="2"/>
  <c r="H2182" i="2"/>
  <c r="G2183" i="2"/>
  <c r="H2183" i="2"/>
  <c r="G2184" i="2"/>
  <c r="H2184" i="2"/>
  <c r="G2185" i="2"/>
  <c r="H2185" i="2"/>
  <c r="G2186" i="2"/>
  <c r="H2186" i="2"/>
  <c r="G2187" i="2"/>
  <c r="H2187" i="2"/>
  <c r="G2188" i="2"/>
  <c r="H2188" i="2"/>
  <c r="G2189" i="2"/>
  <c r="H2189" i="2"/>
  <c r="G2190" i="2"/>
  <c r="H2190" i="2"/>
  <c r="G2191" i="2"/>
  <c r="H2191" i="2"/>
  <c r="G2192" i="2"/>
  <c r="H2192" i="2"/>
  <c r="G2193" i="2"/>
  <c r="H2193" i="2"/>
  <c r="G2194" i="2"/>
  <c r="H2194" i="2"/>
  <c r="G2195" i="2"/>
  <c r="H2195" i="2"/>
  <c r="G2196" i="2"/>
  <c r="H2196" i="2"/>
  <c r="G2197" i="2"/>
  <c r="H2197" i="2"/>
  <c r="G2198" i="2"/>
  <c r="H2198" i="2"/>
  <c r="G2199" i="2"/>
  <c r="H2199" i="2"/>
  <c r="G2200" i="2"/>
  <c r="H2200" i="2"/>
  <c r="G2201" i="2"/>
  <c r="H2201" i="2"/>
  <c r="G2202" i="2"/>
  <c r="H2202" i="2"/>
  <c r="G2203" i="2"/>
  <c r="H2203" i="2"/>
  <c r="G2204" i="2"/>
  <c r="H2204" i="2"/>
  <c r="G2205" i="2"/>
  <c r="H2205" i="2"/>
  <c r="G2206" i="2"/>
  <c r="H2206" i="2"/>
  <c r="G2207" i="2"/>
  <c r="H2207" i="2"/>
  <c r="G2208" i="2"/>
  <c r="H2208" i="2"/>
  <c r="G2209" i="2"/>
  <c r="H2209" i="2"/>
  <c r="G2210" i="2"/>
  <c r="H2210" i="2"/>
  <c r="G2211" i="2"/>
  <c r="H2211" i="2"/>
  <c r="G2212" i="2"/>
  <c r="H2212" i="2"/>
  <c r="G2213" i="2"/>
  <c r="H2213" i="2"/>
  <c r="G2214" i="2"/>
  <c r="H2214" i="2"/>
  <c r="G2215" i="2"/>
  <c r="H2215" i="2"/>
  <c r="G2216" i="2"/>
  <c r="H2216" i="2"/>
  <c r="G2217" i="2"/>
  <c r="H2217" i="2"/>
  <c r="G2218" i="2"/>
  <c r="H2218" i="2"/>
  <c r="G2219" i="2"/>
  <c r="H2219" i="2"/>
  <c r="G2220" i="2"/>
  <c r="H2220" i="2"/>
  <c r="G2221" i="2"/>
  <c r="H2221" i="2"/>
  <c r="G2222" i="2"/>
  <c r="H2222" i="2"/>
  <c r="G2223" i="2"/>
  <c r="H2223" i="2"/>
  <c r="G2224" i="2"/>
  <c r="H2224" i="2"/>
  <c r="G2225" i="2"/>
  <c r="H2225" i="2"/>
  <c r="G2226" i="2"/>
  <c r="H2226" i="2"/>
  <c r="G2227" i="2"/>
  <c r="H2227" i="2"/>
  <c r="G2228" i="2"/>
  <c r="H2228" i="2"/>
  <c r="G2229" i="2"/>
  <c r="H2229" i="2"/>
  <c r="G2230" i="2"/>
  <c r="H2230" i="2"/>
  <c r="G2231" i="2"/>
  <c r="H2231" i="2"/>
  <c r="G2232" i="2"/>
  <c r="H2232" i="2"/>
  <c r="G2233" i="2"/>
  <c r="H2233" i="2"/>
  <c r="G2234" i="2"/>
  <c r="H2234" i="2"/>
  <c r="G2235" i="2"/>
  <c r="H2235" i="2"/>
  <c r="G2236" i="2"/>
  <c r="H2236" i="2"/>
  <c r="G2237" i="2"/>
  <c r="H2237" i="2"/>
  <c r="G2238" i="2"/>
  <c r="H2238" i="2"/>
  <c r="G2239" i="2"/>
  <c r="H2239" i="2"/>
  <c r="G2240" i="2"/>
  <c r="H2240" i="2"/>
  <c r="G2241" i="2"/>
  <c r="H2241" i="2"/>
  <c r="G2242" i="2"/>
  <c r="H2242" i="2"/>
  <c r="G2243" i="2"/>
  <c r="H2243" i="2"/>
  <c r="G2244" i="2"/>
  <c r="H2244" i="2"/>
  <c r="G2245" i="2"/>
  <c r="H2245" i="2"/>
  <c r="G2246" i="2"/>
  <c r="H2246" i="2"/>
  <c r="G2247" i="2"/>
  <c r="H2247" i="2"/>
  <c r="G2248" i="2"/>
  <c r="H2248" i="2"/>
  <c r="G2249" i="2"/>
  <c r="H2249" i="2"/>
  <c r="G2250" i="2"/>
  <c r="H2250" i="2"/>
  <c r="G2251" i="2"/>
  <c r="H2251" i="2"/>
  <c r="G2252" i="2"/>
  <c r="H2252" i="2"/>
  <c r="G2253" i="2"/>
  <c r="H2253" i="2"/>
  <c r="G2254" i="2"/>
  <c r="H2254" i="2"/>
  <c r="G2255" i="2"/>
  <c r="H2255" i="2"/>
  <c r="G2256" i="2"/>
  <c r="H2256" i="2"/>
  <c r="G2257" i="2"/>
  <c r="H2257" i="2"/>
  <c r="G2258" i="2"/>
  <c r="H2258" i="2"/>
  <c r="G2259" i="2"/>
  <c r="H2259" i="2"/>
  <c r="G2260" i="2"/>
  <c r="H2260" i="2"/>
  <c r="G2261" i="2"/>
  <c r="H2261" i="2"/>
  <c r="G2262" i="2"/>
  <c r="H2262" i="2"/>
  <c r="G2263" i="2"/>
  <c r="H2263" i="2"/>
  <c r="G2264" i="2"/>
  <c r="H2264" i="2"/>
  <c r="G2265" i="2"/>
  <c r="H2265" i="2"/>
  <c r="G2266" i="2"/>
  <c r="H2266" i="2"/>
  <c r="G2267" i="2"/>
  <c r="H2267" i="2"/>
  <c r="G2268" i="2"/>
  <c r="H2268" i="2"/>
  <c r="G2269" i="2"/>
  <c r="H2269" i="2"/>
  <c r="G2270" i="2"/>
  <c r="H2270" i="2"/>
  <c r="G2271" i="2"/>
  <c r="H2271" i="2"/>
  <c r="G2272" i="2"/>
  <c r="H2272" i="2"/>
  <c r="G2273" i="2"/>
  <c r="H2273" i="2"/>
  <c r="G2274" i="2"/>
  <c r="H2274" i="2"/>
  <c r="G2275" i="2"/>
  <c r="H2275" i="2"/>
  <c r="G2276" i="2"/>
  <c r="H2276" i="2"/>
  <c r="G2277" i="2"/>
  <c r="H2277" i="2"/>
  <c r="G2278" i="2"/>
  <c r="H2278" i="2"/>
  <c r="G2279" i="2"/>
  <c r="H2279" i="2"/>
  <c r="G2280" i="2"/>
  <c r="H2280" i="2"/>
  <c r="G2281" i="2"/>
  <c r="H2281" i="2"/>
  <c r="G2282" i="2"/>
  <c r="H2282" i="2"/>
  <c r="G2283" i="2"/>
  <c r="H2283" i="2"/>
  <c r="G2284" i="2"/>
  <c r="H2284" i="2"/>
  <c r="G2285" i="2"/>
  <c r="H2285" i="2"/>
  <c r="G2286" i="2"/>
  <c r="H2286" i="2"/>
  <c r="G2287" i="2"/>
  <c r="H2287" i="2"/>
  <c r="G2288" i="2"/>
  <c r="H2288" i="2"/>
  <c r="G2289" i="2"/>
  <c r="H2289" i="2"/>
  <c r="G2290" i="2"/>
  <c r="H2290" i="2"/>
  <c r="G2291" i="2"/>
  <c r="H2291" i="2"/>
  <c r="G2292" i="2"/>
  <c r="H2292" i="2"/>
  <c r="G2293" i="2"/>
  <c r="H2293" i="2"/>
  <c r="G2294" i="2"/>
  <c r="H2294" i="2"/>
  <c r="G2295" i="2"/>
  <c r="H2295" i="2"/>
  <c r="G2296" i="2"/>
  <c r="H2296" i="2"/>
  <c r="G2297" i="2"/>
  <c r="H2297" i="2"/>
  <c r="G2298" i="2"/>
  <c r="H2298" i="2"/>
  <c r="G2299" i="2"/>
  <c r="H2299" i="2"/>
  <c r="G2300" i="2"/>
  <c r="H2300" i="2"/>
  <c r="G2301" i="2"/>
  <c r="H2301" i="2"/>
  <c r="G2302" i="2"/>
  <c r="H2302" i="2"/>
  <c r="G2303" i="2"/>
  <c r="H2303" i="2"/>
  <c r="G2304" i="2"/>
  <c r="H2304" i="2"/>
  <c r="G2305" i="2"/>
  <c r="H2305" i="2"/>
  <c r="G2306" i="2"/>
  <c r="H2306" i="2"/>
  <c r="G2307" i="2"/>
  <c r="H2307" i="2"/>
  <c r="G2308" i="2"/>
  <c r="H2308" i="2"/>
  <c r="G2309" i="2"/>
  <c r="H2309" i="2"/>
  <c r="G2310" i="2"/>
  <c r="H2310" i="2"/>
  <c r="G2311" i="2"/>
  <c r="H2311" i="2"/>
  <c r="G2312" i="2"/>
  <c r="H2312" i="2"/>
  <c r="G2313" i="2"/>
  <c r="H2313" i="2"/>
  <c r="G2314" i="2"/>
  <c r="H2314" i="2"/>
  <c r="G2315" i="2"/>
  <c r="H2315" i="2"/>
  <c r="G2316" i="2"/>
  <c r="H2316" i="2"/>
  <c r="G2317" i="2"/>
  <c r="H2317" i="2"/>
  <c r="G2318" i="2"/>
  <c r="H2318" i="2"/>
  <c r="G2319" i="2"/>
  <c r="H2319" i="2"/>
  <c r="G2320" i="2"/>
  <c r="H2320" i="2"/>
  <c r="G2321" i="2"/>
  <c r="H2321" i="2"/>
  <c r="G2322" i="2"/>
  <c r="H2322" i="2"/>
  <c r="G2323" i="2"/>
  <c r="H2323" i="2"/>
  <c r="G2324" i="2"/>
  <c r="H2324" i="2"/>
  <c r="G2325" i="2"/>
  <c r="H2325" i="2"/>
  <c r="G2326" i="2"/>
  <c r="H2326" i="2"/>
  <c r="G2327" i="2"/>
  <c r="H2327" i="2"/>
  <c r="G2328" i="2"/>
  <c r="H2328" i="2"/>
  <c r="G2329" i="2"/>
  <c r="H2329" i="2"/>
  <c r="G2330" i="2"/>
  <c r="H2330" i="2"/>
  <c r="G2331" i="2"/>
  <c r="H2331" i="2"/>
  <c r="G2332" i="2"/>
  <c r="H2332" i="2"/>
  <c r="G2333" i="2"/>
  <c r="H2333" i="2"/>
  <c r="G2334" i="2"/>
  <c r="H2334" i="2"/>
  <c r="G2335" i="2"/>
  <c r="H2335" i="2"/>
  <c r="G2336" i="2"/>
  <c r="H2336" i="2"/>
  <c r="G2337" i="2"/>
  <c r="H2337" i="2"/>
  <c r="G2338" i="2"/>
  <c r="H2338" i="2"/>
  <c r="G2339" i="2"/>
  <c r="H2339" i="2"/>
  <c r="G2340" i="2"/>
  <c r="H2340" i="2"/>
  <c r="G2341" i="2"/>
  <c r="H2341" i="2"/>
  <c r="G2342" i="2"/>
  <c r="H2342" i="2"/>
  <c r="G2343" i="2"/>
  <c r="H2343" i="2"/>
  <c r="G2344" i="2"/>
  <c r="H2344" i="2"/>
  <c r="G2345" i="2"/>
  <c r="H2345" i="2"/>
  <c r="G2346" i="2"/>
  <c r="H2346" i="2"/>
  <c r="G2347" i="2"/>
  <c r="H2347" i="2"/>
  <c r="G2348" i="2"/>
  <c r="H2348" i="2"/>
  <c r="G2349" i="2"/>
  <c r="H2349" i="2"/>
  <c r="G2350" i="2"/>
  <c r="H2350" i="2"/>
  <c r="G2351" i="2"/>
  <c r="H2351" i="2"/>
  <c r="G2352" i="2"/>
  <c r="H2352" i="2"/>
  <c r="G2353" i="2"/>
  <c r="H2353" i="2"/>
  <c r="G2354" i="2"/>
  <c r="H2354" i="2"/>
  <c r="G2355" i="2"/>
  <c r="H2355" i="2"/>
  <c r="G2356" i="2"/>
  <c r="H2356" i="2"/>
  <c r="G2357" i="2"/>
  <c r="H2357" i="2"/>
  <c r="G2358" i="2"/>
  <c r="H2358" i="2"/>
  <c r="G2359" i="2"/>
  <c r="H2359" i="2"/>
  <c r="G2360" i="2"/>
  <c r="H2360" i="2"/>
  <c r="G2361" i="2"/>
  <c r="H2361" i="2"/>
  <c r="G2362" i="2"/>
  <c r="H2362" i="2"/>
  <c r="G2363" i="2"/>
  <c r="H2363" i="2"/>
  <c r="G2364" i="2"/>
  <c r="H2364" i="2"/>
  <c r="G2365" i="2"/>
  <c r="H2365" i="2"/>
  <c r="G2366" i="2"/>
  <c r="H2366" i="2"/>
  <c r="G2367" i="2"/>
  <c r="H2367" i="2"/>
  <c r="G2368" i="2"/>
  <c r="H2368" i="2"/>
  <c r="G2369" i="2"/>
  <c r="H2369" i="2"/>
  <c r="G2370" i="2"/>
  <c r="H2370" i="2"/>
  <c r="G2371" i="2"/>
  <c r="H2371" i="2"/>
  <c r="G2372" i="2"/>
  <c r="H2372" i="2"/>
  <c r="G2373" i="2"/>
  <c r="H2373" i="2"/>
  <c r="G2374" i="2"/>
  <c r="H2374" i="2"/>
  <c r="G2375" i="2"/>
  <c r="H2375" i="2"/>
  <c r="G2376" i="2"/>
  <c r="H2376" i="2"/>
  <c r="G2377" i="2"/>
  <c r="H2377" i="2"/>
  <c r="G2378" i="2"/>
  <c r="H2378" i="2"/>
  <c r="G2379" i="2"/>
  <c r="H2379" i="2"/>
  <c r="G2380" i="2"/>
  <c r="H2380" i="2"/>
  <c r="G2381" i="2"/>
  <c r="H2381" i="2"/>
  <c r="G2382" i="2"/>
  <c r="H2382" i="2"/>
  <c r="G2383" i="2"/>
  <c r="H2383" i="2"/>
  <c r="G2384" i="2"/>
  <c r="H2384" i="2"/>
  <c r="G2385" i="2"/>
  <c r="H2385" i="2"/>
  <c r="G2386" i="2"/>
  <c r="H2386" i="2"/>
  <c r="G2387" i="2"/>
  <c r="H2387" i="2"/>
  <c r="G2388" i="2"/>
  <c r="H2388" i="2"/>
  <c r="G2389" i="2"/>
  <c r="H2389" i="2"/>
  <c r="G2390" i="2"/>
  <c r="H2390" i="2"/>
  <c r="G2391" i="2"/>
  <c r="H2391" i="2"/>
  <c r="G2392" i="2"/>
  <c r="H2392" i="2"/>
  <c r="G2393" i="2"/>
  <c r="H2393" i="2"/>
  <c r="G2394" i="2"/>
  <c r="H2394" i="2"/>
  <c r="G2395" i="2"/>
  <c r="H2395" i="2"/>
  <c r="G2396" i="2"/>
  <c r="H2396" i="2"/>
  <c r="G2397" i="2"/>
  <c r="H2397" i="2"/>
  <c r="G2398" i="2"/>
  <c r="H2398" i="2"/>
  <c r="G2399" i="2"/>
  <c r="H2399" i="2"/>
  <c r="G2400" i="2"/>
  <c r="H2400" i="2"/>
  <c r="G2401" i="2"/>
  <c r="H2401" i="2"/>
  <c r="G2402" i="2"/>
  <c r="H2402" i="2"/>
  <c r="G2403" i="2"/>
  <c r="H2403" i="2"/>
  <c r="G2404" i="2"/>
  <c r="H2404" i="2"/>
  <c r="G2405" i="2"/>
  <c r="H2405" i="2"/>
  <c r="G2406" i="2"/>
  <c r="H2406" i="2"/>
  <c r="G2407" i="2"/>
  <c r="H2407" i="2"/>
  <c r="G2408" i="2"/>
  <c r="H2408" i="2"/>
  <c r="G2409" i="2"/>
  <c r="H2409" i="2"/>
  <c r="G2410" i="2"/>
  <c r="H2410" i="2"/>
  <c r="G2411" i="2"/>
  <c r="H2411" i="2"/>
  <c r="G2412" i="2"/>
  <c r="H2412" i="2"/>
  <c r="G2413" i="2"/>
  <c r="H2413" i="2"/>
  <c r="G2414" i="2"/>
  <c r="H2414" i="2"/>
  <c r="G2415" i="2"/>
  <c r="H2415" i="2"/>
  <c r="G2416" i="2"/>
  <c r="H2416" i="2"/>
  <c r="G2417" i="2"/>
  <c r="H2417" i="2"/>
  <c r="G2418" i="2"/>
  <c r="H2418" i="2"/>
  <c r="G2419" i="2"/>
  <c r="H2419" i="2"/>
  <c r="G2420" i="2"/>
  <c r="H2420" i="2"/>
  <c r="G2421" i="2"/>
  <c r="H2421" i="2"/>
  <c r="G2422" i="2"/>
  <c r="H2422" i="2"/>
  <c r="G2423" i="2"/>
  <c r="H2423" i="2"/>
  <c r="G2424" i="2"/>
  <c r="H2424" i="2"/>
  <c r="G2425" i="2"/>
  <c r="H2425" i="2"/>
  <c r="G2426" i="2"/>
  <c r="H2426" i="2"/>
  <c r="G2427" i="2"/>
  <c r="H2427" i="2"/>
  <c r="G2428" i="2"/>
  <c r="H2428" i="2"/>
  <c r="G2429" i="2"/>
  <c r="H2429" i="2"/>
  <c r="G2430" i="2"/>
  <c r="H2430" i="2"/>
  <c r="G2431" i="2"/>
  <c r="H2431" i="2"/>
  <c r="G2432" i="2"/>
  <c r="H2432" i="2"/>
  <c r="G2433" i="2"/>
  <c r="H2433" i="2"/>
  <c r="G2434" i="2"/>
  <c r="H2434" i="2"/>
  <c r="G2435" i="2"/>
  <c r="H2435" i="2"/>
  <c r="G2436" i="2"/>
  <c r="H2436" i="2"/>
  <c r="G2437" i="2"/>
  <c r="H2437" i="2"/>
  <c r="G2438" i="2"/>
  <c r="H2438" i="2"/>
  <c r="G2439" i="2"/>
  <c r="H2439" i="2"/>
  <c r="G2440" i="2"/>
  <c r="H2440" i="2"/>
  <c r="G2441" i="2"/>
  <c r="H2441" i="2"/>
  <c r="G2442" i="2"/>
  <c r="H2442" i="2"/>
  <c r="G2443" i="2"/>
  <c r="H2443" i="2"/>
  <c r="G2444" i="2"/>
  <c r="H2444" i="2"/>
  <c r="G2445" i="2"/>
  <c r="H2445" i="2"/>
  <c r="G2446" i="2"/>
  <c r="H2446" i="2"/>
  <c r="G2447" i="2"/>
  <c r="H2447" i="2"/>
  <c r="G2448" i="2"/>
  <c r="H2448" i="2"/>
  <c r="G2449" i="2"/>
  <c r="H2449" i="2"/>
  <c r="G2450" i="2"/>
  <c r="H2450" i="2"/>
  <c r="G2451" i="2"/>
  <c r="H2451" i="2"/>
  <c r="G2452" i="2"/>
  <c r="H2452" i="2"/>
  <c r="G2453" i="2"/>
  <c r="H2453" i="2"/>
  <c r="G2454" i="2"/>
  <c r="H2454" i="2"/>
  <c r="G2455" i="2"/>
  <c r="H2455" i="2"/>
  <c r="G2456" i="2"/>
  <c r="H2456" i="2"/>
  <c r="G2457" i="2"/>
  <c r="H2457" i="2"/>
  <c r="G2458" i="2"/>
  <c r="H2458" i="2"/>
  <c r="G2459" i="2"/>
  <c r="H2459" i="2"/>
  <c r="G2460" i="2"/>
  <c r="H2460" i="2"/>
  <c r="G2461" i="2"/>
  <c r="H2461" i="2"/>
  <c r="G2462" i="2"/>
  <c r="H2462" i="2"/>
  <c r="G2463" i="2"/>
  <c r="H2463" i="2"/>
  <c r="G2464" i="2"/>
  <c r="H2464" i="2"/>
  <c r="G2465" i="2"/>
  <c r="H2465" i="2"/>
  <c r="G2466" i="2"/>
  <c r="H2466" i="2"/>
  <c r="G2467" i="2"/>
  <c r="H2467" i="2"/>
  <c r="G2468" i="2"/>
  <c r="H2468" i="2"/>
  <c r="G2469" i="2"/>
  <c r="H2469" i="2"/>
  <c r="G2470" i="2"/>
  <c r="H2470" i="2"/>
  <c r="G2471" i="2"/>
  <c r="H2471" i="2"/>
  <c r="G2472" i="2"/>
  <c r="H2472" i="2"/>
  <c r="G2473" i="2"/>
  <c r="H2473" i="2"/>
  <c r="G2474" i="2"/>
  <c r="H2474" i="2"/>
  <c r="G2475" i="2"/>
  <c r="H2475" i="2"/>
  <c r="G2476" i="2"/>
  <c r="H2476" i="2"/>
  <c r="G2477" i="2"/>
  <c r="H2477" i="2"/>
  <c r="G2478" i="2"/>
  <c r="H2478" i="2"/>
  <c r="G2479" i="2"/>
  <c r="H2479" i="2"/>
  <c r="G2480" i="2"/>
  <c r="H2480" i="2"/>
  <c r="G2481" i="2"/>
  <c r="H2481" i="2"/>
  <c r="G2482" i="2"/>
  <c r="H2482" i="2"/>
  <c r="G2483" i="2"/>
  <c r="H2483" i="2"/>
  <c r="G2484" i="2"/>
  <c r="H2484" i="2"/>
  <c r="G2485" i="2"/>
  <c r="H2485" i="2"/>
  <c r="G2486" i="2"/>
  <c r="H2486" i="2"/>
  <c r="G2487" i="2"/>
  <c r="H2487" i="2"/>
  <c r="G2488" i="2"/>
  <c r="H2488" i="2"/>
  <c r="G2489" i="2"/>
  <c r="H2489" i="2"/>
  <c r="G2490" i="2"/>
  <c r="H2490" i="2"/>
  <c r="G2491" i="2"/>
  <c r="H2491" i="2"/>
  <c r="G2492" i="2"/>
  <c r="H2492" i="2"/>
  <c r="G2493" i="2"/>
  <c r="H2493" i="2"/>
  <c r="G2494" i="2"/>
  <c r="H2494" i="2"/>
  <c r="G2495" i="2"/>
  <c r="H2495" i="2"/>
  <c r="G2496" i="2"/>
  <c r="H2496" i="2"/>
  <c r="G2497" i="2"/>
  <c r="H2497" i="2"/>
  <c r="G2498" i="2"/>
  <c r="H2498" i="2"/>
  <c r="G2499" i="2"/>
  <c r="H2499" i="2"/>
  <c r="G2500" i="2"/>
  <c r="H2500" i="2"/>
  <c r="G2501" i="2"/>
  <c r="H2501" i="2"/>
  <c r="G2" i="2"/>
  <c r="H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EC37DE-CE3B-2241-8CAC-5FEBA0D26F01}" keepAlive="1" name="Query - Gym_Expansion_Data" description="Connection to the 'Gym_Expansion_Data' query in the workbook." type="5" refreshedVersion="8" background="1" saveData="1">
    <dbPr connection="Provider=Microsoft.Mashup.OleDb.1;Data Source=$Workbook$;Location=Gym_Expansion_Data;Extended Properties=&quot;&quot;" command="SELECT * FROM [Gym_Expansion_Data]"/>
  </connection>
</connections>
</file>

<file path=xl/sharedStrings.xml><?xml version="1.0" encoding="utf-8"?>
<sst xmlns="http://schemas.openxmlformats.org/spreadsheetml/2006/main" count="5124" uniqueCount="61">
  <si>
    <t>Member_ID</t>
  </si>
  <si>
    <t>Location</t>
  </si>
  <si>
    <t>Tier</t>
  </si>
  <si>
    <t>Join_Date</t>
  </si>
  <si>
    <t>Monthly_Fee</t>
  </si>
  <si>
    <t>Churned</t>
  </si>
  <si>
    <t>Warminster</t>
  </si>
  <si>
    <t>Basic</t>
  </si>
  <si>
    <t>Elite</t>
  </si>
  <si>
    <t>South Philly</t>
  </si>
  <si>
    <t>Fairless Hills</t>
  </si>
  <si>
    <t>Grant Ave</t>
  </si>
  <si>
    <t>Premium</t>
  </si>
  <si>
    <t>Grand Total</t>
  </si>
  <si>
    <t>Sum of Monthly_Fee</t>
  </si>
  <si>
    <t>Active Status</t>
  </si>
  <si>
    <t>Sum of Churned</t>
  </si>
  <si>
    <t>Active Member</t>
  </si>
  <si>
    <t>Sum of Active Member</t>
  </si>
  <si>
    <t>Count of Member_ID</t>
  </si>
  <si>
    <t>Membership Tiers</t>
  </si>
  <si>
    <t>Target Location Name</t>
  </si>
  <si>
    <t>Utilities/Insurance</t>
  </si>
  <si>
    <t>Labor Costs</t>
  </si>
  <si>
    <t>Marketing Budget</t>
  </si>
  <si>
    <t>Projected Avg Member Fee</t>
  </si>
  <si>
    <t>Upper Darby</t>
  </si>
  <si>
    <t>Location #5 Expansion Inputs</t>
  </si>
  <si>
    <t>Member Count</t>
  </si>
  <si>
    <t>Estimated Profit</t>
  </si>
  <si>
    <t>Monthly Revenue</t>
  </si>
  <si>
    <t>Other Variable Costs</t>
  </si>
  <si>
    <t>Column Labels</t>
  </si>
  <si>
    <t>Locations</t>
  </si>
  <si>
    <t>Projected Rent</t>
  </si>
  <si>
    <t>Projected Members</t>
  </si>
  <si>
    <t>What-if Scenario Analysis</t>
  </si>
  <si>
    <t>Row Labels</t>
  </si>
  <si>
    <t>(All)</t>
  </si>
  <si>
    <t>Totals for KPI Cards</t>
  </si>
  <si>
    <t>1 = Active ; 0 = Churned</t>
  </si>
  <si>
    <t>Price</t>
  </si>
  <si>
    <t>Monthly Revenue per Active Membership Tier</t>
  </si>
  <si>
    <t xml:space="preserve">Monthly Revenue per Location </t>
  </si>
  <si>
    <t>Membership Tier Count</t>
  </si>
  <si>
    <t>2024</t>
  </si>
  <si>
    <t>Jan</t>
  </si>
  <si>
    <t>Feb</t>
  </si>
  <si>
    <t>Mar</t>
  </si>
  <si>
    <t>Apr</t>
  </si>
  <si>
    <t>May</t>
  </si>
  <si>
    <t>Jun</t>
  </si>
  <si>
    <t>Jul</t>
  </si>
  <si>
    <t>Aug</t>
  </si>
  <si>
    <t>Sep</t>
  </si>
  <si>
    <t>Oct</t>
  </si>
  <si>
    <t>Nov</t>
  </si>
  <si>
    <t>Dec</t>
  </si>
  <si>
    <t>2025</t>
  </si>
  <si>
    <t>Profitability Overview</t>
  </si>
  <si>
    <t>Profit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</si>
</sst>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7" x14ac:knownFonts="1">
    <font>
      <sz val="12"/>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b/>
      <sz val="12"/>
      <color theme="4"/>
      <name val="Calibri"/>
      <family val="2"/>
      <scheme val="minor"/>
    </font>
    <font>
      <sz val="12"/>
      <name val="Calibri"/>
      <family val="2"/>
      <scheme val="minor"/>
    </font>
    <font>
      <b/>
      <sz val="12"/>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5" tint="0.79998168889431442"/>
        <bgColor indexed="64"/>
      </patternFill>
    </fill>
  </fills>
  <borders count="15">
    <border>
      <left/>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51">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10" fontId="0" fillId="0" borderId="0" xfId="2" applyNumberFormat="1" applyFont="1"/>
    <xf numFmtId="164" fontId="0" fillId="0" borderId="0" xfId="1" applyNumberFormat="1" applyFont="1"/>
    <xf numFmtId="0" fontId="5" fillId="0" borderId="0" xfId="0" applyFont="1"/>
    <xf numFmtId="0" fontId="4" fillId="4" borderId="3" xfId="0" applyFont="1" applyFill="1" applyBorder="1"/>
    <xf numFmtId="0" fontId="4" fillId="4" borderId="1" xfId="0" applyFont="1" applyFill="1" applyBorder="1"/>
    <xf numFmtId="0" fontId="3" fillId="4" borderId="2" xfId="0" applyFont="1" applyFill="1" applyBorder="1"/>
    <xf numFmtId="0" fontId="3" fillId="3" borderId="4" xfId="0" applyFont="1" applyFill="1" applyBorder="1"/>
    <xf numFmtId="0" fontId="3" fillId="3" borderId="5" xfId="0" applyFont="1" applyFill="1" applyBorder="1"/>
    <xf numFmtId="0" fontId="3" fillId="3" borderId="6" xfId="0" applyFont="1" applyFill="1" applyBorder="1"/>
    <xf numFmtId="0" fontId="4" fillId="4" borderId="2" xfId="0" applyFont="1" applyFill="1" applyBorder="1"/>
    <xf numFmtId="0" fontId="6" fillId="4" borderId="2" xfId="0" applyFont="1" applyFill="1" applyBorder="1"/>
    <xf numFmtId="0" fontId="3" fillId="4" borderId="5" xfId="0" applyFont="1" applyFill="1" applyBorder="1"/>
    <xf numFmtId="0" fontId="0" fillId="0" borderId="10" xfId="0" applyBorder="1"/>
    <xf numFmtId="0" fontId="3" fillId="4" borderId="9" xfId="0" applyFont="1" applyFill="1" applyBorder="1"/>
    <xf numFmtId="0" fontId="2" fillId="5" borderId="7" xfId="0" applyFont="1" applyFill="1" applyBorder="1"/>
    <xf numFmtId="0" fontId="2" fillId="5" borderId="8" xfId="0" applyFont="1" applyFill="1" applyBorder="1"/>
    <xf numFmtId="0" fontId="2" fillId="5" borderId="11" xfId="0" applyFont="1" applyFill="1" applyBorder="1"/>
    <xf numFmtId="0" fontId="0" fillId="0" borderId="12" xfId="0" applyBorder="1"/>
    <xf numFmtId="0" fontId="3" fillId="4" borderId="9" xfId="0" applyFont="1" applyFill="1" applyBorder="1" applyAlignment="1">
      <alignment horizontal="center"/>
    </xf>
    <xf numFmtId="0" fontId="3" fillId="4" borderId="0" xfId="0" applyFont="1" applyFill="1" applyAlignment="1">
      <alignment horizontal="center"/>
    </xf>
    <xf numFmtId="0" fontId="3" fillId="4" borderId="7" xfId="0" applyFont="1" applyFill="1" applyBorder="1" applyAlignment="1">
      <alignment horizontal="center"/>
    </xf>
    <xf numFmtId="0" fontId="3" fillId="0" borderId="0" xfId="0" applyFont="1"/>
    <xf numFmtId="0" fontId="3" fillId="3" borderId="9" xfId="0" applyFont="1" applyFill="1" applyBorder="1"/>
    <xf numFmtId="0" fontId="3" fillId="4" borderId="6" xfId="0" applyFont="1" applyFill="1" applyBorder="1"/>
    <xf numFmtId="0" fontId="3" fillId="0" borderId="0" xfId="0" pivotButton="1" applyFont="1"/>
    <xf numFmtId="0" fontId="0" fillId="0" borderId="0" xfId="0" quotePrefix="1"/>
    <xf numFmtId="0" fontId="3" fillId="6" borderId="0" xfId="0" applyFont="1" applyFill="1" applyAlignment="1">
      <alignment horizontal="left"/>
    </xf>
    <xf numFmtId="0" fontId="3" fillId="6" borderId="0" xfId="0" applyFont="1" applyFill="1"/>
    <xf numFmtId="14" fontId="0" fillId="0" borderId="0" xfId="0" applyNumberFormat="1" applyAlignment="1">
      <alignment horizontal="left" indent="1"/>
    </xf>
    <xf numFmtId="164" fontId="0" fillId="0" borderId="0" xfId="1" applyNumberFormat="1" applyFont="1" applyBorder="1"/>
    <xf numFmtId="0" fontId="0" fillId="0" borderId="14" xfId="0" applyBorder="1"/>
    <xf numFmtId="164" fontId="0" fillId="0" borderId="12" xfId="1" applyNumberFormat="1" applyFont="1" applyBorder="1"/>
    <xf numFmtId="0" fontId="3" fillId="3" borderId="4" xfId="0" applyFont="1" applyFill="1" applyBorder="1" applyAlignment="1">
      <alignment horizontal="right"/>
    </xf>
    <xf numFmtId="164" fontId="3" fillId="3" borderId="9" xfId="1" applyNumberFormat="1" applyFont="1" applyFill="1" applyBorder="1"/>
    <xf numFmtId="164" fontId="3" fillId="3" borderId="11" xfId="1" applyNumberFormat="1" applyFont="1" applyFill="1" applyBorder="1"/>
    <xf numFmtId="44" fontId="3" fillId="3" borderId="9" xfId="1" applyFont="1" applyFill="1" applyBorder="1"/>
    <xf numFmtId="164" fontId="3" fillId="4" borderId="5" xfId="1" applyNumberFormat="1" applyFont="1" applyFill="1" applyBorder="1"/>
    <xf numFmtId="164" fontId="3" fillId="4" borderId="2" xfId="1" applyNumberFormat="1" applyFont="1" applyFill="1" applyBorder="1"/>
    <xf numFmtId="164" fontId="3" fillId="4" borderId="6" xfId="1" applyNumberFormat="1" applyFont="1" applyFill="1" applyBorder="1"/>
    <xf numFmtId="164" fontId="3" fillId="4" borderId="3" xfId="1" applyNumberFormat="1" applyFont="1" applyFill="1" applyBorder="1"/>
    <xf numFmtId="0" fontId="2" fillId="5" borderId="7" xfId="0" applyFont="1" applyFill="1" applyBorder="1" applyAlignment="1">
      <alignment horizontal="center"/>
    </xf>
    <xf numFmtId="0" fontId="2" fillId="5" borderId="8" xfId="0" applyFont="1" applyFill="1" applyBorder="1" applyAlignment="1">
      <alignment horizontal="center"/>
    </xf>
    <xf numFmtId="0" fontId="2" fillId="5" borderId="13" xfId="0" applyFont="1" applyFill="1" applyBorder="1" applyAlignment="1">
      <alignment horizontal="center"/>
    </xf>
    <xf numFmtId="0" fontId="2" fillId="5" borderId="14" xfId="0" applyFont="1" applyFill="1" applyBorder="1" applyAlignment="1">
      <alignment horizontal="center"/>
    </xf>
    <xf numFmtId="0" fontId="0" fillId="0" borderId="0" xfId="0" applyNumberFormat="1"/>
    <xf numFmtId="14" fontId="0" fillId="0" borderId="0" xfId="0" applyNumberFormat="1" applyAlignment="1">
      <alignment horizontal="left"/>
    </xf>
  </cellXfs>
  <cellStyles count="3">
    <cellStyle name="Currency" xfId="1" builtinId="4"/>
    <cellStyle name="Normal" xfId="0" builtinId="0"/>
    <cellStyle name="Percent" xfId="2" builtinId="5"/>
  </cellStyles>
  <dxfs count="76">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color rgb="FF9C0006"/>
      </font>
      <fill>
        <patternFill>
          <bgColor rgb="FFFFC7CE"/>
        </patternFill>
      </fill>
    </dxf>
    <dxf>
      <font>
        <color rgb="FF006100"/>
      </font>
      <fill>
        <patternFill>
          <bgColor rgb="FFC6EFCE"/>
        </patternFill>
      </fill>
    </dxf>
    <dxf>
      <numFmt numFmtId="0" formatCode="General"/>
    </dxf>
    <dxf>
      <numFmt numFmtId="0" formatCode="General"/>
    </dxf>
    <dxf>
      <numFmt numFmtId="19" formatCode="m/d/yy"/>
    </dxf>
    <dxf>
      <numFmt numFmtId="19" formatCode="m/d/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[Fusion KPI Dashboard.xlsx]Calcaulations!Pivot_TierMix</c:name>
    <c:fmtId val="7"/>
  </c:pivotSource>
  <c:chart>
    <c:title>
      <c:tx>
        <c:rich>
          <a:bodyPr rot="0" spcFirstLastPara="1" vertOverflow="ellipsis" vert="horz" wrap="square" anchor="ctr" anchorCtr="1"/>
          <a:lstStyle/>
          <a:p>
            <a:pPr>
              <a:defRPr sz="1600" b="0" i="0" u="none" strike="noStrike" kern="1200" spc="0" baseline="0">
                <a:solidFill>
                  <a:schemeClr val="tx1"/>
                </a:solidFill>
                <a:effectLst>
                  <a:outerShdw blurRad="50800" dist="38100" dir="2700000" algn="tl" rotWithShape="0">
                    <a:prstClr val="black">
                      <a:alpha val="35000"/>
                    </a:prstClr>
                  </a:outerShdw>
                </a:effectLst>
                <a:latin typeface="+mn-lt"/>
                <a:ea typeface="+mn-ea"/>
                <a:cs typeface="+mn-cs"/>
              </a:defRPr>
            </a:pPr>
            <a:r>
              <a:rPr lang="en-US" sz="1600">
                <a:solidFill>
                  <a:schemeClr val="tx1"/>
                </a:solidFill>
                <a:effectLst>
                  <a:outerShdw blurRad="50800" dist="38100" dir="2700000" algn="tl" rotWithShape="0">
                    <a:prstClr val="black">
                      <a:alpha val="35000"/>
                    </a:prstClr>
                  </a:outerShdw>
                </a:effectLst>
              </a:rPr>
              <a:t>Membership</a:t>
            </a:r>
            <a:r>
              <a:rPr lang="en-US" sz="1600" baseline="0">
                <a:solidFill>
                  <a:schemeClr val="tx1"/>
                </a:solidFill>
                <a:effectLst>
                  <a:outerShdw blurRad="50800" dist="38100" dir="2700000" algn="tl" rotWithShape="0">
                    <a:prstClr val="black">
                      <a:alpha val="35000"/>
                    </a:prstClr>
                  </a:outerShdw>
                </a:effectLst>
              </a:rPr>
              <a:t> Distribution</a:t>
            </a:r>
            <a:endParaRPr lang="en-US" sz="1600">
              <a:solidFill>
                <a:schemeClr val="tx1"/>
              </a:solidFill>
              <a:effectLst>
                <a:outerShdw blurRad="50800" dist="38100" dir="2700000" algn="tl" rotWithShape="0">
                  <a:prstClr val="black">
                    <a:alpha val="35000"/>
                  </a:prstClr>
                </a:outerShdw>
              </a:effectLst>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effectLst>
                <a:outerShdw blurRad="50800" dist="38100" dir="2700000" algn="tl" rotWithShape="0">
                  <a:prstClr val="black">
                    <a:alpha val="35000"/>
                  </a:prstClr>
                </a:outerShdw>
              </a:effectLst>
              <a:latin typeface="+mn-lt"/>
              <a:ea typeface="+mn-ea"/>
              <a:cs typeface="+mn-cs"/>
            </a:defRPr>
          </a:pPr>
          <a:endParaRPr lang="en-US"/>
        </a:p>
      </c:txPr>
    </c:title>
    <c:autoTitleDeleted val="0"/>
    <c:pivotFmts>
      <c:pivotFmt>
        <c:idx val="0"/>
        <c:spPr>
          <a:solidFill>
            <a:schemeClr val="accent1"/>
          </a:solidFill>
          <a:ln w="19050">
            <a:solidFill>
              <a:schemeClr val="bg1"/>
            </a:solidFill>
          </a:ln>
          <a:effectLst/>
        </c:spPr>
        <c:marker>
          <c:symbol val="none"/>
        </c:marker>
        <c:dLbl>
          <c:idx val="0"/>
          <c:spPr>
            <a:noFill/>
            <a:ln>
              <a:noFill/>
            </a:ln>
            <a:effectLst>
              <a:glow rad="63500">
                <a:schemeClr val="accent3">
                  <a:satMod val="175000"/>
                  <a:alpha val="40000"/>
                </a:schemeClr>
              </a:glow>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schemeClr val="tx1">
                        <a:alpha val="35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tx1"/>
          </a:solidFill>
          <a:ln w="19050">
            <a:solidFill>
              <a:schemeClr val="bg1"/>
            </a:solidFill>
          </a:ln>
          <a:effectLst/>
        </c:spPr>
        <c:dLbl>
          <c:idx val="0"/>
          <c:layout>
            <c:manualLayout>
              <c:x val="9.7222222222222224E-2"/>
              <c:y val="0"/>
            </c:manualLayout>
          </c:layout>
          <c:spPr>
            <a:noFill/>
            <a:ln>
              <a:noFill/>
            </a:ln>
            <a:effectLst>
              <a:glow rad="63500">
                <a:schemeClr val="accent3">
                  <a:satMod val="175000"/>
                  <a:alpha val="40000"/>
                </a:schemeClr>
              </a:glow>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schemeClr val="tx1">
                        <a:alpha val="35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bg1"/>
          </a:solidFill>
          <a:ln w="19050">
            <a:solidFill>
              <a:schemeClr val="bg1"/>
            </a:solidFill>
          </a:ln>
          <a:effectLst/>
        </c:spPr>
        <c:dLbl>
          <c:idx val="0"/>
          <c:layout>
            <c:manualLayout>
              <c:x val="-7.7777777777777835E-2"/>
              <c:y val="0.125"/>
            </c:manualLayout>
          </c:layout>
          <c:spPr>
            <a:noFill/>
            <a:ln>
              <a:noFill/>
            </a:ln>
            <a:effectLst>
              <a:glow rad="63500">
                <a:schemeClr val="accent3">
                  <a:satMod val="175000"/>
                  <a:alpha val="40000"/>
                </a:schemeClr>
              </a:glow>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schemeClr val="tx1">
                        <a:alpha val="35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3"/>
          </a:solidFill>
          <a:ln w="19050">
            <a:solidFill>
              <a:schemeClr val="bg1"/>
            </a:solidFill>
          </a:ln>
          <a:effectLst/>
        </c:spPr>
        <c:dLbl>
          <c:idx val="0"/>
          <c:layout>
            <c:manualLayout>
              <c:x val="-9.4444444444444442E-2"/>
              <c:y val="-0.13425925925925927"/>
            </c:manualLayout>
          </c:layout>
          <c:spPr>
            <a:noFill/>
            <a:ln>
              <a:noFill/>
            </a:ln>
            <a:effectLst>
              <a:glow rad="63500">
                <a:schemeClr val="accent3">
                  <a:satMod val="175000"/>
                  <a:alpha val="40000"/>
                </a:schemeClr>
              </a:glow>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schemeClr val="tx1">
                        <a:alpha val="35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w="19050">
            <a:solidFill>
              <a:schemeClr val="bg1"/>
            </a:solidFill>
          </a:ln>
          <a:effectLst/>
        </c:spPr>
        <c:marker>
          <c:symbol val="none"/>
        </c:marker>
        <c:dLbl>
          <c:idx val="0"/>
          <c:spPr>
            <a:noFill/>
            <a:ln>
              <a:noFill/>
            </a:ln>
            <a:effectLst>
              <a:glow rad="63500">
                <a:schemeClr val="accent3">
                  <a:satMod val="175000"/>
                  <a:alpha val="40000"/>
                </a:schemeClr>
              </a:glow>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schemeClr val="tx1">
                        <a:alpha val="35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tx1"/>
          </a:solidFill>
          <a:ln w="19050">
            <a:solidFill>
              <a:schemeClr val="bg1"/>
            </a:solidFill>
          </a:ln>
          <a:effectLst/>
        </c:spPr>
        <c:dLbl>
          <c:idx val="0"/>
          <c:layout>
            <c:manualLayout>
              <c:x val="9.7222222222222224E-2"/>
              <c:y val="0"/>
            </c:manualLayout>
          </c:layout>
          <c:spPr>
            <a:noFill/>
            <a:ln>
              <a:noFill/>
            </a:ln>
            <a:effectLst>
              <a:glow rad="63500">
                <a:schemeClr val="accent3">
                  <a:satMod val="175000"/>
                  <a:alpha val="40000"/>
                </a:schemeClr>
              </a:glow>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schemeClr val="tx1">
                        <a:alpha val="35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bg1"/>
          </a:solidFill>
          <a:ln w="19050">
            <a:solidFill>
              <a:schemeClr val="bg1"/>
            </a:solidFill>
          </a:ln>
          <a:effectLst/>
        </c:spPr>
        <c:dLbl>
          <c:idx val="0"/>
          <c:layout>
            <c:manualLayout>
              <c:x val="-7.7777777777777835E-2"/>
              <c:y val="0.125"/>
            </c:manualLayout>
          </c:layout>
          <c:spPr>
            <a:noFill/>
            <a:ln>
              <a:noFill/>
            </a:ln>
            <a:effectLst>
              <a:glow rad="63500">
                <a:schemeClr val="accent3">
                  <a:satMod val="175000"/>
                  <a:alpha val="40000"/>
                </a:schemeClr>
              </a:glow>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schemeClr val="tx1">
                        <a:alpha val="35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19050">
            <a:solidFill>
              <a:schemeClr val="bg1"/>
            </a:solidFill>
          </a:ln>
          <a:effectLst/>
        </c:spPr>
        <c:dLbl>
          <c:idx val="0"/>
          <c:layout>
            <c:manualLayout>
              <c:x val="-9.4444444444444442E-2"/>
              <c:y val="-0.13425925925925927"/>
            </c:manualLayout>
          </c:layout>
          <c:spPr>
            <a:noFill/>
            <a:ln>
              <a:noFill/>
            </a:ln>
            <a:effectLst>
              <a:glow rad="63500">
                <a:schemeClr val="accent3">
                  <a:satMod val="175000"/>
                  <a:alpha val="40000"/>
                </a:schemeClr>
              </a:glow>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schemeClr val="tx1">
                        <a:alpha val="35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bg2">
              <a:lumMod val="90000"/>
            </a:schemeClr>
          </a:solidFill>
          <a:ln w="19050">
            <a:solidFill>
              <a:schemeClr val="bg1"/>
            </a:solidFill>
          </a:ln>
          <a:effectLst/>
        </c:spPr>
        <c:marker>
          <c:symbol val="none"/>
        </c:marker>
        <c:dLbl>
          <c:idx val="0"/>
          <c:spPr>
            <a:noFill/>
            <a:ln>
              <a:noFill/>
            </a:ln>
            <a:effectLst>
              <a:glow rad="63500">
                <a:schemeClr val="accent3">
                  <a:satMod val="175000"/>
                  <a:alpha val="40000"/>
                </a:schemeClr>
              </a:glow>
            </a:effectLst>
          </c:spPr>
          <c:txPr>
            <a:bodyPr rot="0" spcFirstLastPara="1" vertOverflow="overflow" horzOverflow="overflow" vert="horz" wrap="square" lIns="38100" tIns="19050" rIns="38100" bIns="19050" anchor="ctr" anchorCtr="1">
              <a:spAutoFit/>
            </a:bodyPr>
            <a:lstStyle/>
            <a:p>
              <a:pPr>
                <a:defRPr sz="1100" b="0" i="0" u="none" strike="noStrike" kern="1200" baseline="0">
                  <a:solidFill>
                    <a:schemeClr val="tx1"/>
                  </a:solidFill>
                  <a:effectLst>
                    <a:outerShdw blurRad="50800" dist="38100" dir="2700000" algn="tl" rotWithShape="0">
                      <a:schemeClr val="tx1">
                        <a:alpha val="35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tx1"/>
          </a:solidFill>
          <a:ln w="19050">
            <a:solidFill>
              <a:schemeClr val="bg1"/>
            </a:solidFill>
          </a:ln>
          <a:effectLst/>
        </c:spPr>
        <c:dLbl>
          <c:idx val="0"/>
          <c:layout>
            <c:manualLayout>
              <c:x val="9.7222222222222224E-2"/>
              <c:y val="0"/>
            </c:manualLayout>
          </c:layout>
          <c:spPr>
            <a:noFill/>
            <a:ln>
              <a:noFill/>
            </a:ln>
            <a:effectLst>
              <a:glow rad="63500">
                <a:schemeClr val="accent3">
                  <a:satMod val="175000"/>
                  <a:alpha val="40000"/>
                </a:schemeClr>
              </a:glow>
            </a:effectLst>
          </c:spPr>
          <c:txPr>
            <a:bodyPr rot="0" spcFirstLastPara="1" vertOverflow="overflow" horzOverflow="overflow" vert="horz" wrap="square" lIns="38100" tIns="19050" rIns="38100" bIns="19050" anchor="ctr" anchorCtr="1">
              <a:spAutoFit/>
            </a:bodyPr>
            <a:lstStyle/>
            <a:p>
              <a:pPr>
                <a:defRPr sz="1100" b="0" i="0" u="none" strike="noStrike" kern="1200" baseline="0">
                  <a:solidFill>
                    <a:schemeClr val="tx1"/>
                  </a:solidFill>
                  <a:effectLst>
                    <a:outerShdw blurRad="50800" dist="38100" dir="2700000" algn="tl" rotWithShape="0">
                      <a:schemeClr val="tx1">
                        <a:alpha val="35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bg1"/>
          </a:solidFill>
          <a:ln w="19050">
            <a:solidFill>
              <a:schemeClr val="bg1"/>
            </a:solidFill>
          </a:ln>
          <a:effectLst/>
        </c:spPr>
        <c:dLbl>
          <c:idx val="0"/>
          <c:layout>
            <c:manualLayout>
              <c:x val="-7.7777777777777835E-2"/>
              <c:y val="0.125"/>
            </c:manualLayout>
          </c:layout>
          <c:spPr>
            <a:noFill/>
            <a:ln>
              <a:noFill/>
            </a:ln>
            <a:effectLst>
              <a:glow rad="63500">
                <a:schemeClr val="accent3">
                  <a:satMod val="175000"/>
                  <a:alpha val="40000"/>
                </a:schemeClr>
              </a:glow>
            </a:effectLst>
          </c:spPr>
          <c:txPr>
            <a:bodyPr rot="0" spcFirstLastPara="1" vertOverflow="overflow" horzOverflow="overflow" vert="horz" wrap="square" lIns="38100" tIns="19050" rIns="38100" bIns="19050" anchor="ctr" anchorCtr="1">
              <a:spAutoFit/>
            </a:bodyPr>
            <a:lstStyle/>
            <a:p>
              <a:pPr>
                <a:defRPr sz="1100" b="0" i="0" u="none" strike="noStrike" kern="1200" baseline="0">
                  <a:solidFill>
                    <a:schemeClr val="tx1"/>
                  </a:solidFill>
                  <a:effectLst>
                    <a:outerShdw blurRad="50800" dist="38100" dir="2700000" algn="tl" rotWithShape="0">
                      <a:schemeClr val="tx1">
                        <a:alpha val="35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bg2">
              <a:lumMod val="90000"/>
            </a:schemeClr>
          </a:solidFill>
          <a:ln w="19050">
            <a:solidFill>
              <a:schemeClr val="bg1"/>
            </a:solidFill>
          </a:ln>
          <a:effectLst/>
        </c:spPr>
        <c:dLbl>
          <c:idx val="0"/>
          <c:layout>
            <c:manualLayout>
              <c:x val="-9.4444444444444442E-2"/>
              <c:y val="-0.13425925925925927"/>
            </c:manualLayout>
          </c:layout>
          <c:spPr>
            <a:noFill/>
            <a:ln>
              <a:noFill/>
            </a:ln>
            <a:effectLst>
              <a:glow rad="63500">
                <a:schemeClr val="accent3">
                  <a:satMod val="175000"/>
                  <a:alpha val="40000"/>
                </a:schemeClr>
              </a:glow>
            </a:effectLst>
          </c:spPr>
          <c:txPr>
            <a:bodyPr rot="0" spcFirstLastPara="1" vertOverflow="overflow" horzOverflow="overflow" vert="horz" wrap="square" lIns="38100" tIns="19050" rIns="38100" bIns="19050" anchor="ctr" anchorCtr="1">
              <a:spAutoFit/>
            </a:bodyPr>
            <a:lstStyle/>
            <a:p>
              <a:pPr>
                <a:defRPr sz="1100" b="0" i="0" u="none" strike="noStrike" kern="1200" baseline="0">
                  <a:solidFill>
                    <a:schemeClr val="tx1"/>
                  </a:solidFill>
                  <a:effectLst>
                    <a:outerShdw blurRad="50800" dist="38100" dir="2700000" algn="tl" rotWithShape="0">
                      <a:schemeClr val="tx1">
                        <a:alpha val="35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doughnutChart>
        <c:varyColors val="1"/>
        <c:ser>
          <c:idx val="0"/>
          <c:order val="0"/>
          <c:tx>
            <c:strRef>
              <c:f>Calcaulations!$B$12</c:f>
              <c:strCache>
                <c:ptCount val="1"/>
                <c:pt idx="0">
                  <c:v>Total</c:v>
                </c:pt>
              </c:strCache>
            </c:strRef>
          </c:tx>
          <c:spPr>
            <a:solidFill>
              <a:schemeClr val="bg2">
                <a:lumMod val="90000"/>
              </a:schemeClr>
            </a:solidFill>
            <a:ln>
              <a:solidFill>
                <a:schemeClr val="bg1"/>
              </a:solidFill>
            </a:ln>
          </c:spPr>
          <c:dPt>
            <c:idx val="0"/>
            <c:bubble3D val="0"/>
            <c:spPr>
              <a:solidFill>
                <a:schemeClr val="tx1"/>
              </a:solidFill>
              <a:ln w="19050">
                <a:solidFill>
                  <a:schemeClr val="bg1"/>
                </a:solidFill>
              </a:ln>
              <a:effectLst/>
            </c:spPr>
            <c:extLst>
              <c:ext xmlns:c16="http://schemas.microsoft.com/office/drawing/2014/chart" uri="{C3380CC4-5D6E-409C-BE32-E72D297353CC}">
                <c16:uniqueId val="{00000001-6B79-DA4E-977B-6F11665F4768}"/>
              </c:ext>
            </c:extLst>
          </c:dPt>
          <c:dPt>
            <c:idx val="1"/>
            <c:bubble3D val="0"/>
            <c:spPr>
              <a:solidFill>
                <a:schemeClr val="bg1"/>
              </a:solidFill>
              <a:ln w="19050">
                <a:solidFill>
                  <a:schemeClr val="bg1"/>
                </a:solidFill>
              </a:ln>
              <a:effectLst/>
            </c:spPr>
            <c:extLst>
              <c:ext xmlns:c16="http://schemas.microsoft.com/office/drawing/2014/chart" uri="{C3380CC4-5D6E-409C-BE32-E72D297353CC}">
                <c16:uniqueId val="{00000003-6B79-DA4E-977B-6F11665F4768}"/>
              </c:ext>
            </c:extLst>
          </c:dPt>
          <c:dPt>
            <c:idx val="2"/>
            <c:bubble3D val="0"/>
            <c:spPr>
              <a:solidFill>
                <a:schemeClr val="bg2">
                  <a:lumMod val="90000"/>
                </a:schemeClr>
              </a:solidFill>
              <a:ln w="19050">
                <a:solidFill>
                  <a:schemeClr val="bg1"/>
                </a:solidFill>
              </a:ln>
              <a:effectLst/>
            </c:spPr>
            <c:extLst>
              <c:ext xmlns:c16="http://schemas.microsoft.com/office/drawing/2014/chart" uri="{C3380CC4-5D6E-409C-BE32-E72D297353CC}">
                <c16:uniqueId val="{00000005-6B79-DA4E-977B-6F11665F4768}"/>
              </c:ext>
            </c:extLst>
          </c:dPt>
          <c:dLbls>
            <c:dLbl>
              <c:idx val="0"/>
              <c:layout>
                <c:manualLayout>
                  <c:x val="9.7222222222222224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B79-DA4E-977B-6F11665F4768}"/>
                </c:ext>
              </c:extLst>
            </c:dLbl>
            <c:dLbl>
              <c:idx val="1"/>
              <c:layout>
                <c:manualLayout>
                  <c:x val="-7.7777777777777835E-2"/>
                  <c:y val="0.1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B79-DA4E-977B-6F11665F4768}"/>
                </c:ext>
              </c:extLst>
            </c:dLbl>
            <c:dLbl>
              <c:idx val="2"/>
              <c:layout>
                <c:manualLayout>
                  <c:x val="-9.4444444444444442E-2"/>
                  <c:y val="-0.134259259259259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B79-DA4E-977B-6F11665F4768}"/>
                </c:ext>
              </c:extLst>
            </c:dLbl>
            <c:spPr>
              <a:noFill/>
              <a:ln>
                <a:noFill/>
              </a:ln>
              <a:effectLst>
                <a:glow rad="63500">
                  <a:schemeClr val="accent3">
                    <a:satMod val="175000"/>
                    <a:alpha val="40000"/>
                  </a:schemeClr>
                </a:glow>
              </a:effectLst>
            </c:spPr>
            <c:txPr>
              <a:bodyPr rot="0" spcFirstLastPara="1" vertOverflow="overflow" horzOverflow="overflow" vert="horz" wrap="square" lIns="38100" tIns="19050" rIns="38100" bIns="19050" anchor="ctr" anchorCtr="1">
                <a:spAutoFit/>
              </a:bodyPr>
              <a:lstStyle/>
              <a:p>
                <a:pPr>
                  <a:defRPr sz="1100" b="0" i="0" u="none" strike="noStrike" kern="1200" baseline="0">
                    <a:solidFill>
                      <a:schemeClr val="tx1"/>
                    </a:solidFill>
                    <a:effectLst>
                      <a:outerShdw blurRad="50800" dist="38100" dir="2700000" algn="tl" rotWithShape="0">
                        <a:schemeClr val="tx1">
                          <a:alpha val="35000"/>
                        </a:schemeClr>
                      </a:outerShdw>
                    </a:effectLst>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Calcaulations!$A$13:$A$16</c:f>
              <c:strCache>
                <c:ptCount val="3"/>
                <c:pt idx="0">
                  <c:v>Basic</c:v>
                </c:pt>
                <c:pt idx="1">
                  <c:v>Elite</c:v>
                </c:pt>
                <c:pt idx="2">
                  <c:v>Premium</c:v>
                </c:pt>
              </c:strCache>
            </c:strRef>
          </c:cat>
          <c:val>
            <c:numRef>
              <c:f>Calcaulations!$B$13:$B$16</c:f>
              <c:numCache>
                <c:formatCode>General</c:formatCode>
                <c:ptCount val="3"/>
                <c:pt idx="0">
                  <c:v>1217</c:v>
                </c:pt>
                <c:pt idx="1">
                  <c:v>525</c:v>
                </c:pt>
                <c:pt idx="2">
                  <c:v>758</c:v>
                </c:pt>
              </c:numCache>
            </c:numRef>
          </c:val>
          <c:extLst>
            <c:ext xmlns:c16="http://schemas.microsoft.com/office/drawing/2014/chart" uri="{C3380CC4-5D6E-409C-BE32-E72D297353CC}">
              <c16:uniqueId val="{00000006-6B79-DA4E-977B-6F11665F4768}"/>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50"/>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[Fusion KPI Dashboard.xlsx]Calcaulations!PivotTable10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New Monthly Recurring Revenue Added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Calcaulations!$J$12</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trendline>
            <c:spPr>
              <a:ln w="19050" cap="rnd">
                <a:solidFill>
                  <a:schemeClr val="bg1"/>
                </a:solidFill>
              </a:ln>
              <a:effectLst/>
            </c:spPr>
            <c:trendlineType val="linear"/>
            <c:dispRSqr val="0"/>
            <c:dispEq val="0"/>
          </c:trendline>
          <c:cat>
            <c:multiLvlStrRef>
              <c:f>Calcaulations!$I$13:$I$39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Calcaulations!$J$13:$J$39</c:f>
              <c:numCache>
                <c:formatCode>General</c:formatCode>
                <c:ptCount val="24"/>
                <c:pt idx="0">
                  <c:v>7771</c:v>
                </c:pt>
                <c:pt idx="1">
                  <c:v>9293</c:v>
                </c:pt>
                <c:pt idx="2">
                  <c:v>6971</c:v>
                </c:pt>
                <c:pt idx="3">
                  <c:v>7206</c:v>
                </c:pt>
                <c:pt idx="4">
                  <c:v>8416</c:v>
                </c:pt>
                <c:pt idx="5">
                  <c:v>8439</c:v>
                </c:pt>
                <c:pt idx="6">
                  <c:v>10108</c:v>
                </c:pt>
                <c:pt idx="7">
                  <c:v>8849</c:v>
                </c:pt>
                <c:pt idx="8">
                  <c:v>9444</c:v>
                </c:pt>
                <c:pt idx="9">
                  <c:v>8488</c:v>
                </c:pt>
                <c:pt idx="10">
                  <c:v>8528</c:v>
                </c:pt>
                <c:pt idx="11">
                  <c:v>9106</c:v>
                </c:pt>
                <c:pt idx="12">
                  <c:v>7544</c:v>
                </c:pt>
                <c:pt idx="13">
                  <c:v>5906</c:v>
                </c:pt>
                <c:pt idx="14">
                  <c:v>8447</c:v>
                </c:pt>
                <c:pt idx="15">
                  <c:v>9142</c:v>
                </c:pt>
                <c:pt idx="16">
                  <c:v>10388</c:v>
                </c:pt>
                <c:pt idx="17">
                  <c:v>7166</c:v>
                </c:pt>
                <c:pt idx="18">
                  <c:v>9111</c:v>
                </c:pt>
                <c:pt idx="19">
                  <c:v>8754</c:v>
                </c:pt>
                <c:pt idx="20">
                  <c:v>8252</c:v>
                </c:pt>
                <c:pt idx="21">
                  <c:v>10379</c:v>
                </c:pt>
                <c:pt idx="22">
                  <c:v>6538</c:v>
                </c:pt>
                <c:pt idx="23">
                  <c:v>574</c:v>
                </c:pt>
              </c:numCache>
            </c:numRef>
          </c:val>
          <c:smooth val="0"/>
          <c:extLst>
            <c:ext xmlns:c16="http://schemas.microsoft.com/office/drawing/2014/chart" uri="{C3380CC4-5D6E-409C-BE32-E72D297353CC}">
              <c16:uniqueId val="{00000001-35C4-D140-A64A-0DFDAF4E002E}"/>
            </c:ext>
          </c:extLst>
        </c:ser>
        <c:dLbls>
          <c:showLegendKey val="0"/>
          <c:showVal val="0"/>
          <c:showCatName val="0"/>
          <c:showSerName val="0"/>
          <c:showPercent val="0"/>
          <c:showBubbleSize val="0"/>
        </c:dLbls>
        <c:marker val="1"/>
        <c:smooth val="0"/>
        <c:axId val="1555324799"/>
        <c:axId val="1555323007"/>
      </c:lineChart>
      <c:catAx>
        <c:axId val="15553247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0" i="0" u="none" strike="noStrike" kern="1200" baseline="0">
                <a:ln>
                  <a:noFill/>
                </a:ln>
                <a:solidFill>
                  <a:schemeClr val="lt1">
                    <a:lumMod val="85000"/>
                  </a:schemeClr>
                </a:solidFill>
                <a:latin typeface="+mn-lt"/>
                <a:ea typeface="+mn-ea"/>
                <a:cs typeface="+mn-cs"/>
              </a:defRPr>
            </a:pPr>
            <a:endParaRPr lang="en-US"/>
          </a:p>
        </c:txPr>
        <c:crossAx val="1555323007"/>
        <c:crosses val="autoZero"/>
        <c:auto val="1"/>
        <c:lblAlgn val="ctr"/>
        <c:lblOffset val="100"/>
        <c:noMultiLvlLbl val="0"/>
      </c:catAx>
      <c:valAx>
        <c:axId val="155532300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1200"/>
                  <a:t>Revenue</a:t>
                </a:r>
                <a:r>
                  <a:rPr lang="en-US" sz="1200" baseline="0"/>
                  <a:t> ($)</a:t>
                </a:r>
                <a:endParaRPr lang="en-US" sz="1200"/>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155532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[Fusion KPI Dashboard.xlsx]Calcaulations!PivotTable1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Active Monthly Recurring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solidFill>
              <a:schemeClr val="accent6"/>
            </a:soli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Calcaulations!$M$12</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solidFill>
                <a:schemeClr val="accent6"/>
              </a:solidFill>
              <a:ln w="9525">
                <a:solidFill>
                  <a:schemeClr val="accent6"/>
                </a:solidFill>
                <a:round/>
              </a:ln>
              <a:effectLst>
                <a:outerShdw blurRad="57150" dist="19050" dir="5400000" algn="ctr" rotWithShape="0">
                  <a:srgbClr val="000000">
                    <a:alpha val="63000"/>
                  </a:srgbClr>
                </a:outerShdw>
              </a:effectLst>
            </c:spPr>
          </c:marker>
          <c:cat>
            <c:strRef>
              <c:f>Calcaulations!$L$13:$L$25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Calcaulations!$M$13:$M$25</c:f>
              <c:numCache>
                <c:formatCode>General</c:formatCode>
                <c:ptCount val="12"/>
                <c:pt idx="0">
                  <c:v>15315</c:v>
                </c:pt>
                <c:pt idx="1">
                  <c:v>30514</c:v>
                </c:pt>
                <c:pt idx="2">
                  <c:v>45932</c:v>
                </c:pt>
                <c:pt idx="3">
                  <c:v>62280</c:v>
                </c:pt>
                <c:pt idx="4">
                  <c:v>81084</c:v>
                </c:pt>
                <c:pt idx="5">
                  <c:v>96689</c:v>
                </c:pt>
                <c:pt idx="6">
                  <c:v>115908</c:v>
                </c:pt>
                <c:pt idx="7">
                  <c:v>133511</c:v>
                </c:pt>
                <c:pt idx="8">
                  <c:v>151207</c:v>
                </c:pt>
                <c:pt idx="9">
                  <c:v>170074</c:v>
                </c:pt>
                <c:pt idx="10">
                  <c:v>185140</c:v>
                </c:pt>
                <c:pt idx="11">
                  <c:v>194820</c:v>
                </c:pt>
              </c:numCache>
            </c:numRef>
          </c:val>
          <c:smooth val="0"/>
          <c:extLst>
            <c:ext xmlns:c16="http://schemas.microsoft.com/office/drawing/2014/chart" uri="{C3380CC4-5D6E-409C-BE32-E72D297353CC}">
              <c16:uniqueId val="{00000000-AAD0-4F42-9A8D-2B767E2DDA7A}"/>
            </c:ext>
          </c:extLst>
        </c:ser>
        <c:dLbls>
          <c:showLegendKey val="0"/>
          <c:showVal val="0"/>
          <c:showCatName val="0"/>
          <c:showSerName val="0"/>
          <c:showPercent val="0"/>
          <c:showBubbleSize val="0"/>
        </c:dLbls>
        <c:marker val="1"/>
        <c:smooth val="0"/>
        <c:axId val="559316288"/>
        <c:axId val="559314944"/>
      </c:lineChart>
      <c:catAx>
        <c:axId val="5593162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559314944"/>
        <c:crosses val="autoZero"/>
        <c:auto val="1"/>
        <c:lblAlgn val="ctr"/>
        <c:lblOffset val="100"/>
        <c:noMultiLvlLbl val="0"/>
      </c:catAx>
      <c:valAx>
        <c:axId val="5593149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r>
                  <a:rPr lang="en-US" sz="1000"/>
                  <a:t>Revenue</a:t>
                </a:r>
                <a:r>
                  <a:rPr lang="en-US" sz="1000" baseline="0"/>
                  <a:t> ($)</a:t>
                </a:r>
                <a:endParaRPr lang="en-US" sz="1000"/>
              </a:p>
            </c:rich>
          </c:tx>
          <c:overlay val="0"/>
          <c:spPr>
            <a:noFill/>
            <a:ln>
              <a:noFill/>
            </a:ln>
            <a:effectLst/>
          </c:spPr>
          <c:txPr>
            <a:bodyPr rot="-540000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559316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7</xdr:col>
      <xdr:colOff>266700</xdr:colOff>
      <xdr:row>12</xdr:row>
      <xdr:rowOff>190500</xdr:rowOff>
    </xdr:to>
    <xdr:grpSp>
      <xdr:nvGrpSpPr>
        <xdr:cNvPr id="2" name="Group 1">
          <a:extLst>
            <a:ext uri="{FF2B5EF4-FFF2-40B4-BE49-F238E27FC236}">
              <a16:creationId xmlns:a16="http://schemas.microsoft.com/office/drawing/2014/main" id="{C7B92632-D02F-0513-A9A9-982DBDDE4887}"/>
            </a:ext>
          </a:extLst>
        </xdr:cNvPr>
        <xdr:cNvGrpSpPr/>
      </xdr:nvGrpSpPr>
      <xdr:grpSpPr>
        <a:xfrm>
          <a:off x="3302000" y="406400"/>
          <a:ext cx="2743200" cy="2222500"/>
          <a:chOff x="3302000" y="406400"/>
          <a:chExt cx="2743200" cy="2222500"/>
        </a:xfrm>
      </xdr:grpSpPr>
      <xdr:sp macro="" textlink="">
        <xdr:nvSpPr>
          <xdr:cNvPr id="8" name="Rounded Rectangle 7">
            <a:extLst>
              <a:ext uri="{FF2B5EF4-FFF2-40B4-BE49-F238E27FC236}">
                <a16:creationId xmlns:a16="http://schemas.microsoft.com/office/drawing/2014/main" id="{15272A25-6D14-0910-685C-D3453ED1404F}"/>
              </a:ext>
            </a:extLst>
          </xdr:cNvPr>
          <xdr:cNvSpPr/>
        </xdr:nvSpPr>
        <xdr:spPr>
          <a:xfrm>
            <a:off x="3302000" y="800100"/>
            <a:ext cx="2743200" cy="1828800"/>
          </a:xfrm>
          <a:prstGeom prst="roundRect">
            <a:avLst/>
          </a:prstGeom>
          <a:solidFill>
            <a:srgbClr val="00B050"/>
          </a:solidFill>
          <a:ln w="19050"/>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3073" name="Text Box 1">
            <a:extLst>
              <a:ext uri="{FF2B5EF4-FFF2-40B4-BE49-F238E27FC236}">
                <a16:creationId xmlns:a16="http://schemas.microsoft.com/office/drawing/2014/main" id="{53ACD06A-76F7-F026-E950-4BF6C74F912A}"/>
              </a:ext>
            </a:extLst>
          </xdr:cNvPr>
          <xdr:cNvSpPr txBox="1">
            <a:spLocks noChangeArrowheads="1"/>
          </xdr:cNvSpPr>
        </xdr:nvSpPr>
        <xdr:spPr bwMode="auto">
          <a:xfrm>
            <a:off x="3721100" y="406400"/>
            <a:ext cx="1955800" cy="228600"/>
          </a:xfrm>
          <a:prstGeom prst="rect">
            <a:avLst/>
          </a:prstGeom>
          <a:noFill/>
          <a:ln w="9525">
            <a:noFill/>
            <a:miter lim="800000"/>
            <a:headEnd/>
            <a:tailEnd/>
          </a:ln>
          <a:effectLst/>
        </xdr:spPr>
        <xdr:txBody>
          <a:bodyPr vertOverflow="clip" wrap="square" lIns="27432" tIns="22860" rIns="0" bIns="0" anchor="t" upright="1"/>
          <a:lstStyle/>
          <a:p>
            <a:pPr algn="ctr" rtl="0">
              <a:defRPr sz="1000"/>
            </a:pPr>
            <a:r>
              <a:rPr lang="en-US" sz="1400" b="1" i="0" u="none" strike="noStrike" baseline="0">
                <a:solidFill>
                  <a:schemeClr val="tx1"/>
                </a:solidFill>
                <a:effectLst>
                  <a:outerShdw blurRad="50800" dist="38100" dir="2700000" algn="tl" rotWithShape="0">
                    <a:prstClr val="black">
                      <a:alpha val="30000"/>
                    </a:prstClr>
                  </a:outerShdw>
                </a:effectLst>
                <a:latin typeface="Calibri" pitchFamily="2" charset="0"/>
                <a:cs typeface="Calibri" pitchFamily="2" charset="0"/>
              </a:rPr>
              <a:t>Total Network Revenue</a:t>
            </a:r>
          </a:p>
        </xdr:txBody>
      </xdr:sp>
      <xdr:sp macro="" textlink="Calcaulations!B43">
        <xdr:nvSpPr>
          <xdr:cNvPr id="14" name="TextBox 13">
            <a:extLst>
              <a:ext uri="{FF2B5EF4-FFF2-40B4-BE49-F238E27FC236}">
                <a16:creationId xmlns:a16="http://schemas.microsoft.com/office/drawing/2014/main" id="{83B38C6B-C2A7-8C3B-4DFB-B535ED3A9FD5}"/>
              </a:ext>
            </a:extLst>
          </xdr:cNvPr>
          <xdr:cNvSpPr txBox="1"/>
        </xdr:nvSpPr>
        <xdr:spPr>
          <a:xfrm>
            <a:off x="3746500" y="1422400"/>
            <a:ext cx="1828800" cy="43180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BE03F3-A63C-7E44-B988-77D699F99BCD}" type="TxLink">
              <a:rPr lang="en-US" sz="2400" b="1" i="0" u="none" strike="noStrike">
                <a:solidFill>
                  <a:srgbClr val="000000"/>
                </a:solidFill>
                <a:latin typeface="Calibri"/>
                <a:cs typeface="Calibri"/>
              </a:rPr>
              <a:pPr algn="ctr"/>
              <a:t>194820</a:t>
            </a:fld>
            <a:endParaRPr lang="en-US" sz="2400" b="1">
              <a:solidFill>
                <a:schemeClr val="tx1"/>
              </a:solidFill>
            </a:endParaRPr>
          </a:p>
        </xdr:txBody>
      </xdr:sp>
    </xdr:grpSp>
    <xdr:clientData/>
  </xdr:twoCellAnchor>
  <xdr:twoCellAnchor>
    <xdr:from>
      <xdr:col>8</xdr:col>
      <xdr:colOff>412750</xdr:colOff>
      <xdr:row>2</xdr:row>
      <xdr:rowOff>0</xdr:rowOff>
    </xdr:from>
    <xdr:to>
      <xdr:col>11</xdr:col>
      <xdr:colOff>679450</xdr:colOff>
      <xdr:row>13</xdr:row>
      <xdr:rowOff>12700</xdr:rowOff>
    </xdr:to>
    <xdr:grpSp>
      <xdr:nvGrpSpPr>
        <xdr:cNvPr id="18" name="Group 17">
          <a:extLst>
            <a:ext uri="{FF2B5EF4-FFF2-40B4-BE49-F238E27FC236}">
              <a16:creationId xmlns:a16="http://schemas.microsoft.com/office/drawing/2014/main" id="{8BD7B1CB-17D5-8228-D1A3-4072C056DD4F}"/>
            </a:ext>
          </a:extLst>
        </xdr:cNvPr>
        <xdr:cNvGrpSpPr/>
      </xdr:nvGrpSpPr>
      <xdr:grpSpPr>
        <a:xfrm>
          <a:off x="7016750" y="406400"/>
          <a:ext cx="2743200" cy="2247900"/>
          <a:chOff x="5562600" y="10160000"/>
          <a:chExt cx="2743200" cy="2247900"/>
        </a:xfrm>
      </xdr:grpSpPr>
      <xdr:sp macro="" textlink="">
        <xdr:nvSpPr>
          <xdr:cNvPr id="9" name="Rounded Rectangle 8">
            <a:extLst>
              <a:ext uri="{FF2B5EF4-FFF2-40B4-BE49-F238E27FC236}">
                <a16:creationId xmlns:a16="http://schemas.microsoft.com/office/drawing/2014/main" id="{56680F68-C517-0D4F-AEF8-4660E997AFB4}"/>
              </a:ext>
            </a:extLst>
          </xdr:cNvPr>
          <xdr:cNvSpPr/>
        </xdr:nvSpPr>
        <xdr:spPr>
          <a:xfrm>
            <a:off x="5562600" y="10579100"/>
            <a:ext cx="2743200" cy="1828800"/>
          </a:xfrm>
          <a:prstGeom prst="roundRect">
            <a:avLst/>
          </a:prstGeom>
          <a:solidFill>
            <a:srgbClr val="00B050"/>
          </a:solidFill>
          <a:ln w="19050"/>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12" name="Text Box 1">
            <a:extLst>
              <a:ext uri="{FF2B5EF4-FFF2-40B4-BE49-F238E27FC236}">
                <a16:creationId xmlns:a16="http://schemas.microsoft.com/office/drawing/2014/main" id="{67CD7808-E579-9D41-8C38-D901919D1A59}"/>
              </a:ext>
            </a:extLst>
          </xdr:cNvPr>
          <xdr:cNvSpPr txBox="1">
            <a:spLocks noChangeArrowheads="1"/>
          </xdr:cNvSpPr>
        </xdr:nvSpPr>
        <xdr:spPr bwMode="auto">
          <a:xfrm>
            <a:off x="6057900" y="10160000"/>
            <a:ext cx="1689100" cy="241300"/>
          </a:xfrm>
          <a:prstGeom prst="rect">
            <a:avLst/>
          </a:prstGeom>
          <a:noFill/>
          <a:ln w="9525">
            <a:noFill/>
            <a:miter lim="800000"/>
            <a:headEnd/>
            <a:tailEnd/>
          </a:ln>
          <a:effectLst/>
        </xdr:spPr>
        <xdr:txBody>
          <a:bodyPr vertOverflow="clip" wrap="square" lIns="27432" tIns="22860" rIns="0" bIns="0" anchor="t" upright="1"/>
          <a:lstStyle/>
          <a:p>
            <a:pPr algn="ctr" rtl="0">
              <a:defRPr sz="1000"/>
            </a:pPr>
            <a:r>
              <a:rPr lang="en-US" sz="1400" b="1" i="0" u="none" strike="noStrike" baseline="0">
                <a:solidFill>
                  <a:schemeClr val="tx1"/>
                </a:solidFill>
                <a:effectLst>
                  <a:outerShdw blurRad="50800" dist="38100" dir="2700000" algn="tl" rotWithShape="0">
                    <a:prstClr val="black">
                      <a:alpha val="30000"/>
                    </a:prstClr>
                  </a:outerShdw>
                </a:effectLst>
                <a:latin typeface="Calibri" pitchFamily="2" charset="0"/>
                <a:cs typeface="Calibri" pitchFamily="2" charset="0"/>
              </a:rPr>
              <a:t>Total Active Members</a:t>
            </a:r>
          </a:p>
        </xdr:txBody>
      </xdr:sp>
      <xdr:sp macro="" textlink="Calcaulations!B7">
        <xdr:nvSpPr>
          <xdr:cNvPr id="15" name="TextBox 14">
            <a:extLst>
              <a:ext uri="{FF2B5EF4-FFF2-40B4-BE49-F238E27FC236}">
                <a16:creationId xmlns:a16="http://schemas.microsoft.com/office/drawing/2014/main" id="{23288C00-A983-3F4F-8BF0-661AE6FA4ED8}"/>
              </a:ext>
            </a:extLst>
          </xdr:cNvPr>
          <xdr:cNvSpPr txBox="1"/>
        </xdr:nvSpPr>
        <xdr:spPr>
          <a:xfrm>
            <a:off x="6527800" y="11201400"/>
            <a:ext cx="850900" cy="46990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B0FA6F-54AA-0941-8D4C-4489FAF97811}" type="TxLink">
              <a:rPr lang="en-US" sz="2400" b="1" i="0" u="none" strike="noStrike">
                <a:solidFill>
                  <a:schemeClr val="tx1"/>
                </a:solidFill>
                <a:latin typeface="Calibri"/>
                <a:cs typeface="Calibri"/>
              </a:rPr>
              <a:pPr/>
              <a:t>2123</a:t>
            </a:fld>
            <a:endParaRPr lang="en-US" sz="2400" b="1">
              <a:solidFill>
                <a:schemeClr val="tx1"/>
              </a:solidFill>
            </a:endParaRPr>
          </a:p>
        </xdr:txBody>
      </xdr:sp>
    </xdr:grpSp>
    <xdr:clientData/>
  </xdr:twoCellAnchor>
  <xdr:twoCellAnchor>
    <xdr:from>
      <xdr:col>13</xdr:col>
      <xdr:colOff>0</xdr:colOff>
      <xdr:row>2</xdr:row>
      <xdr:rowOff>0</xdr:rowOff>
    </xdr:from>
    <xdr:to>
      <xdr:col>16</xdr:col>
      <xdr:colOff>266700</xdr:colOff>
      <xdr:row>13</xdr:row>
      <xdr:rowOff>12700</xdr:rowOff>
    </xdr:to>
    <xdr:grpSp>
      <xdr:nvGrpSpPr>
        <xdr:cNvPr id="19" name="Group 18">
          <a:extLst>
            <a:ext uri="{FF2B5EF4-FFF2-40B4-BE49-F238E27FC236}">
              <a16:creationId xmlns:a16="http://schemas.microsoft.com/office/drawing/2014/main" id="{0EC2BCD0-0B67-C1D2-CEA1-04C57D9178CD}"/>
            </a:ext>
          </a:extLst>
        </xdr:cNvPr>
        <xdr:cNvGrpSpPr/>
      </xdr:nvGrpSpPr>
      <xdr:grpSpPr>
        <a:xfrm>
          <a:off x="10731500" y="406400"/>
          <a:ext cx="2743200" cy="2247900"/>
          <a:chOff x="9080500" y="10147300"/>
          <a:chExt cx="2743200" cy="2247900"/>
        </a:xfrm>
      </xdr:grpSpPr>
      <xdr:sp macro="" textlink="">
        <xdr:nvSpPr>
          <xdr:cNvPr id="10" name="Rounded Rectangle 9">
            <a:extLst>
              <a:ext uri="{FF2B5EF4-FFF2-40B4-BE49-F238E27FC236}">
                <a16:creationId xmlns:a16="http://schemas.microsoft.com/office/drawing/2014/main" id="{089385D9-9FEB-6A44-9E26-88DC70C95FDA}"/>
              </a:ext>
            </a:extLst>
          </xdr:cNvPr>
          <xdr:cNvSpPr/>
        </xdr:nvSpPr>
        <xdr:spPr>
          <a:xfrm>
            <a:off x="9080500" y="10566400"/>
            <a:ext cx="2743200" cy="1828800"/>
          </a:xfrm>
          <a:prstGeom prst="roundRect">
            <a:avLst/>
          </a:prstGeom>
          <a:solidFill>
            <a:srgbClr val="00B050"/>
          </a:solidFill>
          <a:ln w="19050"/>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13" name="Text Box 1">
            <a:extLst>
              <a:ext uri="{FF2B5EF4-FFF2-40B4-BE49-F238E27FC236}">
                <a16:creationId xmlns:a16="http://schemas.microsoft.com/office/drawing/2014/main" id="{4BD43CFC-0F82-2544-82E5-DB0048DCDD5E}"/>
              </a:ext>
            </a:extLst>
          </xdr:cNvPr>
          <xdr:cNvSpPr txBox="1">
            <a:spLocks noChangeArrowheads="1"/>
          </xdr:cNvSpPr>
        </xdr:nvSpPr>
        <xdr:spPr bwMode="auto">
          <a:xfrm>
            <a:off x="9626600" y="10147300"/>
            <a:ext cx="1727200" cy="203200"/>
          </a:xfrm>
          <a:prstGeom prst="rect">
            <a:avLst/>
          </a:prstGeom>
          <a:noFill/>
          <a:ln w="9525">
            <a:noFill/>
            <a:miter lim="800000"/>
            <a:headEnd/>
            <a:tailEnd/>
          </a:ln>
          <a:effectLst/>
        </xdr:spPr>
        <xdr:txBody>
          <a:bodyPr vertOverflow="clip" wrap="square" lIns="27432" tIns="22860" rIns="0" bIns="0" anchor="t" upright="1"/>
          <a:lstStyle/>
          <a:p>
            <a:pPr algn="ctr" rtl="0">
              <a:defRPr sz="1000"/>
            </a:pPr>
            <a:r>
              <a:rPr lang="en-US" sz="1400" b="1" i="0" u="none" strike="noStrike" baseline="0">
                <a:solidFill>
                  <a:schemeClr val="tx1"/>
                </a:solidFill>
                <a:effectLst>
                  <a:outerShdw blurRad="50800" dist="38100" dir="2700000" algn="tl" rotWithShape="0">
                    <a:prstClr val="black">
                      <a:alpha val="30000"/>
                    </a:prstClr>
                  </a:outerShdw>
                </a:effectLst>
                <a:latin typeface="Calibri" pitchFamily="2" charset="0"/>
                <a:cs typeface="Calibri" pitchFamily="2" charset="0"/>
              </a:rPr>
              <a:t>Network Churn %</a:t>
            </a:r>
          </a:p>
        </xdr:txBody>
      </xdr:sp>
      <xdr:sp macro="" textlink="Calcaulations!C7">
        <xdr:nvSpPr>
          <xdr:cNvPr id="16" name="TextBox 15">
            <a:extLst>
              <a:ext uri="{FF2B5EF4-FFF2-40B4-BE49-F238E27FC236}">
                <a16:creationId xmlns:a16="http://schemas.microsoft.com/office/drawing/2014/main" id="{4336EEFF-0502-F748-9F1A-1780B06C2ED0}"/>
              </a:ext>
            </a:extLst>
          </xdr:cNvPr>
          <xdr:cNvSpPr txBox="1"/>
        </xdr:nvSpPr>
        <xdr:spPr>
          <a:xfrm>
            <a:off x="9931400" y="11201400"/>
            <a:ext cx="11557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84A05A-37AB-1447-B5DE-83905F558349}" type="TxLink">
              <a:rPr lang="en-US" sz="2400" b="1" i="0" u="none" strike="noStrike">
                <a:ln w="3175">
                  <a:noFill/>
                </a:ln>
                <a:solidFill>
                  <a:schemeClr val="tx1"/>
                </a:solidFill>
                <a:latin typeface="Calibri"/>
                <a:cs typeface="Calibri"/>
              </a:rPr>
              <a:pPr/>
              <a:t>15.08%</a:t>
            </a:fld>
            <a:endParaRPr lang="en-US" sz="2400" b="1">
              <a:ln w="3175">
                <a:noFill/>
              </a:ln>
              <a:solidFill>
                <a:schemeClr val="tx1"/>
              </a:solidFill>
            </a:endParaRPr>
          </a:p>
        </xdr:txBody>
      </xdr:sp>
    </xdr:grpSp>
    <xdr:clientData/>
  </xdr:twoCellAnchor>
  <xdr:twoCellAnchor editAs="oneCell">
    <xdr:from>
      <xdr:col>0</xdr:col>
      <xdr:colOff>647700</xdr:colOff>
      <xdr:row>1</xdr:row>
      <xdr:rowOff>22228</xdr:rowOff>
    </xdr:from>
    <xdr:to>
      <xdr:col>3</xdr:col>
      <xdr:colOff>0</xdr:colOff>
      <xdr:row>14</xdr:row>
      <xdr:rowOff>0</xdr:rowOff>
    </xdr:to>
    <mc:AlternateContent xmlns:mc="http://schemas.openxmlformats.org/markup-compatibility/2006" xmlns:a14="http://schemas.microsoft.com/office/drawing/2010/main">
      <mc:Choice Requires="a14">
        <xdr:graphicFrame macro="">
          <xdr:nvGraphicFramePr>
            <xdr:cNvPr id="20" name="Location 1">
              <a:extLst>
                <a:ext uri="{FF2B5EF4-FFF2-40B4-BE49-F238E27FC236}">
                  <a16:creationId xmlns:a16="http://schemas.microsoft.com/office/drawing/2014/main" id="{5962753E-1DB6-BA4A-B1F4-59EB03D87692}"/>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647700" y="22542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19</xdr:row>
      <xdr:rowOff>0</xdr:rowOff>
    </xdr:from>
    <xdr:to>
      <xdr:col>9</xdr:col>
      <xdr:colOff>762000</xdr:colOff>
      <xdr:row>32</xdr:row>
      <xdr:rowOff>114300</xdr:rowOff>
    </xdr:to>
    <xdr:graphicFrame macro="">
      <xdr:nvGraphicFramePr>
        <xdr:cNvPr id="3" name="Chart 2">
          <a:extLst>
            <a:ext uri="{FF2B5EF4-FFF2-40B4-BE49-F238E27FC236}">
              <a16:creationId xmlns:a16="http://schemas.microsoft.com/office/drawing/2014/main" id="{9A3B889A-5C0F-A34F-9BB7-09FB54661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18</xdr:row>
      <xdr:rowOff>63500</xdr:rowOff>
    </xdr:from>
    <xdr:to>
      <xdr:col>20</xdr:col>
      <xdr:colOff>203200</xdr:colOff>
      <xdr:row>36</xdr:row>
      <xdr:rowOff>0</xdr:rowOff>
    </xdr:to>
    <xdr:graphicFrame macro="">
      <xdr:nvGraphicFramePr>
        <xdr:cNvPr id="5" name="Chart 4">
          <a:extLst>
            <a:ext uri="{FF2B5EF4-FFF2-40B4-BE49-F238E27FC236}">
              <a16:creationId xmlns:a16="http://schemas.microsoft.com/office/drawing/2014/main" id="{C7A1E89C-7D3B-6C40-83B6-B5BBD8FF1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647700</xdr:colOff>
      <xdr:row>15</xdr:row>
      <xdr:rowOff>0</xdr:rowOff>
    </xdr:from>
    <xdr:to>
      <xdr:col>3</xdr:col>
      <xdr:colOff>0</xdr:colOff>
      <xdr:row>27</xdr:row>
      <xdr:rowOff>180972</xdr:rowOff>
    </xdr:to>
    <mc:AlternateContent xmlns:mc="http://schemas.openxmlformats.org/markup-compatibility/2006">
      <mc:Choice xmlns:a14="http://schemas.microsoft.com/office/drawing/2010/main" Requires="a14">
        <xdr:graphicFrame macro="">
          <xdr:nvGraphicFramePr>
            <xdr:cNvPr id="6" name="Tier">
              <a:extLst>
                <a:ext uri="{FF2B5EF4-FFF2-40B4-BE49-F238E27FC236}">
                  <a16:creationId xmlns:a16="http://schemas.microsoft.com/office/drawing/2014/main" id="{261F7F97-5E1E-B844-AA4D-266812D42BC6}"/>
                </a:ext>
              </a:extLst>
            </xdr:cNvPr>
            <xdr:cNvGraphicFramePr/>
          </xdr:nvGraphicFramePr>
          <xdr:xfrm>
            <a:off x="0" y="0"/>
            <a:ext cx="0" cy="0"/>
          </xdr:xfrm>
          <a:graphic>
            <a:graphicData uri="http://schemas.microsoft.com/office/drawing/2010/slicer">
              <sle:slicer xmlns:sle="http://schemas.microsoft.com/office/drawing/2010/slicer" name="Tier"/>
            </a:graphicData>
          </a:graphic>
        </xdr:graphicFrame>
      </mc:Choice>
      <mc:Fallback>
        <xdr:sp macro="" textlink="">
          <xdr:nvSpPr>
            <xdr:cNvPr id="0" name=""/>
            <xdr:cNvSpPr>
              <a:spLocks noTextEdit="1"/>
            </xdr:cNvSpPr>
          </xdr:nvSpPr>
          <xdr:spPr>
            <a:xfrm>
              <a:off x="647700" y="3048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622300</xdr:colOff>
      <xdr:row>1</xdr:row>
      <xdr:rowOff>0</xdr:rowOff>
    </xdr:from>
    <xdr:to>
      <xdr:col>25</xdr:col>
      <xdr:colOff>571500</xdr:colOff>
      <xdr:row>16</xdr:row>
      <xdr:rowOff>76200</xdr:rowOff>
    </xdr:to>
    <xdr:graphicFrame macro="">
      <xdr:nvGraphicFramePr>
        <xdr:cNvPr id="4" name="Chart 3">
          <a:extLst>
            <a:ext uri="{FF2B5EF4-FFF2-40B4-BE49-F238E27FC236}">
              <a16:creationId xmlns:a16="http://schemas.microsoft.com/office/drawing/2014/main" id="{EEA57146-FE07-B646-B3B8-86533F098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eg  Phelan" refreshedDate="46161.472934953701" createdVersion="8" refreshedVersion="8" minRefreshableVersion="3" recordCount="2500" xr:uid="{BA6B3D95-0361-7843-833E-8632CEE0CBE5}">
  <cacheSource type="worksheet">
    <worksheetSource name="Gym_Expansion_Data"/>
  </cacheSource>
  <cacheFields count="9">
    <cacheField name="Member_ID" numFmtId="0">
      <sharedItems containsSemiMixedTypes="0" containsString="0" containsNumber="1" containsInteger="1" minValue="1001" maxValue="3500" count="25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sharedItems>
    </cacheField>
    <cacheField name="Location" numFmtId="0">
      <sharedItems count="4">
        <s v="Warminster"/>
        <s v="South Philly"/>
        <s v="Fairless Hills"/>
        <s v="Grant Ave"/>
      </sharedItems>
    </cacheField>
    <cacheField name="Tier" numFmtId="0">
      <sharedItems count="3">
        <s v="Basic"/>
        <s v="Elite"/>
        <s v="Premium"/>
      </sharedItems>
    </cacheField>
    <cacheField name="Join_Date" numFmtId="14">
      <sharedItems containsSemiMixedTypes="0" containsNonDate="0" containsDate="1" containsString="0" minDate="2024-01-01T00:00:00" maxDate="2025-12-02T00:00:00" count="678">
        <d v="2025-11-20T00:00:00"/>
        <d v="2024-07-10T00:00:00"/>
        <d v="2024-08-03T00:00:00"/>
        <d v="2025-08-06T00:00:00"/>
        <d v="2025-08-05T00:00:00"/>
        <d v="2025-01-30T00:00:00"/>
        <d v="2025-04-10T00:00:00"/>
        <d v="2025-06-12T00:00:00"/>
        <d v="2024-04-22T00:00:00"/>
        <d v="2024-02-29T00:00:00"/>
        <d v="2024-09-12T00:00:00"/>
        <d v="2025-10-11T00:00:00"/>
        <d v="2024-10-06T00:00:00"/>
        <d v="2024-07-12T00:00:00"/>
        <d v="2025-04-03T00:00:00"/>
        <d v="2025-01-21T00:00:00"/>
        <d v="2025-05-04T00:00:00"/>
        <d v="2024-04-25T00:00:00"/>
        <d v="2025-10-17T00:00:00"/>
        <d v="2025-03-15T00:00:00"/>
        <d v="2025-01-06T00:00:00"/>
        <d v="2025-03-01T00:00:00"/>
        <d v="2024-04-30T00:00:00"/>
        <d v="2025-07-18T00:00:00"/>
        <d v="2024-03-02T00:00:00"/>
        <d v="2025-05-14T00:00:00"/>
        <d v="2025-01-03T00:00:00"/>
        <d v="2024-06-23T00:00:00"/>
        <d v="2025-03-03T00:00:00"/>
        <d v="2025-06-16T00:00:00"/>
        <d v="2024-10-22T00:00:00"/>
        <d v="2025-10-07T00:00:00"/>
        <d v="2025-10-21T00:00:00"/>
        <d v="2025-09-28T00:00:00"/>
        <d v="2025-09-23T00:00:00"/>
        <d v="2025-03-23T00:00:00"/>
        <d v="2024-07-24T00:00:00"/>
        <d v="2025-11-22T00:00:00"/>
        <d v="2025-08-14T00:00:00"/>
        <d v="2024-06-02T00:00:00"/>
        <d v="2024-07-08T00:00:00"/>
        <d v="2024-02-12T00:00:00"/>
        <d v="2025-10-13T00:00:00"/>
        <d v="2024-02-28T00:00:00"/>
        <d v="2024-06-11T00:00:00"/>
        <d v="2024-10-16T00:00:00"/>
        <d v="2024-03-07T00:00:00"/>
        <d v="2025-05-28T00:00:00"/>
        <d v="2025-11-15T00:00:00"/>
        <d v="2024-01-17T00:00:00"/>
        <d v="2024-09-28T00:00:00"/>
        <d v="2024-06-09T00:00:00"/>
        <d v="2025-07-27T00:00:00"/>
        <d v="2025-03-17T00:00:00"/>
        <d v="2024-08-05T00:00:00"/>
        <d v="2025-04-25T00:00:00"/>
        <d v="2025-10-27T00:00:00"/>
        <d v="2024-04-07T00:00:00"/>
        <d v="2024-05-13T00:00:00"/>
        <d v="2025-07-22T00:00:00"/>
        <d v="2024-10-17T00:00:00"/>
        <d v="2025-03-28T00:00:00"/>
        <d v="2025-02-14T00:00:00"/>
        <d v="2025-04-09T00:00:00"/>
        <d v="2024-07-09T00:00:00"/>
        <d v="2024-05-28T00:00:00"/>
        <d v="2024-11-06T00:00:00"/>
        <d v="2024-03-23T00:00:00"/>
        <d v="2024-08-20T00:00:00"/>
        <d v="2025-12-01T00:00:00"/>
        <d v="2025-09-16T00:00:00"/>
        <d v="2024-09-10T00:00:00"/>
        <d v="2024-01-22T00:00:00"/>
        <d v="2024-08-13T00:00:00"/>
        <d v="2025-07-02T00:00:00"/>
        <d v="2025-02-23T00:00:00"/>
        <d v="2024-10-04T00:00:00"/>
        <d v="2025-07-16T00:00:00"/>
        <d v="2025-05-19T00:00:00"/>
        <d v="2025-03-11T00:00:00"/>
        <d v="2024-03-22T00:00:00"/>
        <d v="2024-02-03T00:00:00"/>
        <d v="2025-08-08T00:00:00"/>
        <d v="2024-01-16T00:00:00"/>
        <d v="2025-03-12T00:00:00"/>
        <d v="2025-08-09T00:00:00"/>
        <d v="2025-07-21T00:00:00"/>
        <d v="2025-06-01T00:00:00"/>
        <d v="2025-03-16T00:00:00"/>
        <d v="2025-10-22T00:00:00"/>
        <d v="2024-10-12T00:00:00"/>
        <d v="2024-07-06T00:00:00"/>
        <d v="2024-03-08T00:00:00"/>
        <d v="2024-07-07T00:00:00"/>
        <d v="2024-01-29T00:00:00"/>
        <d v="2024-06-24T00:00:00"/>
        <d v="2024-12-31T00:00:00"/>
        <d v="2024-05-14T00:00:00"/>
        <d v="2024-07-21T00:00:00"/>
        <d v="2025-11-08T00:00:00"/>
        <d v="2024-04-09T00:00:00"/>
        <d v="2024-05-22T00:00:00"/>
        <d v="2025-08-24T00:00:00"/>
        <d v="2024-08-09T00:00:00"/>
        <d v="2025-07-23T00:00:00"/>
        <d v="2024-06-10T00:00:00"/>
        <d v="2025-03-05T00:00:00"/>
        <d v="2025-07-08T00:00:00"/>
        <d v="2024-07-02T00:00:00"/>
        <d v="2025-01-10T00:00:00"/>
        <d v="2025-06-22T00:00:00"/>
        <d v="2024-02-10T00:00:00"/>
        <d v="2025-05-30T00:00:00"/>
        <d v="2025-11-14T00:00:00"/>
        <d v="2024-01-06T00:00:00"/>
        <d v="2024-03-05T00:00:00"/>
        <d v="2025-03-13T00:00:00"/>
        <d v="2024-07-27T00:00:00"/>
        <d v="2025-09-18T00:00:00"/>
        <d v="2024-10-27T00:00:00"/>
        <d v="2025-08-19T00:00:00"/>
        <d v="2024-09-04T00:00:00"/>
        <d v="2025-10-06T00:00:00"/>
        <d v="2025-11-21T00:00:00"/>
        <d v="2024-07-18T00:00:00"/>
        <d v="2025-04-29T00:00:00"/>
        <d v="2025-02-25T00:00:00"/>
        <d v="2024-08-15T00:00:00"/>
        <d v="2024-08-06T00:00:00"/>
        <d v="2024-10-01T00:00:00"/>
        <d v="2025-11-17T00:00:00"/>
        <d v="2025-03-25T00:00:00"/>
        <d v="2025-08-13T00:00:00"/>
        <d v="2025-07-26T00:00:00"/>
        <d v="2024-07-15T00:00:00"/>
        <d v="2024-01-13T00:00:00"/>
        <d v="2025-01-12T00:00:00"/>
        <d v="2024-10-11T00:00:00"/>
        <d v="2025-02-03T00:00:00"/>
        <d v="2024-08-25T00:00:00"/>
        <d v="2025-06-17T00:00:00"/>
        <d v="2024-03-27T00:00:00"/>
        <d v="2025-04-07T00:00:00"/>
        <d v="2024-10-05T00:00:00"/>
        <d v="2024-10-20T00:00:00"/>
        <d v="2025-06-29T00:00:00"/>
        <d v="2024-02-13T00:00:00"/>
        <d v="2025-08-25T00:00:00"/>
        <d v="2024-08-12T00:00:00"/>
        <d v="2024-11-02T00:00:00"/>
        <d v="2024-08-18T00:00:00"/>
        <d v="2024-01-28T00:00:00"/>
        <d v="2025-10-04T00:00:00"/>
        <d v="2024-03-10T00:00:00"/>
        <d v="2025-08-22T00:00:00"/>
        <d v="2025-09-13T00:00:00"/>
        <d v="2024-02-06T00:00:00"/>
        <d v="2025-02-15T00:00:00"/>
        <d v="2024-06-19T00:00:00"/>
        <d v="2025-09-01T00:00:00"/>
        <d v="2024-05-24T00:00:00"/>
        <d v="2024-12-01T00:00:00"/>
        <d v="2024-03-12T00:00:00"/>
        <d v="2025-04-20T00:00:00"/>
        <d v="2025-07-30T00:00:00"/>
        <d v="2025-10-29T00:00:00"/>
        <d v="2025-03-22T00:00:00"/>
        <d v="2024-02-15T00:00:00"/>
        <d v="2024-09-03T00:00:00"/>
        <d v="2024-09-20T00:00:00"/>
        <d v="2025-02-10T00:00:00"/>
        <d v="2024-06-01T00:00:00"/>
        <d v="2024-09-23T00:00:00"/>
        <d v="2024-09-13T00:00:00"/>
        <d v="2024-07-04T00:00:00"/>
        <d v="2024-04-03T00:00:00"/>
        <d v="2025-01-17T00:00:00"/>
        <d v="2024-09-11T00:00:00"/>
        <d v="2025-06-28T00:00:00"/>
        <d v="2025-01-19T00:00:00"/>
        <d v="2024-04-13T00:00:00"/>
        <d v="2025-11-13T00:00:00"/>
        <d v="2024-04-20T00:00:00"/>
        <d v="2025-10-16T00:00:00"/>
        <d v="2024-08-07T00:00:00"/>
        <d v="2025-05-03T00:00:00"/>
        <d v="2025-05-17T00:00:00"/>
        <d v="2024-11-16T00:00:00"/>
        <d v="2025-11-05T00:00:00"/>
        <d v="2024-05-25T00:00:00"/>
        <d v="2024-12-13T00:00:00"/>
        <d v="2025-07-06T00:00:00"/>
        <d v="2025-07-11T00:00:00"/>
        <d v="2025-04-06T00:00:00"/>
        <d v="2024-05-04T00:00:00"/>
        <d v="2024-01-11T00:00:00"/>
        <d v="2025-03-09T00:00:00"/>
        <d v="2025-07-31T00:00:00"/>
        <d v="2024-04-01T00:00:00"/>
        <d v="2025-09-27T00:00:00"/>
        <d v="2024-01-15T00:00:00"/>
        <d v="2025-07-14T00:00:00"/>
        <d v="2025-04-23T00:00:00"/>
        <d v="2025-01-22T00:00:00"/>
        <d v="2024-12-25T00:00:00"/>
        <d v="2024-06-12T00:00:00"/>
        <d v="2025-07-05T00:00:00"/>
        <d v="2025-10-18T00:00:00"/>
        <d v="2025-02-09T00:00:00"/>
        <d v="2024-01-26T00:00:00"/>
        <d v="2025-05-24T00:00:00"/>
        <d v="2025-01-13T00:00:00"/>
        <d v="2025-10-10T00:00:00"/>
        <d v="2024-04-12T00:00:00"/>
        <d v="2025-09-26T00:00:00"/>
        <d v="2025-09-17T00:00:00"/>
        <d v="2024-12-27T00:00:00"/>
        <d v="2025-09-08T00:00:00"/>
        <d v="2024-03-29T00:00:00"/>
        <d v="2025-11-29T00:00:00"/>
        <d v="2024-12-21T00:00:00"/>
        <d v="2024-11-21T00:00:00"/>
        <d v="2024-04-02T00:00:00"/>
        <d v="2024-11-28T00:00:00"/>
        <d v="2024-11-25T00:00:00"/>
        <d v="2024-09-07T00:00:00"/>
        <d v="2025-04-18T00:00:00"/>
        <d v="2025-09-10T00:00:00"/>
        <d v="2025-05-07T00:00:00"/>
        <d v="2024-01-07T00:00:00"/>
        <d v="2024-04-04T00:00:00"/>
        <d v="2025-08-16T00:00:00"/>
        <d v="2024-07-25T00:00:00"/>
        <d v="2024-05-02T00:00:00"/>
        <d v="2025-10-12T00:00:00"/>
        <d v="2025-05-20T00:00:00"/>
        <d v="2025-04-04T00:00:00"/>
        <d v="2025-04-16T00:00:00"/>
        <d v="2025-10-28T00:00:00"/>
        <d v="2025-06-18T00:00:00"/>
        <d v="2024-06-13T00:00:00"/>
        <d v="2024-04-06T00:00:00"/>
        <d v="2025-07-17T00:00:00"/>
        <d v="2024-02-17T00:00:00"/>
        <d v="2025-06-27T00:00:00"/>
        <d v="2025-09-14T00:00:00"/>
        <d v="2025-04-15T00:00:00"/>
        <d v="2024-06-22T00:00:00"/>
        <d v="2024-11-22T00:00:00"/>
        <d v="2024-10-02T00:00:00"/>
        <d v="2024-07-30T00:00:00"/>
        <d v="2025-05-09T00:00:00"/>
        <d v="2024-10-07T00:00:00"/>
        <d v="2025-03-29T00:00:00"/>
        <d v="2024-02-21T00:00:00"/>
        <d v="2024-08-24T00:00:00"/>
        <d v="2024-11-26T00:00:00"/>
        <d v="2025-09-12T00:00:00"/>
        <d v="2024-11-09T00:00:00"/>
        <d v="2024-05-16T00:00:00"/>
        <d v="2024-12-18T00:00:00"/>
        <d v="2024-10-24T00:00:00"/>
        <d v="2024-05-18T00:00:00"/>
        <d v="2025-05-11T00:00:00"/>
        <d v="2025-08-02T00:00:00"/>
        <d v="2024-09-17T00:00:00"/>
        <d v="2024-11-24T00:00:00"/>
        <d v="2024-01-10T00:00:00"/>
        <d v="2024-05-08T00:00:00"/>
        <d v="2025-10-02T00:00:00"/>
        <d v="2024-03-30T00:00:00"/>
        <d v="2025-08-15T00:00:00"/>
        <d v="2025-04-11T00:00:00"/>
        <d v="2024-02-16T00:00:00"/>
        <d v="2024-01-25T00:00:00"/>
        <d v="2024-05-05T00:00:00"/>
        <d v="2025-11-18T00:00:00"/>
        <d v="2024-11-30T00:00:00"/>
        <d v="2025-01-20T00:00:00"/>
        <d v="2024-06-30T00:00:00"/>
        <d v="2025-10-03T00:00:00"/>
        <d v="2024-10-21T00:00:00"/>
        <d v="2025-06-06T00:00:00"/>
        <d v="2025-09-22T00:00:00"/>
        <d v="2025-05-22T00:00:00"/>
        <d v="2024-04-19T00:00:00"/>
        <d v="2024-07-14T00:00:00"/>
        <d v="2025-04-30T00:00:00"/>
        <d v="2024-03-19T00:00:00"/>
        <d v="2025-06-05T00:00:00"/>
        <d v="2025-11-10T00:00:00"/>
        <d v="2024-08-11T00:00:00"/>
        <d v="2024-01-02T00:00:00"/>
        <d v="2025-02-06T00:00:00"/>
        <d v="2024-10-26T00:00:00"/>
        <d v="2025-09-21T00:00:00"/>
        <d v="2024-12-17T00:00:00"/>
        <d v="2024-08-04T00:00:00"/>
        <d v="2024-01-08T00:00:00"/>
        <d v="2024-12-06T00:00:00"/>
        <d v="2024-01-27T00:00:00"/>
        <d v="2024-02-23T00:00:00"/>
        <d v="2024-09-14T00:00:00"/>
        <d v="2025-03-26T00:00:00"/>
        <d v="2024-12-10T00:00:00"/>
        <d v="2024-04-29T00:00:00"/>
        <d v="2024-10-29T00:00:00"/>
        <d v="2025-11-01T00:00:00"/>
        <d v="2025-10-19T00:00:00"/>
        <d v="2025-09-19T00:00:00"/>
        <d v="2025-11-28T00:00:00"/>
        <d v="2024-11-08T00:00:00"/>
        <d v="2025-03-24T00:00:00"/>
        <d v="2024-06-06T00:00:00"/>
        <d v="2024-05-01T00:00:00"/>
        <d v="2024-02-26T00:00:00"/>
        <d v="2024-11-17T00:00:00"/>
        <d v="2024-05-11T00:00:00"/>
        <d v="2024-12-22T00:00:00"/>
        <d v="2025-01-09T00:00:00"/>
        <d v="2024-08-31T00:00:00"/>
        <d v="2025-02-12T00:00:00"/>
        <d v="2024-04-11T00:00:00"/>
        <d v="2025-01-02T00:00:00"/>
        <d v="2025-05-10T00:00:00"/>
        <d v="2024-02-24T00:00:00"/>
        <d v="2024-12-04T00:00:00"/>
        <d v="2025-02-08T00:00:00"/>
        <d v="2025-03-04T00:00:00"/>
        <d v="2025-03-20T00:00:00"/>
        <d v="2025-07-04T00:00:00"/>
        <d v="2025-08-11T00:00:00"/>
        <d v="2024-06-04T00:00:00"/>
        <d v="2024-06-16T00:00:00"/>
        <d v="2024-04-23T00:00:00"/>
        <d v="2024-10-09T00:00:00"/>
        <d v="2025-04-26T00:00:00"/>
        <d v="2024-11-14T00:00:00"/>
        <d v="2024-10-15T00:00:00"/>
        <d v="2025-02-26T00:00:00"/>
        <d v="2025-10-08T00:00:00"/>
        <d v="2025-09-09T00:00:00"/>
        <d v="2025-03-31T00:00:00"/>
        <d v="2024-02-22T00:00:00"/>
        <d v="2025-08-27T00:00:00"/>
        <d v="2024-04-27T00:00:00"/>
        <d v="2024-09-22T00:00:00"/>
        <d v="2025-02-27T00:00:00"/>
        <d v="2024-05-15T00:00:00"/>
        <d v="2025-08-29T00:00:00"/>
        <d v="2024-06-29T00:00:00"/>
        <d v="2025-08-10T00:00:00"/>
        <d v="2025-01-18T00:00:00"/>
        <d v="2025-05-25T00:00:00"/>
        <d v="2024-03-11T00:00:00"/>
        <d v="2025-04-08T00:00:00"/>
        <d v="2025-11-23T00:00:00"/>
        <d v="2024-06-28T00:00:00"/>
        <d v="2024-03-21T00:00:00"/>
        <d v="2024-11-03T00:00:00"/>
        <d v="2025-09-05T00:00:00"/>
        <d v="2025-10-31T00:00:00"/>
        <d v="2025-02-18T00:00:00"/>
        <d v="2024-08-16T00:00:00"/>
        <d v="2025-08-01T00:00:00"/>
        <d v="2024-06-26T00:00:00"/>
        <d v="2024-07-28T00:00:00"/>
        <d v="2024-12-20T00:00:00"/>
        <d v="2024-03-31T00:00:00"/>
        <d v="2024-06-18T00:00:00"/>
        <d v="2025-01-29T00:00:00"/>
        <d v="2024-06-17T00:00:00"/>
        <d v="2025-06-23T00:00:00"/>
        <d v="2025-06-20T00:00:00"/>
        <d v="2025-05-21T00:00:00"/>
        <d v="2025-04-05T00:00:00"/>
        <d v="2025-04-22T00:00:00"/>
        <d v="2024-04-16T00:00:00"/>
        <d v="2024-02-08T00:00:00"/>
        <d v="2024-02-18T00:00:00"/>
        <d v="2025-05-29T00:00:00"/>
        <d v="2024-08-17T00:00:00"/>
        <d v="2024-05-09T00:00:00"/>
        <d v="2025-07-24T00:00:00"/>
        <d v="2024-07-05T00:00:00"/>
        <d v="2024-04-08T00:00:00"/>
        <d v="2024-07-20T00:00:00"/>
        <d v="2024-06-27T00:00:00"/>
        <d v="2024-09-05T00:00:00"/>
        <d v="2024-04-14T00:00:00"/>
        <d v="2025-02-07T00:00:00"/>
        <d v="2024-07-23T00:00:00"/>
        <d v="2024-03-06T00:00:00"/>
        <d v="2025-03-07T00:00:00"/>
        <d v="2025-11-30T00:00:00"/>
        <d v="2024-06-07T00:00:00"/>
        <d v="2024-08-29T00:00:00"/>
        <d v="2025-06-24T00:00:00"/>
        <d v="2024-01-18T00:00:00"/>
        <d v="2025-05-18T00:00:00"/>
        <d v="2024-01-23T00:00:00"/>
        <d v="2024-05-26T00:00:00"/>
        <d v="2025-10-14T00:00:00"/>
        <d v="2024-11-15T00:00:00"/>
        <d v="2024-03-01T00:00:00"/>
        <d v="2024-01-24T00:00:00"/>
        <d v="2025-03-14T00:00:00"/>
        <d v="2025-10-30T00:00:00"/>
        <d v="2024-09-21T00:00:00"/>
        <d v="2024-06-03T00:00:00"/>
        <d v="2024-05-03T00:00:00"/>
        <d v="2025-06-03T00:00:00"/>
        <d v="2025-02-04T00:00:00"/>
        <d v="2024-11-18T00:00:00"/>
        <d v="2025-07-13T00:00:00"/>
        <d v="2024-11-04T00:00:00"/>
        <d v="2024-09-15T00:00:00"/>
        <d v="2024-08-26T00:00:00"/>
        <d v="2024-11-29T00:00:00"/>
        <d v="2025-04-12T00:00:00"/>
        <d v="2025-02-02T00:00:00"/>
        <d v="2025-04-21T00:00:00"/>
        <d v="2025-07-07T00:00:00"/>
        <d v="2025-05-05T00:00:00"/>
        <d v="2024-08-30T00:00:00"/>
        <d v="2024-08-22T00:00:00"/>
        <d v="2024-12-23T00:00:00"/>
        <d v="2025-10-15T00:00:00"/>
        <d v="2024-01-05T00:00:00"/>
        <d v="2025-06-30T00:00:00"/>
        <d v="2024-03-20T00:00:00"/>
        <d v="2025-08-26T00:00:00"/>
        <d v="2025-05-08T00:00:00"/>
        <d v="2024-10-31T00:00:00"/>
        <d v="2025-08-23T00:00:00"/>
        <d v="2024-08-01T00:00:00"/>
        <d v="2025-10-24T00:00:00"/>
        <d v="2024-04-15T00:00:00"/>
        <d v="2024-09-24T00:00:00"/>
        <d v="2025-11-03T00:00:00"/>
        <d v="2024-03-14T00:00:00"/>
        <d v="2025-11-26T00:00:00"/>
        <d v="2025-05-13T00:00:00"/>
        <d v="2025-05-27T00:00:00"/>
        <d v="2024-03-28T00:00:00"/>
        <d v="2025-01-08T00:00:00"/>
        <d v="2025-06-07T00:00:00"/>
        <d v="2025-05-12T00:00:00"/>
        <d v="2024-05-23T00:00:00"/>
        <d v="2025-06-08T00:00:00"/>
        <d v="2024-12-03T00:00:00"/>
        <d v="2024-09-27T00:00:00"/>
        <d v="2025-03-08T00:00:00"/>
        <d v="2024-02-27T00:00:00"/>
        <d v="2025-10-26T00:00:00"/>
        <d v="2024-02-02T00:00:00"/>
        <d v="2024-05-07T00:00:00"/>
        <d v="2025-08-03T00:00:00"/>
        <d v="2024-06-21T00:00:00"/>
        <d v="2025-06-25T00:00:00"/>
        <d v="2024-09-26T00:00:00"/>
        <d v="2024-05-30T00:00:00"/>
        <d v="2024-06-08T00:00:00"/>
        <d v="2024-12-19T00:00:00"/>
        <d v="2025-04-14T00:00:00"/>
        <d v="2024-09-06T00:00:00"/>
        <d v="2024-10-19T00:00:00"/>
        <d v="2024-01-04T00:00:00"/>
        <d v="2024-09-19T00:00:00"/>
        <d v="2024-11-23T00:00:00"/>
        <d v="2024-05-17T00:00:00"/>
        <d v="2024-04-26T00:00:00"/>
        <d v="2025-09-04T00:00:00"/>
        <d v="2025-07-12T00:00:00"/>
        <d v="2025-05-31T00:00:00"/>
        <d v="2024-12-11T00:00:00"/>
        <d v="2024-11-20T00:00:00"/>
        <d v="2024-08-23T00:00:00"/>
        <d v="2025-08-12T00:00:00"/>
        <d v="2024-10-23T00:00:00"/>
        <d v="2024-11-13T00:00:00"/>
        <d v="2025-06-14T00:00:00"/>
        <d v="2024-03-15T00:00:00"/>
        <d v="2025-01-28T00:00:00"/>
        <d v="2024-06-25T00:00:00"/>
        <d v="2025-07-28T00:00:00"/>
        <d v="2025-02-19T00:00:00"/>
        <d v="2024-09-08T00:00:00"/>
        <d v="2024-03-09T00:00:00"/>
        <d v="2025-02-01T00:00:00"/>
        <d v="2024-05-21T00:00:00"/>
        <d v="2024-05-29T00:00:00"/>
        <d v="2025-04-17T00:00:00"/>
        <d v="2025-05-26T00:00:00"/>
        <d v="2024-06-14T00:00:00"/>
        <d v="2024-06-05T00:00:00"/>
        <d v="2024-11-19T00:00:00"/>
        <d v="2024-03-16T00:00:00"/>
        <d v="2024-08-21T00:00:00"/>
        <d v="2024-09-09T00:00:00"/>
        <d v="2024-04-18T00:00:00"/>
        <d v="2024-12-05T00:00:00"/>
        <d v="2024-12-24T00:00:00"/>
        <d v="2025-01-07T00:00:00"/>
        <d v="2024-08-27T00:00:00"/>
        <d v="2024-10-25T00:00:00"/>
        <d v="2025-09-25T00:00:00"/>
        <d v="2024-03-26T00:00:00"/>
        <d v="2025-01-25T00:00:00"/>
        <d v="2024-02-09T00:00:00"/>
        <d v="2024-07-16T00:00:00"/>
        <d v="2024-10-03T00:00:00"/>
        <d v="2024-03-04T00:00:00"/>
        <d v="2025-11-07T00:00:00"/>
        <d v="2025-02-13T00:00:00"/>
        <d v="2025-08-31T00:00:00"/>
        <d v="2025-04-19T00:00:00"/>
        <d v="2025-01-24T00:00:00"/>
        <d v="2025-02-21T00:00:00"/>
        <d v="2025-01-01T00:00:00"/>
        <d v="2025-05-15T00:00:00"/>
        <d v="2024-12-28T00:00:00"/>
        <d v="2024-04-05T00:00:00"/>
        <d v="2024-07-17T00:00:00"/>
        <d v="2025-02-17T00:00:00"/>
        <d v="2024-04-10T00:00:00"/>
        <d v="2024-02-14T00:00:00"/>
        <d v="2025-11-24T00:00:00"/>
        <d v="2025-01-23T00:00:00"/>
        <d v="2025-08-18T00:00:00"/>
        <d v="2025-01-31T00:00:00"/>
        <d v="2025-08-17T00:00:00"/>
        <d v="2024-05-31T00:00:00"/>
        <d v="2025-06-21T00:00:00"/>
        <d v="2025-09-03T00:00:00"/>
        <d v="2024-04-28T00:00:00"/>
        <d v="2024-12-26T00:00:00"/>
        <d v="2024-03-25T00:00:00"/>
        <d v="2025-08-30T00:00:00"/>
        <d v="2025-08-04T00:00:00"/>
        <d v="2025-11-25T00:00:00"/>
        <d v="2024-11-12T00:00:00"/>
        <d v="2025-07-15T00:00:00"/>
        <d v="2025-02-22T00:00:00"/>
        <d v="2024-12-02T00:00:00"/>
        <d v="2024-12-08T00:00:00"/>
        <d v="2025-06-10T00:00:00"/>
        <d v="2025-01-11T00:00:00"/>
        <d v="2024-05-06T00:00:00"/>
        <d v="2025-06-04T00:00:00"/>
        <d v="2025-10-01T00:00:00"/>
        <d v="2024-07-31T00:00:00"/>
        <d v="2025-06-15T00:00:00"/>
        <d v="2024-08-02T00:00:00"/>
        <d v="2025-11-19T00:00:00"/>
        <d v="2024-01-31T00:00:00"/>
        <d v="2025-10-09T00:00:00"/>
        <d v="2024-02-05T00:00:00"/>
        <d v="2024-10-28T00:00:00"/>
        <d v="2024-07-03T00:00:00"/>
        <d v="2025-06-09T00:00:00"/>
        <d v="2025-02-05T00:00:00"/>
        <d v="2025-07-09T00:00:00"/>
        <d v="2025-03-10T00:00:00"/>
        <d v="2024-07-13T00:00:00"/>
        <d v="2024-01-20T00:00:00"/>
        <d v="2025-07-19T00:00:00"/>
        <d v="2024-01-09T00:00:00"/>
        <d v="2024-01-14T00:00:00"/>
        <d v="2024-12-12T00:00:00"/>
        <d v="2025-10-20T00:00:00"/>
        <d v="2025-10-05T00:00:00"/>
        <d v="2025-05-01T00:00:00"/>
        <d v="2024-11-05T00:00:00"/>
        <d v="2024-08-19T00:00:00"/>
        <d v="2025-09-30T00:00:00"/>
        <d v="2024-07-26T00:00:00"/>
        <d v="2025-04-13T00:00:00"/>
        <d v="2025-03-02T00:00:00"/>
        <d v="2024-11-07T00:00:00"/>
        <d v="2024-09-16T00:00:00"/>
        <d v="2025-11-27T00:00:00"/>
        <d v="2024-07-29T00:00:00"/>
        <d v="2025-07-03T00:00:00"/>
        <d v="2024-02-07T00:00:00"/>
        <d v="2025-03-18T00:00:00"/>
        <d v="2025-08-20T00:00:00"/>
        <d v="2025-06-26T00:00:00"/>
        <d v="2024-11-10T00:00:00"/>
        <d v="2024-12-14T00:00:00"/>
        <d v="2024-05-20T00:00:00"/>
        <d v="2025-09-07T00:00:00"/>
        <d v="2024-05-10T00:00:00"/>
        <d v="2025-02-28T00:00:00"/>
        <d v="2024-01-01T00:00:00"/>
        <d v="2024-06-20T00:00:00"/>
        <d v="2024-04-24T00:00:00"/>
        <d v="2025-09-11T00:00:00"/>
        <d v="2024-07-01T00:00:00"/>
        <d v="2024-03-17T00:00:00"/>
        <d v="2024-12-07T00:00:00"/>
        <d v="2024-02-20T00:00:00"/>
        <d v="2024-07-22T00:00:00"/>
        <d v="2024-02-25T00:00:00"/>
        <d v="2025-01-27T00:00:00"/>
        <d v="2024-05-12T00:00:00"/>
        <d v="2025-04-24T00:00:00"/>
        <d v="2025-06-02T00:00:00"/>
        <d v="2025-04-01T00:00:00"/>
        <d v="2025-10-23T00:00:00"/>
        <d v="2025-03-30T00:00:00"/>
        <d v="2025-04-02T00:00:00"/>
        <d v="2025-01-04T00:00:00"/>
        <d v="2024-01-03T00:00:00"/>
        <d v="2024-12-16T00:00:00"/>
        <d v="2025-07-01T00:00:00"/>
        <d v="2024-03-18T00:00:00"/>
        <d v="2025-02-11T00:00:00"/>
        <d v="2025-07-25T00:00:00"/>
        <d v="2025-11-11T00:00:00"/>
        <d v="2024-10-14T00:00:00"/>
        <d v="2025-08-28T00:00:00"/>
        <d v="2025-01-15T00:00:00"/>
        <d v="2024-07-19T00:00:00"/>
        <d v="2024-02-01T00:00:00"/>
        <d v="2025-06-11T00:00:00"/>
        <d v="2025-07-10T00:00:00"/>
        <d v="2025-06-13T00:00:00"/>
        <d v="2025-11-12T00:00:00"/>
        <d v="2024-04-17T00:00:00"/>
        <d v="2025-01-26T00:00:00"/>
        <d v="2025-11-02T00:00:00"/>
        <d v="2025-01-16T00:00:00"/>
        <d v="2024-09-30T00:00:00"/>
        <d v="2024-09-01T00:00:00"/>
        <d v="2024-02-11T00:00:00"/>
        <d v="2024-09-02T00:00:00"/>
        <d v="2025-05-16T00:00:00"/>
        <d v="2025-11-16T00:00:00"/>
        <d v="2025-06-19T00:00:00"/>
        <d v="2024-01-12T00:00:00"/>
        <d v="2025-05-23T00:00:00"/>
        <d v="2025-01-05T00:00:00"/>
        <d v="2025-02-24T00:00:00"/>
        <d v="2024-10-08T00:00:00"/>
        <d v="2024-10-13T00:00:00"/>
        <d v="2024-09-29T00:00:00"/>
        <d v="2024-08-28T00:00:00"/>
        <d v="2025-11-06T00:00:00"/>
        <d v="2025-05-02T00:00:00"/>
        <d v="2024-06-15T00:00:00"/>
        <d v="2024-02-04T00:00:00"/>
        <d v="2025-04-28T00:00:00"/>
        <d v="2024-11-01T00:00:00"/>
        <d v="2025-01-14T00:00:00"/>
        <d v="2024-03-24T00:00:00"/>
        <d v="2025-02-20T00:00:00"/>
        <d v="2024-12-09T00:00:00"/>
        <d v="2024-04-21T00:00:00"/>
        <d v="2025-08-07T00:00:00"/>
        <d v="2024-01-30T00:00:00"/>
        <d v="2025-05-06T00:00:00"/>
        <d v="2025-08-21T00:00:00"/>
        <d v="2024-05-27T00:00:00"/>
        <d v="2024-08-08T00:00:00"/>
        <d v="2025-07-29T00:00:00"/>
        <d v="2024-08-10T00:00:00"/>
        <d v="2025-09-20T00:00:00"/>
        <d v="2025-09-24T00:00:00"/>
        <d v="2025-04-27T00:00:00"/>
        <d v="2024-09-18T00:00:00"/>
        <d v="2024-10-30T00:00:00"/>
        <d v="2025-03-27T00:00:00"/>
        <d v="2024-12-30T00:00:00"/>
        <d v="2025-09-02T00:00:00"/>
        <d v="2025-10-25T00:00:00"/>
        <d v="2024-02-19T00:00:00"/>
        <d v="2025-11-09T00:00:00"/>
      </sharedItems>
      <fieldGroup par="8" base="3">
        <rangePr groupBy="months" startDate="2024-01-01T00:00:00" endDate="2025-12-02T00:00:00"/>
        <groupItems count="14">
          <s v="&lt;1/1/24"/>
          <s v="Jan"/>
          <s v="Feb"/>
          <s v="Mar"/>
          <s v="Apr"/>
          <s v="May"/>
          <s v="Jun"/>
          <s v="Jul"/>
          <s v="Aug"/>
          <s v="Sep"/>
          <s v="Oct"/>
          <s v="Nov"/>
          <s v="Dec"/>
          <s v="&gt;12/2/25"/>
        </groupItems>
      </fieldGroup>
    </cacheField>
    <cacheField name="Monthly_Fee" numFmtId="0">
      <sharedItems containsSemiMixedTypes="0" containsString="0" containsNumber="1" containsInteger="1" minValue="49" maxValue="129" count="3">
        <n v="49"/>
        <n v="129"/>
        <n v="89"/>
      </sharedItems>
    </cacheField>
    <cacheField name="Churned" numFmtId="0">
      <sharedItems containsSemiMixedTypes="0" containsString="0" containsNumber="1" containsInteger="1" minValue="0" maxValue="1"/>
    </cacheField>
    <cacheField name="Active Member" numFmtId="0">
      <sharedItems containsSemiMixedTypes="0" containsString="0" containsNumber="1" containsInteger="1" minValue="0" maxValue="1" count="2">
        <n v="1"/>
        <n v="0"/>
      </sharedItems>
    </cacheField>
    <cacheField name="Active Status" numFmtId="0">
      <sharedItems/>
    </cacheField>
    <cacheField name="Years" numFmtId="0" databaseField="0">
      <fieldGroup base="3">
        <rangePr groupBy="years" startDate="2024-01-01T00:00:00" endDate="2025-12-02T00:00:00"/>
        <groupItems count="4">
          <s v="&lt;1/1/24"/>
          <s v="2024"/>
          <s v="2025"/>
          <s v="&gt;12/2/25"/>
        </groupItems>
      </fieldGroup>
    </cacheField>
  </cacheFields>
  <extLst>
    <ext xmlns:x14="http://schemas.microsoft.com/office/spreadsheetml/2009/9/main" uri="{725AE2AE-9491-48be-B2B4-4EB974FC3084}">
      <x14:pivotCacheDefinition pivotCacheId="3303847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x v="0"/>
    <x v="0"/>
    <x v="0"/>
    <x v="0"/>
    <n v="0"/>
    <x v="0"/>
    <s v="Basic"/>
  </r>
  <r>
    <x v="1"/>
    <x v="0"/>
    <x v="1"/>
    <x v="1"/>
    <x v="1"/>
    <n v="0"/>
    <x v="0"/>
    <s v="Elite"/>
  </r>
  <r>
    <x v="2"/>
    <x v="1"/>
    <x v="0"/>
    <x v="2"/>
    <x v="0"/>
    <n v="0"/>
    <x v="0"/>
    <s v="Basic"/>
  </r>
  <r>
    <x v="3"/>
    <x v="0"/>
    <x v="0"/>
    <x v="3"/>
    <x v="0"/>
    <n v="0"/>
    <x v="0"/>
    <s v="Basic"/>
  </r>
  <r>
    <x v="4"/>
    <x v="2"/>
    <x v="1"/>
    <x v="4"/>
    <x v="1"/>
    <n v="0"/>
    <x v="0"/>
    <s v="Elite"/>
  </r>
  <r>
    <x v="5"/>
    <x v="3"/>
    <x v="2"/>
    <x v="5"/>
    <x v="2"/>
    <n v="0"/>
    <x v="0"/>
    <s v="Premium"/>
  </r>
  <r>
    <x v="6"/>
    <x v="2"/>
    <x v="0"/>
    <x v="6"/>
    <x v="0"/>
    <n v="0"/>
    <x v="0"/>
    <s v="Basic"/>
  </r>
  <r>
    <x v="7"/>
    <x v="1"/>
    <x v="2"/>
    <x v="7"/>
    <x v="2"/>
    <n v="0"/>
    <x v="0"/>
    <s v="Premium"/>
  </r>
  <r>
    <x v="8"/>
    <x v="2"/>
    <x v="0"/>
    <x v="8"/>
    <x v="0"/>
    <n v="0"/>
    <x v="0"/>
    <s v="Basic"/>
  </r>
  <r>
    <x v="9"/>
    <x v="2"/>
    <x v="1"/>
    <x v="9"/>
    <x v="1"/>
    <n v="0"/>
    <x v="0"/>
    <s v="Elite"/>
  </r>
  <r>
    <x v="10"/>
    <x v="3"/>
    <x v="2"/>
    <x v="10"/>
    <x v="2"/>
    <n v="0"/>
    <x v="0"/>
    <s v="Premium"/>
  </r>
  <r>
    <x v="11"/>
    <x v="2"/>
    <x v="1"/>
    <x v="11"/>
    <x v="1"/>
    <n v="0"/>
    <x v="0"/>
    <s v="Elite"/>
  </r>
  <r>
    <x v="12"/>
    <x v="0"/>
    <x v="1"/>
    <x v="12"/>
    <x v="1"/>
    <n v="0"/>
    <x v="0"/>
    <s v="Elite"/>
  </r>
  <r>
    <x v="13"/>
    <x v="1"/>
    <x v="0"/>
    <x v="13"/>
    <x v="0"/>
    <n v="0"/>
    <x v="0"/>
    <s v="Basic"/>
  </r>
  <r>
    <x v="14"/>
    <x v="3"/>
    <x v="0"/>
    <x v="14"/>
    <x v="0"/>
    <n v="0"/>
    <x v="0"/>
    <s v="Basic"/>
  </r>
  <r>
    <x v="15"/>
    <x v="0"/>
    <x v="0"/>
    <x v="15"/>
    <x v="0"/>
    <n v="0"/>
    <x v="0"/>
    <s v="Basic"/>
  </r>
  <r>
    <x v="16"/>
    <x v="0"/>
    <x v="0"/>
    <x v="16"/>
    <x v="0"/>
    <n v="0"/>
    <x v="0"/>
    <s v="Basic"/>
  </r>
  <r>
    <x v="17"/>
    <x v="1"/>
    <x v="2"/>
    <x v="17"/>
    <x v="2"/>
    <n v="0"/>
    <x v="0"/>
    <s v="Premium"/>
  </r>
  <r>
    <x v="18"/>
    <x v="3"/>
    <x v="2"/>
    <x v="18"/>
    <x v="2"/>
    <n v="0"/>
    <x v="0"/>
    <s v="Premium"/>
  </r>
  <r>
    <x v="19"/>
    <x v="3"/>
    <x v="0"/>
    <x v="19"/>
    <x v="0"/>
    <n v="0"/>
    <x v="0"/>
    <s v="Basic"/>
  </r>
  <r>
    <x v="20"/>
    <x v="0"/>
    <x v="1"/>
    <x v="20"/>
    <x v="1"/>
    <n v="0"/>
    <x v="0"/>
    <s v="Elite"/>
  </r>
  <r>
    <x v="21"/>
    <x v="1"/>
    <x v="0"/>
    <x v="21"/>
    <x v="0"/>
    <n v="0"/>
    <x v="0"/>
    <s v="Basic"/>
  </r>
  <r>
    <x v="22"/>
    <x v="0"/>
    <x v="0"/>
    <x v="22"/>
    <x v="0"/>
    <n v="0"/>
    <x v="0"/>
    <s v="Basic"/>
  </r>
  <r>
    <x v="23"/>
    <x v="0"/>
    <x v="0"/>
    <x v="23"/>
    <x v="0"/>
    <n v="0"/>
    <x v="0"/>
    <s v="Basic"/>
  </r>
  <r>
    <x v="24"/>
    <x v="1"/>
    <x v="1"/>
    <x v="24"/>
    <x v="1"/>
    <n v="0"/>
    <x v="0"/>
    <s v="Elite"/>
  </r>
  <r>
    <x v="25"/>
    <x v="3"/>
    <x v="2"/>
    <x v="25"/>
    <x v="2"/>
    <n v="0"/>
    <x v="0"/>
    <s v="Premium"/>
  </r>
  <r>
    <x v="26"/>
    <x v="3"/>
    <x v="0"/>
    <x v="26"/>
    <x v="0"/>
    <n v="0"/>
    <x v="0"/>
    <s v="Basic"/>
  </r>
  <r>
    <x v="27"/>
    <x v="0"/>
    <x v="2"/>
    <x v="27"/>
    <x v="2"/>
    <n v="0"/>
    <x v="0"/>
    <s v="Premium"/>
  </r>
  <r>
    <x v="28"/>
    <x v="3"/>
    <x v="0"/>
    <x v="28"/>
    <x v="0"/>
    <n v="0"/>
    <x v="0"/>
    <s v="Basic"/>
  </r>
  <r>
    <x v="29"/>
    <x v="0"/>
    <x v="0"/>
    <x v="29"/>
    <x v="0"/>
    <n v="0"/>
    <x v="0"/>
    <s v="Basic"/>
  </r>
  <r>
    <x v="30"/>
    <x v="2"/>
    <x v="0"/>
    <x v="30"/>
    <x v="0"/>
    <n v="0"/>
    <x v="0"/>
    <s v="Basic"/>
  </r>
  <r>
    <x v="31"/>
    <x v="0"/>
    <x v="0"/>
    <x v="31"/>
    <x v="0"/>
    <n v="0"/>
    <x v="0"/>
    <s v="Basic"/>
  </r>
  <r>
    <x v="32"/>
    <x v="3"/>
    <x v="0"/>
    <x v="32"/>
    <x v="0"/>
    <n v="0"/>
    <x v="0"/>
    <s v="Basic"/>
  </r>
  <r>
    <x v="33"/>
    <x v="2"/>
    <x v="2"/>
    <x v="33"/>
    <x v="2"/>
    <n v="1"/>
    <x v="1"/>
    <s v="Inactive"/>
  </r>
  <r>
    <x v="34"/>
    <x v="1"/>
    <x v="0"/>
    <x v="34"/>
    <x v="0"/>
    <n v="0"/>
    <x v="0"/>
    <s v="Basic"/>
  </r>
  <r>
    <x v="35"/>
    <x v="0"/>
    <x v="2"/>
    <x v="35"/>
    <x v="2"/>
    <n v="0"/>
    <x v="0"/>
    <s v="Premium"/>
  </r>
  <r>
    <x v="36"/>
    <x v="1"/>
    <x v="0"/>
    <x v="36"/>
    <x v="0"/>
    <n v="1"/>
    <x v="1"/>
    <s v="Inactive"/>
  </r>
  <r>
    <x v="37"/>
    <x v="1"/>
    <x v="1"/>
    <x v="31"/>
    <x v="1"/>
    <n v="0"/>
    <x v="0"/>
    <s v="Elite"/>
  </r>
  <r>
    <x v="38"/>
    <x v="0"/>
    <x v="1"/>
    <x v="37"/>
    <x v="1"/>
    <n v="0"/>
    <x v="0"/>
    <s v="Elite"/>
  </r>
  <r>
    <x v="39"/>
    <x v="2"/>
    <x v="0"/>
    <x v="38"/>
    <x v="0"/>
    <n v="0"/>
    <x v="0"/>
    <s v="Basic"/>
  </r>
  <r>
    <x v="40"/>
    <x v="3"/>
    <x v="2"/>
    <x v="39"/>
    <x v="2"/>
    <n v="0"/>
    <x v="0"/>
    <s v="Premium"/>
  </r>
  <r>
    <x v="41"/>
    <x v="3"/>
    <x v="0"/>
    <x v="40"/>
    <x v="0"/>
    <n v="0"/>
    <x v="0"/>
    <s v="Basic"/>
  </r>
  <r>
    <x v="42"/>
    <x v="1"/>
    <x v="0"/>
    <x v="41"/>
    <x v="0"/>
    <n v="0"/>
    <x v="0"/>
    <s v="Basic"/>
  </r>
  <r>
    <x v="43"/>
    <x v="0"/>
    <x v="2"/>
    <x v="15"/>
    <x v="2"/>
    <n v="0"/>
    <x v="0"/>
    <s v="Premium"/>
  </r>
  <r>
    <x v="44"/>
    <x v="3"/>
    <x v="0"/>
    <x v="42"/>
    <x v="0"/>
    <n v="0"/>
    <x v="0"/>
    <s v="Basic"/>
  </r>
  <r>
    <x v="45"/>
    <x v="0"/>
    <x v="0"/>
    <x v="43"/>
    <x v="0"/>
    <n v="0"/>
    <x v="0"/>
    <s v="Basic"/>
  </r>
  <r>
    <x v="46"/>
    <x v="0"/>
    <x v="0"/>
    <x v="44"/>
    <x v="0"/>
    <n v="0"/>
    <x v="0"/>
    <s v="Basic"/>
  </r>
  <r>
    <x v="47"/>
    <x v="2"/>
    <x v="1"/>
    <x v="45"/>
    <x v="1"/>
    <n v="0"/>
    <x v="0"/>
    <s v="Elite"/>
  </r>
  <r>
    <x v="48"/>
    <x v="0"/>
    <x v="0"/>
    <x v="46"/>
    <x v="0"/>
    <n v="0"/>
    <x v="0"/>
    <s v="Basic"/>
  </r>
  <r>
    <x v="49"/>
    <x v="2"/>
    <x v="1"/>
    <x v="47"/>
    <x v="1"/>
    <n v="1"/>
    <x v="1"/>
    <s v="Inactive"/>
  </r>
  <r>
    <x v="50"/>
    <x v="1"/>
    <x v="2"/>
    <x v="48"/>
    <x v="2"/>
    <n v="0"/>
    <x v="0"/>
    <s v="Premium"/>
  </r>
  <r>
    <x v="51"/>
    <x v="1"/>
    <x v="2"/>
    <x v="49"/>
    <x v="2"/>
    <n v="0"/>
    <x v="0"/>
    <s v="Premium"/>
  </r>
  <r>
    <x v="52"/>
    <x v="3"/>
    <x v="2"/>
    <x v="50"/>
    <x v="2"/>
    <n v="0"/>
    <x v="0"/>
    <s v="Premium"/>
  </r>
  <r>
    <x v="53"/>
    <x v="2"/>
    <x v="0"/>
    <x v="51"/>
    <x v="0"/>
    <n v="0"/>
    <x v="0"/>
    <s v="Basic"/>
  </r>
  <r>
    <x v="54"/>
    <x v="1"/>
    <x v="1"/>
    <x v="8"/>
    <x v="1"/>
    <n v="1"/>
    <x v="1"/>
    <s v="Inactive"/>
  </r>
  <r>
    <x v="55"/>
    <x v="2"/>
    <x v="2"/>
    <x v="52"/>
    <x v="2"/>
    <n v="0"/>
    <x v="0"/>
    <s v="Premium"/>
  </r>
  <r>
    <x v="56"/>
    <x v="2"/>
    <x v="2"/>
    <x v="53"/>
    <x v="2"/>
    <n v="0"/>
    <x v="0"/>
    <s v="Premium"/>
  </r>
  <r>
    <x v="57"/>
    <x v="1"/>
    <x v="2"/>
    <x v="54"/>
    <x v="2"/>
    <n v="0"/>
    <x v="0"/>
    <s v="Premium"/>
  </r>
  <r>
    <x v="58"/>
    <x v="1"/>
    <x v="2"/>
    <x v="55"/>
    <x v="2"/>
    <n v="0"/>
    <x v="0"/>
    <s v="Premium"/>
  </r>
  <r>
    <x v="59"/>
    <x v="3"/>
    <x v="2"/>
    <x v="56"/>
    <x v="2"/>
    <n v="0"/>
    <x v="0"/>
    <s v="Premium"/>
  </r>
  <r>
    <x v="60"/>
    <x v="2"/>
    <x v="2"/>
    <x v="57"/>
    <x v="2"/>
    <n v="0"/>
    <x v="0"/>
    <s v="Premium"/>
  </r>
  <r>
    <x v="61"/>
    <x v="0"/>
    <x v="0"/>
    <x v="58"/>
    <x v="0"/>
    <n v="0"/>
    <x v="0"/>
    <s v="Basic"/>
  </r>
  <r>
    <x v="62"/>
    <x v="2"/>
    <x v="0"/>
    <x v="59"/>
    <x v="0"/>
    <n v="0"/>
    <x v="0"/>
    <s v="Basic"/>
  </r>
  <r>
    <x v="63"/>
    <x v="3"/>
    <x v="0"/>
    <x v="60"/>
    <x v="0"/>
    <n v="0"/>
    <x v="0"/>
    <s v="Basic"/>
  </r>
  <r>
    <x v="64"/>
    <x v="0"/>
    <x v="2"/>
    <x v="61"/>
    <x v="2"/>
    <n v="0"/>
    <x v="0"/>
    <s v="Premium"/>
  </r>
  <r>
    <x v="65"/>
    <x v="1"/>
    <x v="2"/>
    <x v="62"/>
    <x v="2"/>
    <n v="0"/>
    <x v="0"/>
    <s v="Premium"/>
  </r>
  <r>
    <x v="66"/>
    <x v="1"/>
    <x v="2"/>
    <x v="63"/>
    <x v="2"/>
    <n v="1"/>
    <x v="1"/>
    <s v="Inactive"/>
  </r>
  <r>
    <x v="67"/>
    <x v="0"/>
    <x v="2"/>
    <x v="64"/>
    <x v="2"/>
    <n v="0"/>
    <x v="0"/>
    <s v="Premium"/>
  </r>
  <r>
    <x v="68"/>
    <x v="2"/>
    <x v="0"/>
    <x v="65"/>
    <x v="0"/>
    <n v="0"/>
    <x v="0"/>
    <s v="Basic"/>
  </r>
  <r>
    <x v="69"/>
    <x v="1"/>
    <x v="0"/>
    <x v="66"/>
    <x v="0"/>
    <n v="0"/>
    <x v="0"/>
    <s v="Basic"/>
  </r>
  <r>
    <x v="70"/>
    <x v="1"/>
    <x v="0"/>
    <x v="67"/>
    <x v="0"/>
    <n v="0"/>
    <x v="0"/>
    <s v="Basic"/>
  </r>
  <r>
    <x v="71"/>
    <x v="1"/>
    <x v="0"/>
    <x v="68"/>
    <x v="0"/>
    <n v="0"/>
    <x v="0"/>
    <s v="Basic"/>
  </r>
  <r>
    <x v="72"/>
    <x v="1"/>
    <x v="1"/>
    <x v="69"/>
    <x v="1"/>
    <n v="0"/>
    <x v="0"/>
    <s v="Elite"/>
  </r>
  <r>
    <x v="73"/>
    <x v="3"/>
    <x v="1"/>
    <x v="70"/>
    <x v="1"/>
    <n v="0"/>
    <x v="0"/>
    <s v="Elite"/>
  </r>
  <r>
    <x v="74"/>
    <x v="1"/>
    <x v="0"/>
    <x v="71"/>
    <x v="0"/>
    <n v="1"/>
    <x v="1"/>
    <s v="Inactive"/>
  </r>
  <r>
    <x v="75"/>
    <x v="2"/>
    <x v="0"/>
    <x v="72"/>
    <x v="0"/>
    <n v="0"/>
    <x v="0"/>
    <s v="Basic"/>
  </r>
  <r>
    <x v="76"/>
    <x v="1"/>
    <x v="1"/>
    <x v="73"/>
    <x v="1"/>
    <n v="0"/>
    <x v="0"/>
    <s v="Elite"/>
  </r>
  <r>
    <x v="77"/>
    <x v="3"/>
    <x v="0"/>
    <x v="74"/>
    <x v="0"/>
    <n v="0"/>
    <x v="0"/>
    <s v="Basic"/>
  </r>
  <r>
    <x v="78"/>
    <x v="3"/>
    <x v="0"/>
    <x v="75"/>
    <x v="0"/>
    <n v="0"/>
    <x v="0"/>
    <s v="Basic"/>
  </r>
  <r>
    <x v="79"/>
    <x v="1"/>
    <x v="0"/>
    <x v="76"/>
    <x v="0"/>
    <n v="1"/>
    <x v="1"/>
    <s v="Inactive"/>
  </r>
  <r>
    <x v="80"/>
    <x v="3"/>
    <x v="1"/>
    <x v="77"/>
    <x v="1"/>
    <n v="0"/>
    <x v="0"/>
    <s v="Elite"/>
  </r>
  <r>
    <x v="81"/>
    <x v="1"/>
    <x v="1"/>
    <x v="78"/>
    <x v="1"/>
    <n v="0"/>
    <x v="0"/>
    <s v="Elite"/>
  </r>
  <r>
    <x v="82"/>
    <x v="3"/>
    <x v="0"/>
    <x v="79"/>
    <x v="0"/>
    <n v="0"/>
    <x v="0"/>
    <s v="Basic"/>
  </r>
  <r>
    <x v="83"/>
    <x v="2"/>
    <x v="2"/>
    <x v="80"/>
    <x v="2"/>
    <n v="1"/>
    <x v="1"/>
    <s v="Inactive"/>
  </r>
  <r>
    <x v="84"/>
    <x v="2"/>
    <x v="0"/>
    <x v="81"/>
    <x v="0"/>
    <n v="0"/>
    <x v="0"/>
    <s v="Basic"/>
  </r>
  <r>
    <x v="85"/>
    <x v="3"/>
    <x v="2"/>
    <x v="82"/>
    <x v="2"/>
    <n v="0"/>
    <x v="0"/>
    <s v="Premium"/>
  </r>
  <r>
    <x v="86"/>
    <x v="1"/>
    <x v="2"/>
    <x v="83"/>
    <x v="2"/>
    <n v="1"/>
    <x v="1"/>
    <s v="Inactive"/>
  </r>
  <r>
    <x v="87"/>
    <x v="1"/>
    <x v="1"/>
    <x v="84"/>
    <x v="1"/>
    <n v="0"/>
    <x v="0"/>
    <s v="Elite"/>
  </r>
  <r>
    <x v="88"/>
    <x v="1"/>
    <x v="0"/>
    <x v="85"/>
    <x v="0"/>
    <n v="1"/>
    <x v="1"/>
    <s v="Inactive"/>
  </r>
  <r>
    <x v="89"/>
    <x v="1"/>
    <x v="1"/>
    <x v="70"/>
    <x v="1"/>
    <n v="1"/>
    <x v="1"/>
    <s v="Inactive"/>
  </r>
  <r>
    <x v="90"/>
    <x v="2"/>
    <x v="2"/>
    <x v="86"/>
    <x v="2"/>
    <n v="0"/>
    <x v="0"/>
    <s v="Premium"/>
  </r>
  <r>
    <x v="91"/>
    <x v="1"/>
    <x v="2"/>
    <x v="87"/>
    <x v="2"/>
    <n v="0"/>
    <x v="0"/>
    <s v="Premium"/>
  </r>
  <r>
    <x v="92"/>
    <x v="1"/>
    <x v="0"/>
    <x v="88"/>
    <x v="0"/>
    <n v="0"/>
    <x v="0"/>
    <s v="Basic"/>
  </r>
  <r>
    <x v="93"/>
    <x v="0"/>
    <x v="0"/>
    <x v="89"/>
    <x v="0"/>
    <n v="0"/>
    <x v="0"/>
    <s v="Basic"/>
  </r>
  <r>
    <x v="94"/>
    <x v="0"/>
    <x v="1"/>
    <x v="90"/>
    <x v="1"/>
    <n v="0"/>
    <x v="0"/>
    <s v="Elite"/>
  </r>
  <r>
    <x v="95"/>
    <x v="2"/>
    <x v="0"/>
    <x v="91"/>
    <x v="0"/>
    <n v="0"/>
    <x v="0"/>
    <s v="Basic"/>
  </r>
  <r>
    <x v="96"/>
    <x v="1"/>
    <x v="2"/>
    <x v="92"/>
    <x v="2"/>
    <n v="0"/>
    <x v="0"/>
    <s v="Premium"/>
  </r>
  <r>
    <x v="97"/>
    <x v="3"/>
    <x v="0"/>
    <x v="93"/>
    <x v="0"/>
    <n v="0"/>
    <x v="0"/>
    <s v="Basic"/>
  </r>
  <r>
    <x v="98"/>
    <x v="2"/>
    <x v="2"/>
    <x v="75"/>
    <x v="2"/>
    <n v="0"/>
    <x v="0"/>
    <s v="Premium"/>
  </r>
  <r>
    <x v="99"/>
    <x v="2"/>
    <x v="1"/>
    <x v="94"/>
    <x v="1"/>
    <n v="1"/>
    <x v="1"/>
    <s v="Inactive"/>
  </r>
  <r>
    <x v="100"/>
    <x v="2"/>
    <x v="0"/>
    <x v="95"/>
    <x v="0"/>
    <n v="1"/>
    <x v="1"/>
    <s v="Inactive"/>
  </r>
  <r>
    <x v="101"/>
    <x v="1"/>
    <x v="0"/>
    <x v="96"/>
    <x v="0"/>
    <n v="0"/>
    <x v="0"/>
    <s v="Basic"/>
  </r>
  <r>
    <x v="102"/>
    <x v="1"/>
    <x v="0"/>
    <x v="97"/>
    <x v="0"/>
    <n v="1"/>
    <x v="1"/>
    <s v="Inactive"/>
  </r>
  <r>
    <x v="103"/>
    <x v="3"/>
    <x v="0"/>
    <x v="98"/>
    <x v="0"/>
    <n v="0"/>
    <x v="0"/>
    <s v="Basic"/>
  </r>
  <r>
    <x v="104"/>
    <x v="0"/>
    <x v="1"/>
    <x v="99"/>
    <x v="1"/>
    <n v="0"/>
    <x v="0"/>
    <s v="Elite"/>
  </r>
  <r>
    <x v="105"/>
    <x v="0"/>
    <x v="0"/>
    <x v="100"/>
    <x v="0"/>
    <n v="0"/>
    <x v="0"/>
    <s v="Basic"/>
  </r>
  <r>
    <x v="106"/>
    <x v="2"/>
    <x v="2"/>
    <x v="101"/>
    <x v="2"/>
    <n v="1"/>
    <x v="1"/>
    <s v="Inactive"/>
  </r>
  <r>
    <x v="107"/>
    <x v="2"/>
    <x v="0"/>
    <x v="102"/>
    <x v="0"/>
    <n v="1"/>
    <x v="1"/>
    <s v="Inactive"/>
  </r>
  <r>
    <x v="108"/>
    <x v="3"/>
    <x v="0"/>
    <x v="80"/>
    <x v="0"/>
    <n v="0"/>
    <x v="0"/>
    <s v="Basic"/>
  </r>
  <r>
    <x v="109"/>
    <x v="1"/>
    <x v="1"/>
    <x v="103"/>
    <x v="1"/>
    <n v="0"/>
    <x v="0"/>
    <s v="Elite"/>
  </r>
  <r>
    <x v="110"/>
    <x v="2"/>
    <x v="0"/>
    <x v="104"/>
    <x v="0"/>
    <n v="0"/>
    <x v="0"/>
    <s v="Basic"/>
  </r>
  <r>
    <x v="111"/>
    <x v="0"/>
    <x v="0"/>
    <x v="104"/>
    <x v="0"/>
    <n v="0"/>
    <x v="0"/>
    <s v="Basic"/>
  </r>
  <r>
    <x v="112"/>
    <x v="2"/>
    <x v="2"/>
    <x v="105"/>
    <x v="2"/>
    <n v="0"/>
    <x v="0"/>
    <s v="Premium"/>
  </r>
  <r>
    <x v="113"/>
    <x v="3"/>
    <x v="1"/>
    <x v="106"/>
    <x v="1"/>
    <n v="0"/>
    <x v="0"/>
    <s v="Elite"/>
  </r>
  <r>
    <x v="114"/>
    <x v="3"/>
    <x v="0"/>
    <x v="107"/>
    <x v="0"/>
    <n v="1"/>
    <x v="1"/>
    <s v="Inactive"/>
  </r>
  <r>
    <x v="115"/>
    <x v="3"/>
    <x v="2"/>
    <x v="108"/>
    <x v="2"/>
    <n v="0"/>
    <x v="0"/>
    <s v="Premium"/>
  </r>
  <r>
    <x v="116"/>
    <x v="1"/>
    <x v="2"/>
    <x v="109"/>
    <x v="2"/>
    <n v="0"/>
    <x v="0"/>
    <s v="Premium"/>
  </r>
  <r>
    <x v="117"/>
    <x v="3"/>
    <x v="0"/>
    <x v="110"/>
    <x v="0"/>
    <n v="0"/>
    <x v="0"/>
    <s v="Basic"/>
  </r>
  <r>
    <x v="118"/>
    <x v="2"/>
    <x v="0"/>
    <x v="111"/>
    <x v="0"/>
    <n v="0"/>
    <x v="0"/>
    <s v="Basic"/>
  </r>
  <r>
    <x v="119"/>
    <x v="0"/>
    <x v="0"/>
    <x v="47"/>
    <x v="0"/>
    <n v="0"/>
    <x v="0"/>
    <s v="Basic"/>
  </r>
  <r>
    <x v="120"/>
    <x v="3"/>
    <x v="1"/>
    <x v="99"/>
    <x v="1"/>
    <n v="1"/>
    <x v="1"/>
    <s v="Inactive"/>
  </r>
  <r>
    <x v="121"/>
    <x v="3"/>
    <x v="0"/>
    <x v="112"/>
    <x v="0"/>
    <n v="0"/>
    <x v="0"/>
    <s v="Basic"/>
  </r>
  <r>
    <x v="122"/>
    <x v="3"/>
    <x v="2"/>
    <x v="113"/>
    <x v="2"/>
    <n v="0"/>
    <x v="0"/>
    <s v="Premium"/>
  </r>
  <r>
    <x v="123"/>
    <x v="3"/>
    <x v="0"/>
    <x v="114"/>
    <x v="0"/>
    <n v="1"/>
    <x v="1"/>
    <s v="Inactive"/>
  </r>
  <r>
    <x v="124"/>
    <x v="2"/>
    <x v="2"/>
    <x v="115"/>
    <x v="2"/>
    <n v="0"/>
    <x v="0"/>
    <s v="Premium"/>
  </r>
  <r>
    <x v="125"/>
    <x v="3"/>
    <x v="0"/>
    <x v="25"/>
    <x v="0"/>
    <n v="0"/>
    <x v="0"/>
    <s v="Basic"/>
  </r>
  <r>
    <x v="126"/>
    <x v="0"/>
    <x v="0"/>
    <x v="116"/>
    <x v="0"/>
    <n v="0"/>
    <x v="0"/>
    <s v="Basic"/>
  </r>
  <r>
    <x v="127"/>
    <x v="0"/>
    <x v="2"/>
    <x v="117"/>
    <x v="2"/>
    <n v="0"/>
    <x v="0"/>
    <s v="Premium"/>
  </r>
  <r>
    <x v="128"/>
    <x v="1"/>
    <x v="0"/>
    <x v="118"/>
    <x v="0"/>
    <n v="0"/>
    <x v="0"/>
    <s v="Basic"/>
  </r>
  <r>
    <x v="129"/>
    <x v="2"/>
    <x v="0"/>
    <x v="119"/>
    <x v="0"/>
    <n v="0"/>
    <x v="0"/>
    <s v="Basic"/>
  </r>
  <r>
    <x v="130"/>
    <x v="0"/>
    <x v="0"/>
    <x v="120"/>
    <x v="0"/>
    <n v="0"/>
    <x v="0"/>
    <s v="Basic"/>
  </r>
  <r>
    <x v="131"/>
    <x v="2"/>
    <x v="0"/>
    <x v="121"/>
    <x v="0"/>
    <n v="0"/>
    <x v="0"/>
    <s v="Basic"/>
  </r>
  <r>
    <x v="132"/>
    <x v="2"/>
    <x v="0"/>
    <x v="122"/>
    <x v="0"/>
    <n v="0"/>
    <x v="0"/>
    <s v="Basic"/>
  </r>
  <r>
    <x v="133"/>
    <x v="0"/>
    <x v="1"/>
    <x v="123"/>
    <x v="1"/>
    <n v="0"/>
    <x v="0"/>
    <s v="Elite"/>
  </r>
  <r>
    <x v="134"/>
    <x v="0"/>
    <x v="2"/>
    <x v="124"/>
    <x v="2"/>
    <n v="0"/>
    <x v="0"/>
    <s v="Premium"/>
  </r>
  <r>
    <x v="135"/>
    <x v="3"/>
    <x v="1"/>
    <x v="125"/>
    <x v="1"/>
    <n v="0"/>
    <x v="0"/>
    <s v="Elite"/>
  </r>
  <r>
    <x v="136"/>
    <x v="0"/>
    <x v="1"/>
    <x v="126"/>
    <x v="1"/>
    <n v="0"/>
    <x v="0"/>
    <s v="Elite"/>
  </r>
  <r>
    <x v="137"/>
    <x v="1"/>
    <x v="1"/>
    <x v="127"/>
    <x v="1"/>
    <n v="1"/>
    <x v="1"/>
    <s v="Inactive"/>
  </r>
  <r>
    <x v="138"/>
    <x v="2"/>
    <x v="0"/>
    <x v="128"/>
    <x v="0"/>
    <n v="0"/>
    <x v="0"/>
    <s v="Basic"/>
  </r>
  <r>
    <x v="139"/>
    <x v="2"/>
    <x v="2"/>
    <x v="6"/>
    <x v="2"/>
    <n v="0"/>
    <x v="0"/>
    <s v="Premium"/>
  </r>
  <r>
    <x v="140"/>
    <x v="1"/>
    <x v="0"/>
    <x v="129"/>
    <x v="0"/>
    <n v="0"/>
    <x v="0"/>
    <s v="Basic"/>
  </r>
  <r>
    <x v="141"/>
    <x v="1"/>
    <x v="0"/>
    <x v="130"/>
    <x v="0"/>
    <n v="0"/>
    <x v="0"/>
    <s v="Basic"/>
  </r>
  <r>
    <x v="142"/>
    <x v="3"/>
    <x v="1"/>
    <x v="107"/>
    <x v="1"/>
    <n v="0"/>
    <x v="0"/>
    <s v="Elite"/>
  </r>
  <r>
    <x v="143"/>
    <x v="2"/>
    <x v="2"/>
    <x v="5"/>
    <x v="2"/>
    <n v="0"/>
    <x v="0"/>
    <s v="Premium"/>
  </r>
  <r>
    <x v="144"/>
    <x v="2"/>
    <x v="0"/>
    <x v="131"/>
    <x v="0"/>
    <n v="0"/>
    <x v="0"/>
    <s v="Basic"/>
  </r>
  <r>
    <x v="145"/>
    <x v="0"/>
    <x v="0"/>
    <x v="132"/>
    <x v="0"/>
    <n v="0"/>
    <x v="0"/>
    <s v="Basic"/>
  </r>
  <r>
    <x v="146"/>
    <x v="1"/>
    <x v="2"/>
    <x v="133"/>
    <x v="2"/>
    <n v="0"/>
    <x v="0"/>
    <s v="Premium"/>
  </r>
  <r>
    <x v="147"/>
    <x v="0"/>
    <x v="1"/>
    <x v="134"/>
    <x v="1"/>
    <n v="0"/>
    <x v="0"/>
    <s v="Elite"/>
  </r>
  <r>
    <x v="148"/>
    <x v="1"/>
    <x v="0"/>
    <x v="135"/>
    <x v="0"/>
    <n v="0"/>
    <x v="0"/>
    <s v="Basic"/>
  </r>
  <r>
    <x v="149"/>
    <x v="1"/>
    <x v="0"/>
    <x v="136"/>
    <x v="0"/>
    <n v="0"/>
    <x v="0"/>
    <s v="Basic"/>
  </r>
  <r>
    <x v="150"/>
    <x v="2"/>
    <x v="0"/>
    <x v="137"/>
    <x v="0"/>
    <n v="0"/>
    <x v="0"/>
    <s v="Basic"/>
  </r>
  <r>
    <x v="151"/>
    <x v="1"/>
    <x v="0"/>
    <x v="101"/>
    <x v="0"/>
    <n v="1"/>
    <x v="1"/>
    <s v="Inactive"/>
  </r>
  <r>
    <x v="152"/>
    <x v="2"/>
    <x v="0"/>
    <x v="138"/>
    <x v="0"/>
    <n v="0"/>
    <x v="0"/>
    <s v="Basic"/>
  </r>
  <r>
    <x v="153"/>
    <x v="3"/>
    <x v="1"/>
    <x v="139"/>
    <x v="1"/>
    <n v="0"/>
    <x v="0"/>
    <s v="Elite"/>
  </r>
  <r>
    <x v="154"/>
    <x v="2"/>
    <x v="1"/>
    <x v="140"/>
    <x v="1"/>
    <n v="0"/>
    <x v="0"/>
    <s v="Elite"/>
  </r>
  <r>
    <x v="155"/>
    <x v="2"/>
    <x v="1"/>
    <x v="141"/>
    <x v="1"/>
    <n v="0"/>
    <x v="0"/>
    <s v="Elite"/>
  </r>
  <r>
    <x v="156"/>
    <x v="1"/>
    <x v="0"/>
    <x v="142"/>
    <x v="0"/>
    <n v="0"/>
    <x v="0"/>
    <s v="Basic"/>
  </r>
  <r>
    <x v="157"/>
    <x v="1"/>
    <x v="2"/>
    <x v="143"/>
    <x v="2"/>
    <n v="0"/>
    <x v="0"/>
    <s v="Premium"/>
  </r>
  <r>
    <x v="158"/>
    <x v="1"/>
    <x v="1"/>
    <x v="144"/>
    <x v="1"/>
    <n v="0"/>
    <x v="0"/>
    <s v="Elite"/>
  </r>
  <r>
    <x v="159"/>
    <x v="2"/>
    <x v="1"/>
    <x v="145"/>
    <x v="1"/>
    <n v="0"/>
    <x v="0"/>
    <s v="Elite"/>
  </r>
  <r>
    <x v="160"/>
    <x v="0"/>
    <x v="1"/>
    <x v="146"/>
    <x v="1"/>
    <n v="0"/>
    <x v="0"/>
    <s v="Elite"/>
  </r>
  <r>
    <x v="161"/>
    <x v="3"/>
    <x v="0"/>
    <x v="147"/>
    <x v="0"/>
    <n v="1"/>
    <x v="1"/>
    <s v="Inactive"/>
  </r>
  <r>
    <x v="162"/>
    <x v="2"/>
    <x v="0"/>
    <x v="134"/>
    <x v="0"/>
    <n v="0"/>
    <x v="0"/>
    <s v="Basic"/>
  </r>
  <r>
    <x v="163"/>
    <x v="1"/>
    <x v="1"/>
    <x v="148"/>
    <x v="1"/>
    <n v="0"/>
    <x v="0"/>
    <s v="Elite"/>
  </r>
  <r>
    <x v="164"/>
    <x v="3"/>
    <x v="0"/>
    <x v="149"/>
    <x v="0"/>
    <n v="0"/>
    <x v="0"/>
    <s v="Basic"/>
  </r>
  <r>
    <x v="165"/>
    <x v="1"/>
    <x v="0"/>
    <x v="150"/>
    <x v="0"/>
    <n v="0"/>
    <x v="0"/>
    <s v="Basic"/>
  </r>
  <r>
    <x v="166"/>
    <x v="3"/>
    <x v="2"/>
    <x v="58"/>
    <x v="2"/>
    <n v="0"/>
    <x v="0"/>
    <s v="Premium"/>
  </r>
  <r>
    <x v="167"/>
    <x v="1"/>
    <x v="0"/>
    <x v="151"/>
    <x v="0"/>
    <n v="0"/>
    <x v="0"/>
    <s v="Basic"/>
  </r>
  <r>
    <x v="168"/>
    <x v="1"/>
    <x v="0"/>
    <x v="152"/>
    <x v="0"/>
    <n v="0"/>
    <x v="0"/>
    <s v="Basic"/>
  </r>
  <r>
    <x v="169"/>
    <x v="1"/>
    <x v="0"/>
    <x v="153"/>
    <x v="0"/>
    <n v="0"/>
    <x v="0"/>
    <s v="Basic"/>
  </r>
  <r>
    <x v="170"/>
    <x v="2"/>
    <x v="0"/>
    <x v="154"/>
    <x v="0"/>
    <n v="0"/>
    <x v="0"/>
    <s v="Basic"/>
  </r>
  <r>
    <x v="171"/>
    <x v="3"/>
    <x v="0"/>
    <x v="17"/>
    <x v="0"/>
    <n v="0"/>
    <x v="0"/>
    <s v="Basic"/>
  </r>
  <r>
    <x v="172"/>
    <x v="3"/>
    <x v="0"/>
    <x v="155"/>
    <x v="0"/>
    <n v="0"/>
    <x v="0"/>
    <s v="Basic"/>
  </r>
  <r>
    <x v="173"/>
    <x v="3"/>
    <x v="0"/>
    <x v="156"/>
    <x v="0"/>
    <n v="0"/>
    <x v="0"/>
    <s v="Basic"/>
  </r>
  <r>
    <x v="174"/>
    <x v="3"/>
    <x v="0"/>
    <x v="157"/>
    <x v="0"/>
    <n v="1"/>
    <x v="1"/>
    <s v="Inactive"/>
  </r>
  <r>
    <x v="175"/>
    <x v="1"/>
    <x v="2"/>
    <x v="158"/>
    <x v="2"/>
    <n v="0"/>
    <x v="0"/>
    <s v="Premium"/>
  </r>
  <r>
    <x v="176"/>
    <x v="0"/>
    <x v="2"/>
    <x v="159"/>
    <x v="2"/>
    <n v="0"/>
    <x v="0"/>
    <s v="Premium"/>
  </r>
  <r>
    <x v="177"/>
    <x v="3"/>
    <x v="2"/>
    <x v="55"/>
    <x v="2"/>
    <n v="0"/>
    <x v="0"/>
    <s v="Premium"/>
  </r>
  <r>
    <x v="178"/>
    <x v="2"/>
    <x v="0"/>
    <x v="128"/>
    <x v="0"/>
    <n v="0"/>
    <x v="0"/>
    <s v="Basic"/>
  </r>
  <r>
    <x v="179"/>
    <x v="2"/>
    <x v="1"/>
    <x v="111"/>
    <x v="1"/>
    <n v="0"/>
    <x v="0"/>
    <s v="Elite"/>
  </r>
  <r>
    <x v="180"/>
    <x v="0"/>
    <x v="2"/>
    <x v="78"/>
    <x v="2"/>
    <n v="0"/>
    <x v="0"/>
    <s v="Premium"/>
  </r>
  <r>
    <x v="181"/>
    <x v="0"/>
    <x v="1"/>
    <x v="160"/>
    <x v="1"/>
    <n v="1"/>
    <x v="1"/>
    <s v="Inactive"/>
  </r>
  <r>
    <x v="182"/>
    <x v="1"/>
    <x v="2"/>
    <x v="161"/>
    <x v="2"/>
    <n v="0"/>
    <x v="0"/>
    <s v="Premium"/>
  </r>
  <r>
    <x v="183"/>
    <x v="1"/>
    <x v="2"/>
    <x v="162"/>
    <x v="2"/>
    <n v="0"/>
    <x v="0"/>
    <s v="Premium"/>
  </r>
  <r>
    <x v="184"/>
    <x v="2"/>
    <x v="0"/>
    <x v="163"/>
    <x v="0"/>
    <n v="0"/>
    <x v="0"/>
    <s v="Basic"/>
  </r>
  <r>
    <x v="185"/>
    <x v="2"/>
    <x v="2"/>
    <x v="164"/>
    <x v="2"/>
    <n v="0"/>
    <x v="0"/>
    <s v="Premium"/>
  </r>
  <r>
    <x v="186"/>
    <x v="0"/>
    <x v="0"/>
    <x v="135"/>
    <x v="0"/>
    <n v="0"/>
    <x v="0"/>
    <s v="Basic"/>
  </r>
  <r>
    <x v="187"/>
    <x v="2"/>
    <x v="0"/>
    <x v="165"/>
    <x v="0"/>
    <n v="0"/>
    <x v="0"/>
    <s v="Basic"/>
  </r>
  <r>
    <x v="188"/>
    <x v="1"/>
    <x v="1"/>
    <x v="166"/>
    <x v="1"/>
    <n v="0"/>
    <x v="0"/>
    <s v="Elite"/>
  </r>
  <r>
    <x v="189"/>
    <x v="1"/>
    <x v="1"/>
    <x v="167"/>
    <x v="1"/>
    <n v="0"/>
    <x v="0"/>
    <s v="Elite"/>
  </r>
  <r>
    <x v="190"/>
    <x v="1"/>
    <x v="0"/>
    <x v="168"/>
    <x v="0"/>
    <n v="0"/>
    <x v="0"/>
    <s v="Basic"/>
  </r>
  <r>
    <x v="191"/>
    <x v="2"/>
    <x v="0"/>
    <x v="169"/>
    <x v="0"/>
    <n v="0"/>
    <x v="0"/>
    <s v="Basic"/>
  </r>
  <r>
    <x v="192"/>
    <x v="1"/>
    <x v="0"/>
    <x v="170"/>
    <x v="0"/>
    <n v="0"/>
    <x v="0"/>
    <s v="Basic"/>
  </r>
  <r>
    <x v="193"/>
    <x v="1"/>
    <x v="0"/>
    <x v="171"/>
    <x v="0"/>
    <n v="1"/>
    <x v="1"/>
    <s v="Inactive"/>
  </r>
  <r>
    <x v="194"/>
    <x v="1"/>
    <x v="0"/>
    <x v="172"/>
    <x v="0"/>
    <n v="1"/>
    <x v="1"/>
    <s v="Inactive"/>
  </r>
  <r>
    <x v="195"/>
    <x v="1"/>
    <x v="0"/>
    <x v="173"/>
    <x v="0"/>
    <n v="0"/>
    <x v="0"/>
    <s v="Basic"/>
  </r>
  <r>
    <x v="196"/>
    <x v="3"/>
    <x v="2"/>
    <x v="174"/>
    <x v="2"/>
    <n v="0"/>
    <x v="0"/>
    <s v="Premium"/>
  </r>
  <r>
    <x v="197"/>
    <x v="1"/>
    <x v="0"/>
    <x v="52"/>
    <x v="0"/>
    <n v="0"/>
    <x v="0"/>
    <s v="Basic"/>
  </r>
  <r>
    <x v="198"/>
    <x v="2"/>
    <x v="0"/>
    <x v="142"/>
    <x v="0"/>
    <n v="0"/>
    <x v="0"/>
    <s v="Basic"/>
  </r>
  <r>
    <x v="199"/>
    <x v="2"/>
    <x v="1"/>
    <x v="44"/>
    <x v="1"/>
    <n v="0"/>
    <x v="0"/>
    <s v="Elite"/>
  </r>
  <r>
    <x v="200"/>
    <x v="0"/>
    <x v="0"/>
    <x v="175"/>
    <x v="0"/>
    <n v="0"/>
    <x v="0"/>
    <s v="Basic"/>
  </r>
  <r>
    <x v="201"/>
    <x v="3"/>
    <x v="2"/>
    <x v="68"/>
    <x v="2"/>
    <n v="0"/>
    <x v="0"/>
    <s v="Premium"/>
  </r>
  <r>
    <x v="202"/>
    <x v="0"/>
    <x v="0"/>
    <x v="78"/>
    <x v="0"/>
    <n v="0"/>
    <x v="0"/>
    <s v="Basic"/>
  </r>
  <r>
    <x v="203"/>
    <x v="3"/>
    <x v="0"/>
    <x v="176"/>
    <x v="0"/>
    <n v="1"/>
    <x v="1"/>
    <s v="Inactive"/>
  </r>
  <r>
    <x v="204"/>
    <x v="1"/>
    <x v="2"/>
    <x v="177"/>
    <x v="2"/>
    <n v="0"/>
    <x v="0"/>
    <s v="Premium"/>
  </r>
  <r>
    <x v="205"/>
    <x v="3"/>
    <x v="2"/>
    <x v="178"/>
    <x v="2"/>
    <n v="0"/>
    <x v="0"/>
    <s v="Premium"/>
  </r>
  <r>
    <x v="206"/>
    <x v="0"/>
    <x v="0"/>
    <x v="76"/>
    <x v="0"/>
    <n v="0"/>
    <x v="0"/>
    <s v="Basic"/>
  </r>
  <r>
    <x v="207"/>
    <x v="3"/>
    <x v="0"/>
    <x v="179"/>
    <x v="0"/>
    <n v="0"/>
    <x v="0"/>
    <s v="Basic"/>
  </r>
  <r>
    <x v="208"/>
    <x v="1"/>
    <x v="2"/>
    <x v="180"/>
    <x v="2"/>
    <n v="0"/>
    <x v="0"/>
    <s v="Premium"/>
  </r>
  <r>
    <x v="209"/>
    <x v="1"/>
    <x v="2"/>
    <x v="181"/>
    <x v="2"/>
    <n v="0"/>
    <x v="0"/>
    <s v="Premium"/>
  </r>
  <r>
    <x v="210"/>
    <x v="3"/>
    <x v="2"/>
    <x v="182"/>
    <x v="2"/>
    <n v="0"/>
    <x v="0"/>
    <s v="Premium"/>
  </r>
  <r>
    <x v="211"/>
    <x v="2"/>
    <x v="0"/>
    <x v="166"/>
    <x v="0"/>
    <n v="0"/>
    <x v="0"/>
    <s v="Basic"/>
  </r>
  <r>
    <x v="212"/>
    <x v="1"/>
    <x v="0"/>
    <x v="168"/>
    <x v="0"/>
    <n v="0"/>
    <x v="0"/>
    <s v="Basic"/>
  </r>
  <r>
    <x v="213"/>
    <x v="1"/>
    <x v="0"/>
    <x v="183"/>
    <x v="0"/>
    <n v="0"/>
    <x v="0"/>
    <s v="Basic"/>
  </r>
  <r>
    <x v="214"/>
    <x v="3"/>
    <x v="0"/>
    <x v="184"/>
    <x v="0"/>
    <n v="0"/>
    <x v="0"/>
    <s v="Basic"/>
  </r>
  <r>
    <x v="215"/>
    <x v="0"/>
    <x v="1"/>
    <x v="82"/>
    <x v="1"/>
    <n v="0"/>
    <x v="0"/>
    <s v="Elite"/>
  </r>
  <r>
    <x v="216"/>
    <x v="3"/>
    <x v="0"/>
    <x v="110"/>
    <x v="0"/>
    <n v="0"/>
    <x v="0"/>
    <s v="Basic"/>
  </r>
  <r>
    <x v="217"/>
    <x v="3"/>
    <x v="0"/>
    <x v="185"/>
    <x v="0"/>
    <n v="0"/>
    <x v="0"/>
    <s v="Basic"/>
  </r>
  <r>
    <x v="218"/>
    <x v="3"/>
    <x v="2"/>
    <x v="186"/>
    <x v="2"/>
    <n v="0"/>
    <x v="0"/>
    <s v="Premium"/>
  </r>
  <r>
    <x v="219"/>
    <x v="0"/>
    <x v="0"/>
    <x v="187"/>
    <x v="0"/>
    <n v="1"/>
    <x v="1"/>
    <s v="Inactive"/>
  </r>
  <r>
    <x v="220"/>
    <x v="3"/>
    <x v="0"/>
    <x v="112"/>
    <x v="0"/>
    <n v="0"/>
    <x v="0"/>
    <s v="Basic"/>
  </r>
  <r>
    <x v="221"/>
    <x v="1"/>
    <x v="0"/>
    <x v="188"/>
    <x v="0"/>
    <n v="1"/>
    <x v="1"/>
    <s v="Inactive"/>
  </r>
  <r>
    <x v="222"/>
    <x v="3"/>
    <x v="1"/>
    <x v="189"/>
    <x v="1"/>
    <n v="0"/>
    <x v="0"/>
    <s v="Elite"/>
  </r>
  <r>
    <x v="223"/>
    <x v="0"/>
    <x v="1"/>
    <x v="190"/>
    <x v="1"/>
    <n v="0"/>
    <x v="0"/>
    <s v="Elite"/>
  </r>
  <r>
    <x v="224"/>
    <x v="1"/>
    <x v="1"/>
    <x v="191"/>
    <x v="1"/>
    <n v="0"/>
    <x v="0"/>
    <s v="Elite"/>
  </r>
  <r>
    <x v="225"/>
    <x v="0"/>
    <x v="0"/>
    <x v="192"/>
    <x v="0"/>
    <n v="0"/>
    <x v="0"/>
    <s v="Basic"/>
  </r>
  <r>
    <x v="226"/>
    <x v="1"/>
    <x v="0"/>
    <x v="183"/>
    <x v="0"/>
    <n v="0"/>
    <x v="0"/>
    <s v="Basic"/>
  </r>
  <r>
    <x v="227"/>
    <x v="1"/>
    <x v="2"/>
    <x v="193"/>
    <x v="2"/>
    <n v="1"/>
    <x v="1"/>
    <s v="Inactive"/>
  </r>
  <r>
    <x v="228"/>
    <x v="1"/>
    <x v="0"/>
    <x v="112"/>
    <x v="0"/>
    <n v="0"/>
    <x v="0"/>
    <s v="Basic"/>
  </r>
  <r>
    <x v="229"/>
    <x v="1"/>
    <x v="1"/>
    <x v="27"/>
    <x v="1"/>
    <n v="1"/>
    <x v="1"/>
    <s v="Inactive"/>
  </r>
  <r>
    <x v="230"/>
    <x v="3"/>
    <x v="0"/>
    <x v="192"/>
    <x v="0"/>
    <n v="1"/>
    <x v="1"/>
    <s v="Inactive"/>
  </r>
  <r>
    <x v="231"/>
    <x v="1"/>
    <x v="1"/>
    <x v="194"/>
    <x v="1"/>
    <n v="1"/>
    <x v="1"/>
    <s v="Inactive"/>
  </r>
  <r>
    <x v="232"/>
    <x v="1"/>
    <x v="0"/>
    <x v="195"/>
    <x v="0"/>
    <n v="0"/>
    <x v="0"/>
    <s v="Basic"/>
  </r>
  <r>
    <x v="233"/>
    <x v="1"/>
    <x v="1"/>
    <x v="106"/>
    <x v="1"/>
    <n v="0"/>
    <x v="0"/>
    <s v="Elite"/>
  </r>
  <r>
    <x v="234"/>
    <x v="0"/>
    <x v="0"/>
    <x v="196"/>
    <x v="0"/>
    <n v="1"/>
    <x v="1"/>
    <s v="Inactive"/>
  </r>
  <r>
    <x v="235"/>
    <x v="0"/>
    <x v="1"/>
    <x v="154"/>
    <x v="1"/>
    <n v="0"/>
    <x v="0"/>
    <s v="Elite"/>
  </r>
  <r>
    <x v="236"/>
    <x v="1"/>
    <x v="2"/>
    <x v="197"/>
    <x v="2"/>
    <n v="0"/>
    <x v="0"/>
    <s v="Premium"/>
  </r>
  <r>
    <x v="237"/>
    <x v="0"/>
    <x v="2"/>
    <x v="88"/>
    <x v="2"/>
    <n v="0"/>
    <x v="0"/>
    <s v="Premium"/>
  </r>
  <r>
    <x v="238"/>
    <x v="3"/>
    <x v="0"/>
    <x v="198"/>
    <x v="0"/>
    <n v="1"/>
    <x v="1"/>
    <s v="Inactive"/>
  </r>
  <r>
    <x v="239"/>
    <x v="3"/>
    <x v="0"/>
    <x v="199"/>
    <x v="0"/>
    <n v="0"/>
    <x v="0"/>
    <s v="Basic"/>
  </r>
  <r>
    <x v="240"/>
    <x v="1"/>
    <x v="2"/>
    <x v="200"/>
    <x v="2"/>
    <n v="0"/>
    <x v="0"/>
    <s v="Premium"/>
  </r>
  <r>
    <x v="241"/>
    <x v="3"/>
    <x v="0"/>
    <x v="201"/>
    <x v="0"/>
    <n v="1"/>
    <x v="1"/>
    <s v="Inactive"/>
  </r>
  <r>
    <x v="242"/>
    <x v="1"/>
    <x v="2"/>
    <x v="202"/>
    <x v="2"/>
    <n v="0"/>
    <x v="0"/>
    <s v="Premium"/>
  </r>
  <r>
    <x v="243"/>
    <x v="1"/>
    <x v="2"/>
    <x v="9"/>
    <x v="2"/>
    <n v="0"/>
    <x v="0"/>
    <s v="Premium"/>
  </r>
  <r>
    <x v="244"/>
    <x v="3"/>
    <x v="0"/>
    <x v="203"/>
    <x v="0"/>
    <n v="0"/>
    <x v="0"/>
    <s v="Basic"/>
  </r>
  <r>
    <x v="245"/>
    <x v="3"/>
    <x v="2"/>
    <x v="204"/>
    <x v="2"/>
    <n v="0"/>
    <x v="0"/>
    <s v="Premium"/>
  </r>
  <r>
    <x v="246"/>
    <x v="1"/>
    <x v="2"/>
    <x v="205"/>
    <x v="2"/>
    <n v="0"/>
    <x v="0"/>
    <s v="Premium"/>
  </r>
  <r>
    <x v="247"/>
    <x v="1"/>
    <x v="0"/>
    <x v="143"/>
    <x v="0"/>
    <n v="0"/>
    <x v="0"/>
    <s v="Basic"/>
  </r>
  <r>
    <x v="248"/>
    <x v="3"/>
    <x v="2"/>
    <x v="206"/>
    <x v="2"/>
    <n v="0"/>
    <x v="0"/>
    <s v="Premium"/>
  </r>
  <r>
    <x v="249"/>
    <x v="0"/>
    <x v="2"/>
    <x v="207"/>
    <x v="2"/>
    <n v="0"/>
    <x v="0"/>
    <s v="Premium"/>
  </r>
  <r>
    <x v="250"/>
    <x v="1"/>
    <x v="0"/>
    <x v="208"/>
    <x v="0"/>
    <n v="0"/>
    <x v="0"/>
    <s v="Basic"/>
  </r>
  <r>
    <x v="251"/>
    <x v="1"/>
    <x v="0"/>
    <x v="209"/>
    <x v="0"/>
    <n v="0"/>
    <x v="0"/>
    <s v="Basic"/>
  </r>
  <r>
    <x v="252"/>
    <x v="1"/>
    <x v="0"/>
    <x v="210"/>
    <x v="0"/>
    <n v="0"/>
    <x v="0"/>
    <s v="Basic"/>
  </r>
  <r>
    <x v="253"/>
    <x v="3"/>
    <x v="2"/>
    <x v="166"/>
    <x v="2"/>
    <n v="0"/>
    <x v="0"/>
    <s v="Premium"/>
  </r>
  <r>
    <x v="254"/>
    <x v="1"/>
    <x v="2"/>
    <x v="211"/>
    <x v="2"/>
    <n v="0"/>
    <x v="0"/>
    <s v="Premium"/>
  </r>
  <r>
    <x v="255"/>
    <x v="2"/>
    <x v="2"/>
    <x v="212"/>
    <x v="2"/>
    <n v="0"/>
    <x v="0"/>
    <s v="Premium"/>
  </r>
  <r>
    <x v="256"/>
    <x v="1"/>
    <x v="2"/>
    <x v="213"/>
    <x v="2"/>
    <n v="0"/>
    <x v="0"/>
    <s v="Premium"/>
  </r>
  <r>
    <x v="257"/>
    <x v="3"/>
    <x v="0"/>
    <x v="214"/>
    <x v="0"/>
    <n v="1"/>
    <x v="1"/>
    <s v="Inactive"/>
  </r>
  <r>
    <x v="258"/>
    <x v="3"/>
    <x v="0"/>
    <x v="215"/>
    <x v="0"/>
    <n v="0"/>
    <x v="0"/>
    <s v="Basic"/>
  </r>
  <r>
    <x v="259"/>
    <x v="2"/>
    <x v="0"/>
    <x v="144"/>
    <x v="0"/>
    <n v="1"/>
    <x v="1"/>
    <s v="Inactive"/>
  </r>
  <r>
    <x v="260"/>
    <x v="2"/>
    <x v="1"/>
    <x v="216"/>
    <x v="1"/>
    <n v="0"/>
    <x v="0"/>
    <s v="Elite"/>
  </r>
  <r>
    <x v="261"/>
    <x v="1"/>
    <x v="2"/>
    <x v="217"/>
    <x v="2"/>
    <n v="0"/>
    <x v="0"/>
    <s v="Premium"/>
  </r>
  <r>
    <x v="262"/>
    <x v="1"/>
    <x v="0"/>
    <x v="218"/>
    <x v="0"/>
    <n v="0"/>
    <x v="0"/>
    <s v="Basic"/>
  </r>
  <r>
    <x v="263"/>
    <x v="0"/>
    <x v="0"/>
    <x v="108"/>
    <x v="0"/>
    <n v="0"/>
    <x v="0"/>
    <s v="Basic"/>
  </r>
  <r>
    <x v="264"/>
    <x v="3"/>
    <x v="0"/>
    <x v="161"/>
    <x v="0"/>
    <n v="0"/>
    <x v="0"/>
    <s v="Basic"/>
  </r>
  <r>
    <x v="265"/>
    <x v="1"/>
    <x v="0"/>
    <x v="219"/>
    <x v="0"/>
    <n v="0"/>
    <x v="0"/>
    <s v="Basic"/>
  </r>
  <r>
    <x v="266"/>
    <x v="0"/>
    <x v="1"/>
    <x v="220"/>
    <x v="1"/>
    <n v="0"/>
    <x v="0"/>
    <s v="Elite"/>
  </r>
  <r>
    <x v="267"/>
    <x v="1"/>
    <x v="1"/>
    <x v="221"/>
    <x v="1"/>
    <n v="1"/>
    <x v="1"/>
    <s v="Inactive"/>
  </r>
  <r>
    <x v="268"/>
    <x v="0"/>
    <x v="1"/>
    <x v="169"/>
    <x v="1"/>
    <n v="0"/>
    <x v="0"/>
    <s v="Elite"/>
  </r>
  <r>
    <x v="269"/>
    <x v="0"/>
    <x v="1"/>
    <x v="222"/>
    <x v="1"/>
    <n v="0"/>
    <x v="0"/>
    <s v="Elite"/>
  </r>
  <r>
    <x v="270"/>
    <x v="1"/>
    <x v="0"/>
    <x v="223"/>
    <x v="0"/>
    <n v="1"/>
    <x v="1"/>
    <s v="Inactive"/>
  </r>
  <r>
    <x v="271"/>
    <x v="2"/>
    <x v="1"/>
    <x v="224"/>
    <x v="1"/>
    <n v="0"/>
    <x v="0"/>
    <s v="Elite"/>
  </r>
  <r>
    <x v="272"/>
    <x v="3"/>
    <x v="0"/>
    <x v="113"/>
    <x v="0"/>
    <n v="0"/>
    <x v="0"/>
    <s v="Basic"/>
  </r>
  <r>
    <x v="273"/>
    <x v="1"/>
    <x v="0"/>
    <x v="143"/>
    <x v="0"/>
    <n v="0"/>
    <x v="0"/>
    <s v="Basic"/>
  </r>
  <r>
    <x v="274"/>
    <x v="0"/>
    <x v="0"/>
    <x v="225"/>
    <x v="0"/>
    <n v="0"/>
    <x v="0"/>
    <s v="Basic"/>
  </r>
  <r>
    <x v="275"/>
    <x v="1"/>
    <x v="2"/>
    <x v="226"/>
    <x v="2"/>
    <n v="0"/>
    <x v="0"/>
    <s v="Premium"/>
  </r>
  <r>
    <x v="276"/>
    <x v="1"/>
    <x v="0"/>
    <x v="21"/>
    <x v="0"/>
    <n v="0"/>
    <x v="0"/>
    <s v="Basic"/>
  </r>
  <r>
    <x v="277"/>
    <x v="3"/>
    <x v="2"/>
    <x v="227"/>
    <x v="2"/>
    <n v="0"/>
    <x v="0"/>
    <s v="Premium"/>
  </r>
  <r>
    <x v="278"/>
    <x v="3"/>
    <x v="0"/>
    <x v="228"/>
    <x v="0"/>
    <n v="0"/>
    <x v="0"/>
    <s v="Basic"/>
  </r>
  <r>
    <x v="279"/>
    <x v="3"/>
    <x v="2"/>
    <x v="229"/>
    <x v="2"/>
    <n v="0"/>
    <x v="0"/>
    <s v="Premium"/>
  </r>
  <r>
    <x v="280"/>
    <x v="3"/>
    <x v="2"/>
    <x v="230"/>
    <x v="2"/>
    <n v="0"/>
    <x v="0"/>
    <s v="Premium"/>
  </r>
  <r>
    <x v="281"/>
    <x v="1"/>
    <x v="0"/>
    <x v="38"/>
    <x v="0"/>
    <n v="0"/>
    <x v="0"/>
    <s v="Basic"/>
  </r>
  <r>
    <x v="282"/>
    <x v="1"/>
    <x v="0"/>
    <x v="231"/>
    <x v="0"/>
    <n v="0"/>
    <x v="0"/>
    <s v="Basic"/>
  </r>
  <r>
    <x v="283"/>
    <x v="0"/>
    <x v="0"/>
    <x v="232"/>
    <x v="0"/>
    <n v="0"/>
    <x v="0"/>
    <s v="Basic"/>
  </r>
  <r>
    <x v="284"/>
    <x v="1"/>
    <x v="2"/>
    <x v="233"/>
    <x v="2"/>
    <n v="0"/>
    <x v="0"/>
    <s v="Premium"/>
  </r>
  <r>
    <x v="285"/>
    <x v="1"/>
    <x v="2"/>
    <x v="120"/>
    <x v="2"/>
    <n v="1"/>
    <x v="1"/>
    <s v="Inactive"/>
  </r>
  <r>
    <x v="286"/>
    <x v="3"/>
    <x v="0"/>
    <x v="234"/>
    <x v="0"/>
    <n v="0"/>
    <x v="0"/>
    <s v="Basic"/>
  </r>
  <r>
    <x v="287"/>
    <x v="1"/>
    <x v="0"/>
    <x v="235"/>
    <x v="0"/>
    <n v="1"/>
    <x v="1"/>
    <s v="Inactive"/>
  </r>
  <r>
    <x v="288"/>
    <x v="1"/>
    <x v="2"/>
    <x v="150"/>
    <x v="2"/>
    <n v="0"/>
    <x v="0"/>
    <s v="Premium"/>
  </r>
  <r>
    <x v="289"/>
    <x v="1"/>
    <x v="0"/>
    <x v="236"/>
    <x v="0"/>
    <n v="1"/>
    <x v="1"/>
    <s v="Inactive"/>
  </r>
  <r>
    <x v="290"/>
    <x v="0"/>
    <x v="0"/>
    <x v="237"/>
    <x v="0"/>
    <n v="0"/>
    <x v="0"/>
    <s v="Basic"/>
  </r>
  <r>
    <x v="291"/>
    <x v="2"/>
    <x v="2"/>
    <x v="238"/>
    <x v="2"/>
    <n v="1"/>
    <x v="1"/>
    <s v="Inactive"/>
  </r>
  <r>
    <x v="292"/>
    <x v="1"/>
    <x v="0"/>
    <x v="239"/>
    <x v="0"/>
    <n v="0"/>
    <x v="0"/>
    <s v="Basic"/>
  </r>
  <r>
    <x v="293"/>
    <x v="3"/>
    <x v="0"/>
    <x v="12"/>
    <x v="0"/>
    <n v="0"/>
    <x v="0"/>
    <s v="Basic"/>
  </r>
  <r>
    <x v="294"/>
    <x v="1"/>
    <x v="2"/>
    <x v="142"/>
    <x v="2"/>
    <n v="0"/>
    <x v="0"/>
    <s v="Premium"/>
  </r>
  <r>
    <x v="295"/>
    <x v="1"/>
    <x v="0"/>
    <x v="240"/>
    <x v="0"/>
    <n v="1"/>
    <x v="1"/>
    <s v="Inactive"/>
  </r>
  <r>
    <x v="296"/>
    <x v="2"/>
    <x v="2"/>
    <x v="241"/>
    <x v="2"/>
    <n v="0"/>
    <x v="0"/>
    <s v="Premium"/>
  </r>
  <r>
    <x v="297"/>
    <x v="2"/>
    <x v="0"/>
    <x v="211"/>
    <x v="0"/>
    <n v="0"/>
    <x v="0"/>
    <s v="Basic"/>
  </r>
  <r>
    <x v="298"/>
    <x v="1"/>
    <x v="0"/>
    <x v="227"/>
    <x v="0"/>
    <n v="0"/>
    <x v="0"/>
    <s v="Basic"/>
  </r>
  <r>
    <x v="299"/>
    <x v="1"/>
    <x v="0"/>
    <x v="242"/>
    <x v="0"/>
    <n v="0"/>
    <x v="0"/>
    <s v="Basic"/>
  </r>
  <r>
    <x v="300"/>
    <x v="3"/>
    <x v="1"/>
    <x v="209"/>
    <x v="1"/>
    <n v="0"/>
    <x v="0"/>
    <s v="Elite"/>
  </r>
  <r>
    <x v="301"/>
    <x v="3"/>
    <x v="1"/>
    <x v="243"/>
    <x v="1"/>
    <n v="0"/>
    <x v="0"/>
    <s v="Elite"/>
  </r>
  <r>
    <x v="302"/>
    <x v="1"/>
    <x v="0"/>
    <x v="244"/>
    <x v="0"/>
    <n v="0"/>
    <x v="0"/>
    <s v="Basic"/>
  </r>
  <r>
    <x v="303"/>
    <x v="1"/>
    <x v="1"/>
    <x v="245"/>
    <x v="1"/>
    <n v="0"/>
    <x v="0"/>
    <s v="Elite"/>
  </r>
  <r>
    <x v="304"/>
    <x v="0"/>
    <x v="0"/>
    <x v="246"/>
    <x v="0"/>
    <n v="0"/>
    <x v="0"/>
    <s v="Basic"/>
  </r>
  <r>
    <x v="305"/>
    <x v="0"/>
    <x v="0"/>
    <x v="229"/>
    <x v="0"/>
    <n v="0"/>
    <x v="0"/>
    <s v="Basic"/>
  </r>
  <r>
    <x v="306"/>
    <x v="3"/>
    <x v="0"/>
    <x v="233"/>
    <x v="0"/>
    <n v="0"/>
    <x v="0"/>
    <s v="Basic"/>
  </r>
  <r>
    <x v="307"/>
    <x v="1"/>
    <x v="0"/>
    <x v="247"/>
    <x v="0"/>
    <n v="1"/>
    <x v="1"/>
    <s v="Inactive"/>
  </r>
  <r>
    <x v="308"/>
    <x v="1"/>
    <x v="0"/>
    <x v="117"/>
    <x v="0"/>
    <n v="0"/>
    <x v="0"/>
    <s v="Basic"/>
  </r>
  <r>
    <x v="309"/>
    <x v="1"/>
    <x v="0"/>
    <x v="248"/>
    <x v="0"/>
    <n v="0"/>
    <x v="0"/>
    <s v="Basic"/>
  </r>
  <r>
    <x v="310"/>
    <x v="1"/>
    <x v="1"/>
    <x v="249"/>
    <x v="1"/>
    <n v="0"/>
    <x v="0"/>
    <s v="Elite"/>
  </r>
  <r>
    <x v="311"/>
    <x v="0"/>
    <x v="2"/>
    <x v="190"/>
    <x v="2"/>
    <n v="0"/>
    <x v="0"/>
    <s v="Premium"/>
  </r>
  <r>
    <x v="312"/>
    <x v="3"/>
    <x v="0"/>
    <x v="250"/>
    <x v="0"/>
    <n v="0"/>
    <x v="0"/>
    <s v="Basic"/>
  </r>
  <r>
    <x v="313"/>
    <x v="1"/>
    <x v="1"/>
    <x v="227"/>
    <x v="1"/>
    <n v="0"/>
    <x v="0"/>
    <s v="Elite"/>
  </r>
  <r>
    <x v="314"/>
    <x v="1"/>
    <x v="0"/>
    <x v="134"/>
    <x v="0"/>
    <n v="0"/>
    <x v="0"/>
    <s v="Basic"/>
  </r>
  <r>
    <x v="315"/>
    <x v="0"/>
    <x v="0"/>
    <x v="194"/>
    <x v="0"/>
    <n v="0"/>
    <x v="0"/>
    <s v="Basic"/>
  </r>
  <r>
    <x v="316"/>
    <x v="1"/>
    <x v="1"/>
    <x v="251"/>
    <x v="1"/>
    <n v="0"/>
    <x v="0"/>
    <s v="Elite"/>
  </r>
  <r>
    <x v="317"/>
    <x v="2"/>
    <x v="1"/>
    <x v="224"/>
    <x v="1"/>
    <n v="1"/>
    <x v="1"/>
    <s v="Inactive"/>
  </r>
  <r>
    <x v="318"/>
    <x v="0"/>
    <x v="0"/>
    <x v="252"/>
    <x v="0"/>
    <n v="0"/>
    <x v="0"/>
    <s v="Basic"/>
  </r>
  <r>
    <x v="319"/>
    <x v="0"/>
    <x v="1"/>
    <x v="253"/>
    <x v="1"/>
    <n v="0"/>
    <x v="0"/>
    <s v="Elite"/>
  </r>
  <r>
    <x v="320"/>
    <x v="3"/>
    <x v="0"/>
    <x v="254"/>
    <x v="0"/>
    <n v="0"/>
    <x v="0"/>
    <s v="Basic"/>
  </r>
  <r>
    <x v="321"/>
    <x v="3"/>
    <x v="2"/>
    <x v="255"/>
    <x v="2"/>
    <n v="0"/>
    <x v="0"/>
    <s v="Premium"/>
  </r>
  <r>
    <x v="322"/>
    <x v="1"/>
    <x v="0"/>
    <x v="256"/>
    <x v="0"/>
    <n v="0"/>
    <x v="0"/>
    <s v="Basic"/>
  </r>
  <r>
    <x v="323"/>
    <x v="1"/>
    <x v="2"/>
    <x v="257"/>
    <x v="2"/>
    <n v="0"/>
    <x v="0"/>
    <s v="Premium"/>
  </r>
  <r>
    <x v="324"/>
    <x v="3"/>
    <x v="2"/>
    <x v="258"/>
    <x v="2"/>
    <n v="0"/>
    <x v="0"/>
    <s v="Premium"/>
  </r>
  <r>
    <x v="325"/>
    <x v="0"/>
    <x v="1"/>
    <x v="190"/>
    <x v="1"/>
    <n v="0"/>
    <x v="0"/>
    <s v="Elite"/>
  </r>
  <r>
    <x v="326"/>
    <x v="3"/>
    <x v="0"/>
    <x v="259"/>
    <x v="0"/>
    <n v="1"/>
    <x v="1"/>
    <s v="Inactive"/>
  </r>
  <r>
    <x v="327"/>
    <x v="0"/>
    <x v="0"/>
    <x v="260"/>
    <x v="0"/>
    <n v="0"/>
    <x v="0"/>
    <s v="Basic"/>
  </r>
  <r>
    <x v="328"/>
    <x v="2"/>
    <x v="0"/>
    <x v="124"/>
    <x v="0"/>
    <n v="0"/>
    <x v="0"/>
    <s v="Basic"/>
  </r>
  <r>
    <x v="329"/>
    <x v="2"/>
    <x v="0"/>
    <x v="261"/>
    <x v="0"/>
    <n v="0"/>
    <x v="0"/>
    <s v="Basic"/>
  </r>
  <r>
    <x v="330"/>
    <x v="0"/>
    <x v="1"/>
    <x v="262"/>
    <x v="1"/>
    <n v="1"/>
    <x v="1"/>
    <s v="Inactive"/>
  </r>
  <r>
    <x v="331"/>
    <x v="1"/>
    <x v="0"/>
    <x v="87"/>
    <x v="0"/>
    <n v="0"/>
    <x v="0"/>
    <s v="Basic"/>
  </r>
  <r>
    <x v="332"/>
    <x v="1"/>
    <x v="0"/>
    <x v="263"/>
    <x v="0"/>
    <n v="1"/>
    <x v="1"/>
    <s v="Inactive"/>
  </r>
  <r>
    <x v="333"/>
    <x v="3"/>
    <x v="0"/>
    <x v="243"/>
    <x v="0"/>
    <n v="0"/>
    <x v="0"/>
    <s v="Basic"/>
  </r>
  <r>
    <x v="334"/>
    <x v="2"/>
    <x v="2"/>
    <x v="264"/>
    <x v="2"/>
    <n v="0"/>
    <x v="0"/>
    <s v="Premium"/>
  </r>
  <r>
    <x v="335"/>
    <x v="3"/>
    <x v="2"/>
    <x v="265"/>
    <x v="2"/>
    <n v="0"/>
    <x v="0"/>
    <s v="Premium"/>
  </r>
  <r>
    <x v="336"/>
    <x v="3"/>
    <x v="2"/>
    <x v="220"/>
    <x v="2"/>
    <n v="0"/>
    <x v="0"/>
    <s v="Premium"/>
  </r>
  <r>
    <x v="337"/>
    <x v="1"/>
    <x v="1"/>
    <x v="266"/>
    <x v="1"/>
    <n v="0"/>
    <x v="0"/>
    <s v="Elite"/>
  </r>
  <r>
    <x v="338"/>
    <x v="0"/>
    <x v="2"/>
    <x v="148"/>
    <x v="2"/>
    <n v="0"/>
    <x v="0"/>
    <s v="Premium"/>
  </r>
  <r>
    <x v="339"/>
    <x v="1"/>
    <x v="2"/>
    <x v="267"/>
    <x v="2"/>
    <n v="1"/>
    <x v="1"/>
    <s v="Inactive"/>
  </r>
  <r>
    <x v="340"/>
    <x v="3"/>
    <x v="2"/>
    <x v="117"/>
    <x v="2"/>
    <n v="0"/>
    <x v="0"/>
    <s v="Premium"/>
  </r>
  <r>
    <x v="341"/>
    <x v="1"/>
    <x v="0"/>
    <x v="268"/>
    <x v="0"/>
    <n v="1"/>
    <x v="1"/>
    <s v="Inactive"/>
  </r>
  <r>
    <x v="342"/>
    <x v="2"/>
    <x v="2"/>
    <x v="269"/>
    <x v="2"/>
    <n v="0"/>
    <x v="0"/>
    <s v="Premium"/>
  </r>
  <r>
    <x v="343"/>
    <x v="3"/>
    <x v="1"/>
    <x v="62"/>
    <x v="1"/>
    <n v="0"/>
    <x v="0"/>
    <s v="Elite"/>
  </r>
  <r>
    <x v="344"/>
    <x v="1"/>
    <x v="0"/>
    <x v="270"/>
    <x v="0"/>
    <n v="0"/>
    <x v="0"/>
    <s v="Basic"/>
  </r>
  <r>
    <x v="345"/>
    <x v="1"/>
    <x v="1"/>
    <x v="271"/>
    <x v="1"/>
    <n v="0"/>
    <x v="0"/>
    <s v="Elite"/>
  </r>
  <r>
    <x v="346"/>
    <x v="0"/>
    <x v="0"/>
    <x v="272"/>
    <x v="0"/>
    <n v="0"/>
    <x v="0"/>
    <s v="Basic"/>
  </r>
  <r>
    <x v="347"/>
    <x v="3"/>
    <x v="0"/>
    <x v="108"/>
    <x v="0"/>
    <n v="0"/>
    <x v="0"/>
    <s v="Basic"/>
  </r>
  <r>
    <x v="348"/>
    <x v="0"/>
    <x v="0"/>
    <x v="273"/>
    <x v="0"/>
    <n v="0"/>
    <x v="0"/>
    <s v="Basic"/>
  </r>
  <r>
    <x v="349"/>
    <x v="0"/>
    <x v="1"/>
    <x v="274"/>
    <x v="1"/>
    <n v="0"/>
    <x v="0"/>
    <s v="Elite"/>
  </r>
  <r>
    <x v="350"/>
    <x v="3"/>
    <x v="2"/>
    <x v="275"/>
    <x v="2"/>
    <n v="0"/>
    <x v="0"/>
    <s v="Premium"/>
  </r>
  <r>
    <x v="351"/>
    <x v="3"/>
    <x v="2"/>
    <x v="39"/>
    <x v="2"/>
    <n v="0"/>
    <x v="0"/>
    <s v="Premium"/>
  </r>
  <r>
    <x v="352"/>
    <x v="1"/>
    <x v="0"/>
    <x v="276"/>
    <x v="0"/>
    <n v="1"/>
    <x v="1"/>
    <s v="Inactive"/>
  </r>
  <r>
    <x v="353"/>
    <x v="1"/>
    <x v="2"/>
    <x v="277"/>
    <x v="2"/>
    <n v="0"/>
    <x v="0"/>
    <s v="Premium"/>
  </r>
  <r>
    <x v="354"/>
    <x v="2"/>
    <x v="0"/>
    <x v="65"/>
    <x v="0"/>
    <n v="1"/>
    <x v="1"/>
    <s v="Inactive"/>
  </r>
  <r>
    <x v="355"/>
    <x v="3"/>
    <x v="0"/>
    <x v="278"/>
    <x v="0"/>
    <n v="0"/>
    <x v="0"/>
    <s v="Basic"/>
  </r>
  <r>
    <x v="356"/>
    <x v="2"/>
    <x v="0"/>
    <x v="279"/>
    <x v="0"/>
    <n v="0"/>
    <x v="0"/>
    <s v="Basic"/>
  </r>
  <r>
    <x v="357"/>
    <x v="0"/>
    <x v="1"/>
    <x v="236"/>
    <x v="1"/>
    <n v="0"/>
    <x v="0"/>
    <s v="Elite"/>
  </r>
  <r>
    <x v="358"/>
    <x v="3"/>
    <x v="0"/>
    <x v="280"/>
    <x v="0"/>
    <n v="0"/>
    <x v="0"/>
    <s v="Basic"/>
  </r>
  <r>
    <x v="359"/>
    <x v="3"/>
    <x v="2"/>
    <x v="281"/>
    <x v="2"/>
    <n v="0"/>
    <x v="0"/>
    <s v="Premium"/>
  </r>
  <r>
    <x v="360"/>
    <x v="3"/>
    <x v="0"/>
    <x v="282"/>
    <x v="0"/>
    <n v="0"/>
    <x v="0"/>
    <s v="Basic"/>
  </r>
  <r>
    <x v="361"/>
    <x v="2"/>
    <x v="2"/>
    <x v="283"/>
    <x v="2"/>
    <n v="0"/>
    <x v="0"/>
    <s v="Premium"/>
  </r>
  <r>
    <x v="362"/>
    <x v="1"/>
    <x v="0"/>
    <x v="284"/>
    <x v="0"/>
    <n v="0"/>
    <x v="0"/>
    <s v="Basic"/>
  </r>
  <r>
    <x v="363"/>
    <x v="0"/>
    <x v="1"/>
    <x v="163"/>
    <x v="1"/>
    <n v="0"/>
    <x v="0"/>
    <s v="Elite"/>
  </r>
  <r>
    <x v="364"/>
    <x v="2"/>
    <x v="2"/>
    <x v="61"/>
    <x v="2"/>
    <n v="0"/>
    <x v="0"/>
    <s v="Premium"/>
  </r>
  <r>
    <x v="365"/>
    <x v="3"/>
    <x v="2"/>
    <x v="149"/>
    <x v="2"/>
    <n v="0"/>
    <x v="0"/>
    <s v="Premium"/>
  </r>
  <r>
    <x v="366"/>
    <x v="2"/>
    <x v="2"/>
    <x v="29"/>
    <x v="2"/>
    <n v="0"/>
    <x v="0"/>
    <s v="Premium"/>
  </r>
  <r>
    <x v="367"/>
    <x v="0"/>
    <x v="0"/>
    <x v="285"/>
    <x v="0"/>
    <n v="0"/>
    <x v="0"/>
    <s v="Basic"/>
  </r>
  <r>
    <x v="368"/>
    <x v="3"/>
    <x v="1"/>
    <x v="286"/>
    <x v="1"/>
    <n v="0"/>
    <x v="0"/>
    <s v="Elite"/>
  </r>
  <r>
    <x v="369"/>
    <x v="1"/>
    <x v="1"/>
    <x v="287"/>
    <x v="1"/>
    <n v="0"/>
    <x v="0"/>
    <s v="Elite"/>
  </r>
  <r>
    <x v="370"/>
    <x v="1"/>
    <x v="2"/>
    <x v="273"/>
    <x v="2"/>
    <n v="0"/>
    <x v="0"/>
    <s v="Premium"/>
  </r>
  <r>
    <x v="371"/>
    <x v="1"/>
    <x v="2"/>
    <x v="288"/>
    <x v="2"/>
    <n v="0"/>
    <x v="0"/>
    <s v="Premium"/>
  </r>
  <r>
    <x v="372"/>
    <x v="2"/>
    <x v="2"/>
    <x v="289"/>
    <x v="2"/>
    <n v="0"/>
    <x v="0"/>
    <s v="Premium"/>
  </r>
  <r>
    <x v="373"/>
    <x v="1"/>
    <x v="0"/>
    <x v="277"/>
    <x v="0"/>
    <n v="0"/>
    <x v="0"/>
    <s v="Basic"/>
  </r>
  <r>
    <x v="374"/>
    <x v="2"/>
    <x v="1"/>
    <x v="290"/>
    <x v="1"/>
    <n v="0"/>
    <x v="0"/>
    <s v="Elite"/>
  </r>
  <r>
    <x v="375"/>
    <x v="0"/>
    <x v="0"/>
    <x v="289"/>
    <x v="0"/>
    <n v="0"/>
    <x v="0"/>
    <s v="Basic"/>
  </r>
  <r>
    <x v="376"/>
    <x v="1"/>
    <x v="1"/>
    <x v="291"/>
    <x v="1"/>
    <n v="1"/>
    <x v="1"/>
    <s v="Inactive"/>
  </r>
  <r>
    <x v="377"/>
    <x v="1"/>
    <x v="2"/>
    <x v="201"/>
    <x v="2"/>
    <n v="0"/>
    <x v="0"/>
    <s v="Premium"/>
  </r>
  <r>
    <x v="378"/>
    <x v="1"/>
    <x v="0"/>
    <x v="292"/>
    <x v="0"/>
    <n v="0"/>
    <x v="0"/>
    <s v="Basic"/>
  </r>
  <r>
    <x v="379"/>
    <x v="0"/>
    <x v="0"/>
    <x v="5"/>
    <x v="0"/>
    <n v="0"/>
    <x v="0"/>
    <s v="Basic"/>
  </r>
  <r>
    <x v="380"/>
    <x v="3"/>
    <x v="1"/>
    <x v="293"/>
    <x v="1"/>
    <n v="0"/>
    <x v="0"/>
    <s v="Elite"/>
  </r>
  <r>
    <x v="381"/>
    <x v="3"/>
    <x v="0"/>
    <x v="294"/>
    <x v="0"/>
    <n v="0"/>
    <x v="0"/>
    <s v="Basic"/>
  </r>
  <r>
    <x v="382"/>
    <x v="3"/>
    <x v="2"/>
    <x v="50"/>
    <x v="2"/>
    <n v="0"/>
    <x v="0"/>
    <s v="Premium"/>
  </r>
  <r>
    <x v="383"/>
    <x v="1"/>
    <x v="0"/>
    <x v="209"/>
    <x v="0"/>
    <n v="0"/>
    <x v="0"/>
    <s v="Basic"/>
  </r>
  <r>
    <x v="384"/>
    <x v="3"/>
    <x v="1"/>
    <x v="295"/>
    <x v="1"/>
    <n v="0"/>
    <x v="0"/>
    <s v="Elite"/>
  </r>
  <r>
    <x v="385"/>
    <x v="0"/>
    <x v="0"/>
    <x v="40"/>
    <x v="0"/>
    <n v="0"/>
    <x v="0"/>
    <s v="Basic"/>
  </r>
  <r>
    <x v="386"/>
    <x v="1"/>
    <x v="0"/>
    <x v="296"/>
    <x v="0"/>
    <n v="0"/>
    <x v="0"/>
    <s v="Basic"/>
  </r>
  <r>
    <x v="387"/>
    <x v="0"/>
    <x v="0"/>
    <x v="297"/>
    <x v="0"/>
    <n v="0"/>
    <x v="0"/>
    <s v="Basic"/>
  </r>
  <r>
    <x v="388"/>
    <x v="1"/>
    <x v="1"/>
    <x v="298"/>
    <x v="1"/>
    <n v="0"/>
    <x v="0"/>
    <s v="Elite"/>
  </r>
  <r>
    <x v="389"/>
    <x v="1"/>
    <x v="0"/>
    <x v="217"/>
    <x v="0"/>
    <n v="0"/>
    <x v="0"/>
    <s v="Basic"/>
  </r>
  <r>
    <x v="390"/>
    <x v="0"/>
    <x v="0"/>
    <x v="200"/>
    <x v="0"/>
    <n v="0"/>
    <x v="0"/>
    <s v="Basic"/>
  </r>
  <r>
    <x v="391"/>
    <x v="3"/>
    <x v="0"/>
    <x v="189"/>
    <x v="0"/>
    <n v="0"/>
    <x v="0"/>
    <s v="Basic"/>
  </r>
  <r>
    <x v="392"/>
    <x v="2"/>
    <x v="2"/>
    <x v="299"/>
    <x v="2"/>
    <n v="0"/>
    <x v="0"/>
    <s v="Premium"/>
  </r>
  <r>
    <x v="393"/>
    <x v="1"/>
    <x v="0"/>
    <x v="275"/>
    <x v="0"/>
    <n v="1"/>
    <x v="1"/>
    <s v="Inactive"/>
  </r>
  <r>
    <x v="394"/>
    <x v="2"/>
    <x v="2"/>
    <x v="300"/>
    <x v="2"/>
    <n v="0"/>
    <x v="0"/>
    <s v="Premium"/>
  </r>
  <r>
    <x v="395"/>
    <x v="3"/>
    <x v="2"/>
    <x v="301"/>
    <x v="2"/>
    <n v="0"/>
    <x v="0"/>
    <s v="Premium"/>
  </r>
  <r>
    <x v="396"/>
    <x v="0"/>
    <x v="0"/>
    <x v="302"/>
    <x v="0"/>
    <n v="0"/>
    <x v="0"/>
    <s v="Basic"/>
  </r>
  <r>
    <x v="397"/>
    <x v="0"/>
    <x v="2"/>
    <x v="227"/>
    <x v="2"/>
    <n v="0"/>
    <x v="0"/>
    <s v="Premium"/>
  </r>
  <r>
    <x v="398"/>
    <x v="3"/>
    <x v="2"/>
    <x v="303"/>
    <x v="2"/>
    <n v="0"/>
    <x v="0"/>
    <s v="Premium"/>
  </r>
  <r>
    <x v="399"/>
    <x v="1"/>
    <x v="2"/>
    <x v="304"/>
    <x v="2"/>
    <n v="0"/>
    <x v="0"/>
    <s v="Premium"/>
  </r>
  <r>
    <x v="400"/>
    <x v="1"/>
    <x v="2"/>
    <x v="305"/>
    <x v="2"/>
    <n v="0"/>
    <x v="0"/>
    <s v="Premium"/>
  </r>
  <r>
    <x v="401"/>
    <x v="3"/>
    <x v="0"/>
    <x v="270"/>
    <x v="0"/>
    <n v="0"/>
    <x v="0"/>
    <s v="Basic"/>
  </r>
  <r>
    <x v="402"/>
    <x v="2"/>
    <x v="0"/>
    <x v="306"/>
    <x v="0"/>
    <n v="0"/>
    <x v="0"/>
    <s v="Basic"/>
  </r>
  <r>
    <x v="403"/>
    <x v="3"/>
    <x v="2"/>
    <x v="17"/>
    <x v="2"/>
    <n v="1"/>
    <x v="1"/>
    <s v="Inactive"/>
  </r>
  <r>
    <x v="404"/>
    <x v="0"/>
    <x v="1"/>
    <x v="253"/>
    <x v="1"/>
    <n v="0"/>
    <x v="0"/>
    <s v="Elite"/>
  </r>
  <r>
    <x v="405"/>
    <x v="1"/>
    <x v="1"/>
    <x v="39"/>
    <x v="1"/>
    <n v="0"/>
    <x v="0"/>
    <s v="Elite"/>
  </r>
  <r>
    <x v="406"/>
    <x v="0"/>
    <x v="0"/>
    <x v="302"/>
    <x v="0"/>
    <n v="1"/>
    <x v="1"/>
    <s v="Inactive"/>
  </r>
  <r>
    <x v="407"/>
    <x v="1"/>
    <x v="0"/>
    <x v="90"/>
    <x v="0"/>
    <n v="0"/>
    <x v="0"/>
    <s v="Basic"/>
  </r>
  <r>
    <x v="408"/>
    <x v="1"/>
    <x v="2"/>
    <x v="307"/>
    <x v="2"/>
    <n v="1"/>
    <x v="1"/>
    <s v="Inactive"/>
  </r>
  <r>
    <x v="409"/>
    <x v="3"/>
    <x v="0"/>
    <x v="57"/>
    <x v="0"/>
    <n v="0"/>
    <x v="0"/>
    <s v="Basic"/>
  </r>
  <r>
    <x v="410"/>
    <x v="1"/>
    <x v="0"/>
    <x v="308"/>
    <x v="0"/>
    <n v="0"/>
    <x v="0"/>
    <s v="Basic"/>
  </r>
  <r>
    <x v="411"/>
    <x v="3"/>
    <x v="1"/>
    <x v="309"/>
    <x v="1"/>
    <n v="0"/>
    <x v="0"/>
    <s v="Elite"/>
  </r>
  <r>
    <x v="412"/>
    <x v="1"/>
    <x v="0"/>
    <x v="74"/>
    <x v="0"/>
    <n v="0"/>
    <x v="0"/>
    <s v="Basic"/>
  </r>
  <r>
    <x v="413"/>
    <x v="2"/>
    <x v="2"/>
    <x v="188"/>
    <x v="2"/>
    <n v="0"/>
    <x v="0"/>
    <s v="Premium"/>
  </r>
  <r>
    <x v="414"/>
    <x v="1"/>
    <x v="0"/>
    <x v="310"/>
    <x v="0"/>
    <n v="0"/>
    <x v="0"/>
    <s v="Basic"/>
  </r>
  <r>
    <x v="415"/>
    <x v="1"/>
    <x v="1"/>
    <x v="311"/>
    <x v="1"/>
    <n v="0"/>
    <x v="0"/>
    <s v="Elite"/>
  </r>
  <r>
    <x v="416"/>
    <x v="1"/>
    <x v="0"/>
    <x v="116"/>
    <x v="0"/>
    <n v="0"/>
    <x v="0"/>
    <s v="Basic"/>
  </r>
  <r>
    <x v="417"/>
    <x v="2"/>
    <x v="1"/>
    <x v="312"/>
    <x v="1"/>
    <n v="1"/>
    <x v="1"/>
    <s v="Inactive"/>
  </r>
  <r>
    <x v="418"/>
    <x v="3"/>
    <x v="2"/>
    <x v="173"/>
    <x v="2"/>
    <n v="0"/>
    <x v="0"/>
    <s v="Premium"/>
  </r>
  <r>
    <x v="419"/>
    <x v="1"/>
    <x v="0"/>
    <x v="157"/>
    <x v="0"/>
    <n v="0"/>
    <x v="0"/>
    <s v="Basic"/>
  </r>
  <r>
    <x v="420"/>
    <x v="1"/>
    <x v="0"/>
    <x v="313"/>
    <x v="0"/>
    <n v="0"/>
    <x v="0"/>
    <s v="Basic"/>
  </r>
  <r>
    <x v="421"/>
    <x v="3"/>
    <x v="2"/>
    <x v="314"/>
    <x v="2"/>
    <n v="0"/>
    <x v="0"/>
    <s v="Premium"/>
  </r>
  <r>
    <x v="422"/>
    <x v="0"/>
    <x v="0"/>
    <x v="298"/>
    <x v="0"/>
    <n v="0"/>
    <x v="0"/>
    <s v="Basic"/>
  </r>
  <r>
    <x v="423"/>
    <x v="0"/>
    <x v="0"/>
    <x v="315"/>
    <x v="0"/>
    <n v="0"/>
    <x v="0"/>
    <s v="Basic"/>
  </r>
  <r>
    <x v="424"/>
    <x v="3"/>
    <x v="2"/>
    <x v="192"/>
    <x v="2"/>
    <n v="1"/>
    <x v="1"/>
    <s v="Inactive"/>
  </r>
  <r>
    <x v="425"/>
    <x v="1"/>
    <x v="0"/>
    <x v="316"/>
    <x v="0"/>
    <n v="1"/>
    <x v="1"/>
    <s v="Inactive"/>
  </r>
  <r>
    <x v="426"/>
    <x v="3"/>
    <x v="0"/>
    <x v="127"/>
    <x v="0"/>
    <n v="0"/>
    <x v="0"/>
    <s v="Basic"/>
  </r>
  <r>
    <x v="427"/>
    <x v="1"/>
    <x v="1"/>
    <x v="311"/>
    <x v="1"/>
    <n v="0"/>
    <x v="0"/>
    <s v="Elite"/>
  </r>
  <r>
    <x v="428"/>
    <x v="2"/>
    <x v="0"/>
    <x v="317"/>
    <x v="0"/>
    <n v="0"/>
    <x v="0"/>
    <s v="Basic"/>
  </r>
  <r>
    <x v="429"/>
    <x v="3"/>
    <x v="0"/>
    <x v="99"/>
    <x v="0"/>
    <n v="0"/>
    <x v="0"/>
    <s v="Basic"/>
  </r>
  <r>
    <x v="430"/>
    <x v="3"/>
    <x v="0"/>
    <x v="78"/>
    <x v="0"/>
    <n v="0"/>
    <x v="0"/>
    <s v="Basic"/>
  </r>
  <r>
    <x v="431"/>
    <x v="3"/>
    <x v="2"/>
    <x v="277"/>
    <x v="2"/>
    <n v="0"/>
    <x v="0"/>
    <s v="Premium"/>
  </r>
  <r>
    <x v="432"/>
    <x v="3"/>
    <x v="1"/>
    <x v="190"/>
    <x v="1"/>
    <n v="1"/>
    <x v="1"/>
    <s v="Inactive"/>
  </r>
  <r>
    <x v="433"/>
    <x v="1"/>
    <x v="2"/>
    <x v="318"/>
    <x v="2"/>
    <n v="0"/>
    <x v="0"/>
    <s v="Premium"/>
  </r>
  <r>
    <x v="434"/>
    <x v="0"/>
    <x v="0"/>
    <x v="319"/>
    <x v="0"/>
    <n v="0"/>
    <x v="0"/>
    <s v="Basic"/>
  </r>
  <r>
    <x v="435"/>
    <x v="1"/>
    <x v="0"/>
    <x v="320"/>
    <x v="0"/>
    <n v="1"/>
    <x v="1"/>
    <s v="Inactive"/>
  </r>
  <r>
    <x v="436"/>
    <x v="3"/>
    <x v="0"/>
    <x v="272"/>
    <x v="0"/>
    <n v="1"/>
    <x v="1"/>
    <s v="Inactive"/>
  </r>
  <r>
    <x v="437"/>
    <x v="1"/>
    <x v="0"/>
    <x v="147"/>
    <x v="0"/>
    <n v="0"/>
    <x v="0"/>
    <s v="Basic"/>
  </r>
  <r>
    <x v="438"/>
    <x v="1"/>
    <x v="0"/>
    <x v="282"/>
    <x v="0"/>
    <n v="1"/>
    <x v="1"/>
    <s v="Inactive"/>
  </r>
  <r>
    <x v="439"/>
    <x v="3"/>
    <x v="2"/>
    <x v="214"/>
    <x v="2"/>
    <n v="0"/>
    <x v="0"/>
    <s v="Premium"/>
  </r>
  <r>
    <x v="440"/>
    <x v="2"/>
    <x v="2"/>
    <x v="196"/>
    <x v="2"/>
    <n v="1"/>
    <x v="1"/>
    <s v="Inactive"/>
  </r>
  <r>
    <x v="441"/>
    <x v="0"/>
    <x v="0"/>
    <x v="321"/>
    <x v="0"/>
    <n v="0"/>
    <x v="0"/>
    <s v="Basic"/>
  </r>
  <r>
    <x v="442"/>
    <x v="3"/>
    <x v="0"/>
    <x v="322"/>
    <x v="0"/>
    <n v="0"/>
    <x v="0"/>
    <s v="Basic"/>
  </r>
  <r>
    <x v="443"/>
    <x v="0"/>
    <x v="0"/>
    <x v="162"/>
    <x v="0"/>
    <n v="0"/>
    <x v="0"/>
    <s v="Basic"/>
  </r>
  <r>
    <x v="444"/>
    <x v="1"/>
    <x v="0"/>
    <x v="323"/>
    <x v="0"/>
    <n v="0"/>
    <x v="0"/>
    <s v="Basic"/>
  </r>
  <r>
    <x v="445"/>
    <x v="3"/>
    <x v="0"/>
    <x v="324"/>
    <x v="0"/>
    <n v="0"/>
    <x v="0"/>
    <s v="Basic"/>
  </r>
  <r>
    <x v="446"/>
    <x v="1"/>
    <x v="0"/>
    <x v="170"/>
    <x v="0"/>
    <n v="0"/>
    <x v="0"/>
    <s v="Basic"/>
  </r>
  <r>
    <x v="447"/>
    <x v="0"/>
    <x v="0"/>
    <x v="309"/>
    <x v="0"/>
    <n v="0"/>
    <x v="0"/>
    <s v="Basic"/>
  </r>
  <r>
    <x v="448"/>
    <x v="2"/>
    <x v="1"/>
    <x v="325"/>
    <x v="1"/>
    <n v="0"/>
    <x v="0"/>
    <s v="Elite"/>
  </r>
  <r>
    <x v="449"/>
    <x v="1"/>
    <x v="0"/>
    <x v="326"/>
    <x v="0"/>
    <n v="0"/>
    <x v="0"/>
    <s v="Basic"/>
  </r>
  <r>
    <x v="450"/>
    <x v="3"/>
    <x v="1"/>
    <x v="327"/>
    <x v="1"/>
    <n v="0"/>
    <x v="0"/>
    <s v="Elite"/>
  </r>
  <r>
    <x v="451"/>
    <x v="3"/>
    <x v="2"/>
    <x v="328"/>
    <x v="2"/>
    <n v="0"/>
    <x v="0"/>
    <s v="Premium"/>
  </r>
  <r>
    <x v="452"/>
    <x v="2"/>
    <x v="0"/>
    <x v="329"/>
    <x v="0"/>
    <n v="0"/>
    <x v="0"/>
    <s v="Basic"/>
  </r>
  <r>
    <x v="453"/>
    <x v="2"/>
    <x v="0"/>
    <x v="238"/>
    <x v="0"/>
    <n v="0"/>
    <x v="0"/>
    <s v="Basic"/>
  </r>
  <r>
    <x v="454"/>
    <x v="3"/>
    <x v="2"/>
    <x v="330"/>
    <x v="2"/>
    <n v="0"/>
    <x v="0"/>
    <s v="Premium"/>
  </r>
  <r>
    <x v="455"/>
    <x v="1"/>
    <x v="0"/>
    <x v="331"/>
    <x v="0"/>
    <n v="0"/>
    <x v="0"/>
    <s v="Basic"/>
  </r>
  <r>
    <x v="456"/>
    <x v="1"/>
    <x v="0"/>
    <x v="332"/>
    <x v="0"/>
    <n v="0"/>
    <x v="0"/>
    <s v="Basic"/>
  </r>
  <r>
    <x v="457"/>
    <x v="2"/>
    <x v="2"/>
    <x v="90"/>
    <x v="2"/>
    <n v="1"/>
    <x v="1"/>
    <s v="Inactive"/>
  </r>
  <r>
    <x v="458"/>
    <x v="0"/>
    <x v="1"/>
    <x v="333"/>
    <x v="1"/>
    <n v="1"/>
    <x v="1"/>
    <s v="Inactive"/>
  </r>
  <r>
    <x v="459"/>
    <x v="0"/>
    <x v="0"/>
    <x v="156"/>
    <x v="0"/>
    <n v="0"/>
    <x v="0"/>
    <s v="Basic"/>
  </r>
  <r>
    <x v="460"/>
    <x v="3"/>
    <x v="2"/>
    <x v="334"/>
    <x v="2"/>
    <n v="0"/>
    <x v="0"/>
    <s v="Premium"/>
  </r>
  <r>
    <x v="461"/>
    <x v="1"/>
    <x v="2"/>
    <x v="54"/>
    <x v="2"/>
    <n v="0"/>
    <x v="0"/>
    <s v="Premium"/>
  </r>
  <r>
    <x v="462"/>
    <x v="0"/>
    <x v="0"/>
    <x v="15"/>
    <x v="0"/>
    <n v="0"/>
    <x v="0"/>
    <s v="Basic"/>
  </r>
  <r>
    <x v="463"/>
    <x v="1"/>
    <x v="0"/>
    <x v="56"/>
    <x v="0"/>
    <n v="1"/>
    <x v="1"/>
    <s v="Inactive"/>
  </r>
  <r>
    <x v="464"/>
    <x v="1"/>
    <x v="0"/>
    <x v="335"/>
    <x v="0"/>
    <n v="0"/>
    <x v="0"/>
    <s v="Basic"/>
  </r>
  <r>
    <x v="465"/>
    <x v="2"/>
    <x v="2"/>
    <x v="336"/>
    <x v="2"/>
    <n v="0"/>
    <x v="0"/>
    <s v="Premium"/>
  </r>
  <r>
    <x v="466"/>
    <x v="1"/>
    <x v="0"/>
    <x v="246"/>
    <x v="0"/>
    <n v="0"/>
    <x v="0"/>
    <s v="Basic"/>
  </r>
  <r>
    <x v="467"/>
    <x v="1"/>
    <x v="0"/>
    <x v="221"/>
    <x v="0"/>
    <n v="0"/>
    <x v="0"/>
    <s v="Basic"/>
  </r>
  <r>
    <x v="468"/>
    <x v="3"/>
    <x v="0"/>
    <x v="337"/>
    <x v="0"/>
    <n v="0"/>
    <x v="0"/>
    <s v="Basic"/>
  </r>
  <r>
    <x v="469"/>
    <x v="0"/>
    <x v="0"/>
    <x v="78"/>
    <x v="0"/>
    <n v="0"/>
    <x v="0"/>
    <s v="Basic"/>
  </r>
  <r>
    <x v="470"/>
    <x v="1"/>
    <x v="2"/>
    <x v="338"/>
    <x v="2"/>
    <n v="1"/>
    <x v="1"/>
    <s v="Inactive"/>
  </r>
  <r>
    <x v="471"/>
    <x v="1"/>
    <x v="1"/>
    <x v="79"/>
    <x v="1"/>
    <n v="0"/>
    <x v="0"/>
    <s v="Elite"/>
  </r>
  <r>
    <x v="472"/>
    <x v="0"/>
    <x v="0"/>
    <x v="297"/>
    <x v="0"/>
    <n v="0"/>
    <x v="0"/>
    <s v="Basic"/>
  </r>
  <r>
    <x v="473"/>
    <x v="0"/>
    <x v="2"/>
    <x v="339"/>
    <x v="2"/>
    <n v="0"/>
    <x v="0"/>
    <s v="Premium"/>
  </r>
  <r>
    <x v="474"/>
    <x v="3"/>
    <x v="0"/>
    <x v="270"/>
    <x v="0"/>
    <n v="1"/>
    <x v="1"/>
    <s v="Inactive"/>
  </r>
  <r>
    <x v="475"/>
    <x v="3"/>
    <x v="0"/>
    <x v="340"/>
    <x v="0"/>
    <n v="0"/>
    <x v="0"/>
    <s v="Basic"/>
  </r>
  <r>
    <x v="476"/>
    <x v="3"/>
    <x v="1"/>
    <x v="136"/>
    <x v="1"/>
    <n v="0"/>
    <x v="0"/>
    <s v="Elite"/>
  </r>
  <r>
    <x v="477"/>
    <x v="0"/>
    <x v="1"/>
    <x v="10"/>
    <x v="1"/>
    <n v="0"/>
    <x v="0"/>
    <s v="Elite"/>
  </r>
  <r>
    <x v="478"/>
    <x v="1"/>
    <x v="0"/>
    <x v="202"/>
    <x v="0"/>
    <n v="0"/>
    <x v="0"/>
    <s v="Basic"/>
  </r>
  <r>
    <x v="479"/>
    <x v="2"/>
    <x v="1"/>
    <x v="341"/>
    <x v="1"/>
    <n v="0"/>
    <x v="0"/>
    <s v="Elite"/>
  </r>
  <r>
    <x v="480"/>
    <x v="1"/>
    <x v="1"/>
    <x v="342"/>
    <x v="1"/>
    <n v="0"/>
    <x v="0"/>
    <s v="Elite"/>
  </r>
  <r>
    <x v="481"/>
    <x v="3"/>
    <x v="0"/>
    <x v="343"/>
    <x v="0"/>
    <n v="1"/>
    <x v="1"/>
    <s v="Inactive"/>
  </r>
  <r>
    <x v="482"/>
    <x v="0"/>
    <x v="2"/>
    <x v="344"/>
    <x v="2"/>
    <n v="0"/>
    <x v="0"/>
    <s v="Premium"/>
  </r>
  <r>
    <x v="483"/>
    <x v="1"/>
    <x v="1"/>
    <x v="302"/>
    <x v="1"/>
    <n v="0"/>
    <x v="0"/>
    <s v="Elite"/>
  </r>
  <r>
    <x v="484"/>
    <x v="0"/>
    <x v="1"/>
    <x v="345"/>
    <x v="1"/>
    <n v="0"/>
    <x v="0"/>
    <s v="Elite"/>
  </r>
  <r>
    <x v="485"/>
    <x v="3"/>
    <x v="2"/>
    <x v="346"/>
    <x v="2"/>
    <n v="0"/>
    <x v="0"/>
    <s v="Premium"/>
  </r>
  <r>
    <x v="486"/>
    <x v="0"/>
    <x v="1"/>
    <x v="347"/>
    <x v="1"/>
    <n v="0"/>
    <x v="0"/>
    <s v="Elite"/>
  </r>
  <r>
    <x v="487"/>
    <x v="1"/>
    <x v="0"/>
    <x v="108"/>
    <x v="0"/>
    <n v="0"/>
    <x v="0"/>
    <s v="Basic"/>
  </r>
  <r>
    <x v="488"/>
    <x v="1"/>
    <x v="1"/>
    <x v="280"/>
    <x v="1"/>
    <n v="0"/>
    <x v="0"/>
    <s v="Elite"/>
  </r>
  <r>
    <x v="489"/>
    <x v="1"/>
    <x v="1"/>
    <x v="348"/>
    <x v="1"/>
    <n v="0"/>
    <x v="0"/>
    <s v="Elite"/>
  </r>
  <r>
    <x v="490"/>
    <x v="0"/>
    <x v="1"/>
    <x v="30"/>
    <x v="1"/>
    <n v="0"/>
    <x v="0"/>
    <s v="Elite"/>
  </r>
  <r>
    <x v="491"/>
    <x v="3"/>
    <x v="0"/>
    <x v="304"/>
    <x v="0"/>
    <n v="0"/>
    <x v="0"/>
    <s v="Basic"/>
  </r>
  <r>
    <x v="492"/>
    <x v="0"/>
    <x v="2"/>
    <x v="349"/>
    <x v="2"/>
    <n v="0"/>
    <x v="0"/>
    <s v="Premium"/>
  </r>
  <r>
    <x v="493"/>
    <x v="3"/>
    <x v="0"/>
    <x v="350"/>
    <x v="0"/>
    <n v="0"/>
    <x v="0"/>
    <s v="Basic"/>
  </r>
  <r>
    <x v="494"/>
    <x v="3"/>
    <x v="2"/>
    <x v="351"/>
    <x v="2"/>
    <n v="0"/>
    <x v="0"/>
    <s v="Premium"/>
  </r>
  <r>
    <x v="495"/>
    <x v="1"/>
    <x v="1"/>
    <x v="208"/>
    <x v="1"/>
    <n v="0"/>
    <x v="0"/>
    <s v="Elite"/>
  </r>
  <r>
    <x v="496"/>
    <x v="2"/>
    <x v="0"/>
    <x v="246"/>
    <x v="0"/>
    <n v="0"/>
    <x v="0"/>
    <s v="Basic"/>
  </r>
  <r>
    <x v="497"/>
    <x v="1"/>
    <x v="2"/>
    <x v="352"/>
    <x v="2"/>
    <n v="0"/>
    <x v="0"/>
    <s v="Premium"/>
  </r>
  <r>
    <x v="498"/>
    <x v="1"/>
    <x v="0"/>
    <x v="184"/>
    <x v="0"/>
    <n v="1"/>
    <x v="1"/>
    <s v="Inactive"/>
  </r>
  <r>
    <x v="499"/>
    <x v="1"/>
    <x v="2"/>
    <x v="46"/>
    <x v="2"/>
    <n v="1"/>
    <x v="1"/>
    <s v="Inactive"/>
  </r>
  <r>
    <x v="500"/>
    <x v="1"/>
    <x v="0"/>
    <x v="229"/>
    <x v="0"/>
    <n v="0"/>
    <x v="0"/>
    <s v="Basic"/>
  </r>
  <r>
    <x v="501"/>
    <x v="1"/>
    <x v="1"/>
    <x v="71"/>
    <x v="1"/>
    <n v="0"/>
    <x v="0"/>
    <s v="Elite"/>
  </r>
  <r>
    <x v="502"/>
    <x v="3"/>
    <x v="0"/>
    <x v="298"/>
    <x v="0"/>
    <n v="0"/>
    <x v="0"/>
    <s v="Basic"/>
  </r>
  <r>
    <x v="503"/>
    <x v="0"/>
    <x v="2"/>
    <x v="161"/>
    <x v="2"/>
    <n v="0"/>
    <x v="0"/>
    <s v="Premium"/>
  </r>
  <r>
    <x v="504"/>
    <x v="1"/>
    <x v="0"/>
    <x v="5"/>
    <x v="0"/>
    <n v="0"/>
    <x v="0"/>
    <s v="Basic"/>
  </r>
  <r>
    <x v="505"/>
    <x v="0"/>
    <x v="2"/>
    <x v="353"/>
    <x v="2"/>
    <n v="0"/>
    <x v="0"/>
    <s v="Premium"/>
  </r>
  <r>
    <x v="506"/>
    <x v="3"/>
    <x v="2"/>
    <x v="354"/>
    <x v="2"/>
    <n v="0"/>
    <x v="0"/>
    <s v="Premium"/>
  </r>
  <r>
    <x v="507"/>
    <x v="1"/>
    <x v="2"/>
    <x v="355"/>
    <x v="2"/>
    <n v="0"/>
    <x v="0"/>
    <s v="Premium"/>
  </r>
  <r>
    <x v="508"/>
    <x v="0"/>
    <x v="0"/>
    <x v="129"/>
    <x v="0"/>
    <n v="0"/>
    <x v="0"/>
    <s v="Basic"/>
  </r>
  <r>
    <x v="509"/>
    <x v="1"/>
    <x v="0"/>
    <x v="305"/>
    <x v="0"/>
    <n v="0"/>
    <x v="0"/>
    <s v="Basic"/>
  </r>
  <r>
    <x v="510"/>
    <x v="1"/>
    <x v="2"/>
    <x v="38"/>
    <x v="2"/>
    <n v="0"/>
    <x v="0"/>
    <s v="Premium"/>
  </r>
  <r>
    <x v="511"/>
    <x v="2"/>
    <x v="2"/>
    <x v="31"/>
    <x v="2"/>
    <n v="0"/>
    <x v="0"/>
    <s v="Premium"/>
  </r>
  <r>
    <x v="512"/>
    <x v="1"/>
    <x v="1"/>
    <x v="356"/>
    <x v="1"/>
    <n v="0"/>
    <x v="0"/>
    <s v="Elite"/>
  </r>
  <r>
    <x v="513"/>
    <x v="1"/>
    <x v="1"/>
    <x v="315"/>
    <x v="1"/>
    <n v="0"/>
    <x v="0"/>
    <s v="Elite"/>
  </r>
  <r>
    <x v="514"/>
    <x v="3"/>
    <x v="0"/>
    <x v="356"/>
    <x v="0"/>
    <n v="0"/>
    <x v="0"/>
    <s v="Basic"/>
  </r>
  <r>
    <x v="515"/>
    <x v="1"/>
    <x v="0"/>
    <x v="44"/>
    <x v="0"/>
    <n v="0"/>
    <x v="0"/>
    <s v="Basic"/>
  </r>
  <r>
    <x v="516"/>
    <x v="1"/>
    <x v="1"/>
    <x v="320"/>
    <x v="1"/>
    <n v="0"/>
    <x v="0"/>
    <s v="Elite"/>
  </r>
  <r>
    <x v="517"/>
    <x v="1"/>
    <x v="0"/>
    <x v="357"/>
    <x v="0"/>
    <n v="0"/>
    <x v="0"/>
    <s v="Basic"/>
  </r>
  <r>
    <x v="518"/>
    <x v="3"/>
    <x v="0"/>
    <x v="102"/>
    <x v="0"/>
    <n v="0"/>
    <x v="0"/>
    <s v="Basic"/>
  </r>
  <r>
    <x v="519"/>
    <x v="3"/>
    <x v="0"/>
    <x v="358"/>
    <x v="0"/>
    <n v="0"/>
    <x v="0"/>
    <s v="Basic"/>
  </r>
  <r>
    <x v="520"/>
    <x v="0"/>
    <x v="2"/>
    <x v="259"/>
    <x v="2"/>
    <n v="0"/>
    <x v="0"/>
    <s v="Premium"/>
  </r>
  <r>
    <x v="521"/>
    <x v="0"/>
    <x v="2"/>
    <x v="359"/>
    <x v="2"/>
    <n v="0"/>
    <x v="0"/>
    <s v="Premium"/>
  </r>
  <r>
    <x v="522"/>
    <x v="0"/>
    <x v="1"/>
    <x v="135"/>
    <x v="1"/>
    <n v="0"/>
    <x v="0"/>
    <s v="Elite"/>
  </r>
  <r>
    <x v="523"/>
    <x v="1"/>
    <x v="0"/>
    <x v="108"/>
    <x v="0"/>
    <n v="0"/>
    <x v="0"/>
    <s v="Basic"/>
  </r>
  <r>
    <x v="524"/>
    <x v="2"/>
    <x v="2"/>
    <x v="360"/>
    <x v="2"/>
    <n v="0"/>
    <x v="0"/>
    <s v="Premium"/>
  </r>
  <r>
    <x v="525"/>
    <x v="2"/>
    <x v="0"/>
    <x v="361"/>
    <x v="0"/>
    <n v="0"/>
    <x v="0"/>
    <s v="Basic"/>
  </r>
  <r>
    <x v="526"/>
    <x v="1"/>
    <x v="1"/>
    <x v="362"/>
    <x v="1"/>
    <n v="0"/>
    <x v="0"/>
    <s v="Elite"/>
  </r>
  <r>
    <x v="527"/>
    <x v="0"/>
    <x v="2"/>
    <x v="363"/>
    <x v="2"/>
    <n v="0"/>
    <x v="0"/>
    <s v="Premium"/>
  </r>
  <r>
    <x v="528"/>
    <x v="3"/>
    <x v="0"/>
    <x v="364"/>
    <x v="0"/>
    <n v="0"/>
    <x v="0"/>
    <s v="Basic"/>
  </r>
  <r>
    <x v="529"/>
    <x v="1"/>
    <x v="0"/>
    <x v="224"/>
    <x v="0"/>
    <n v="0"/>
    <x v="0"/>
    <s v="Basic"/>
  </r>
  <r>
    <x v="530"/>
    <x v="0"/>
    <x v="2"/>
    <x v="152"/>
    <x v="2"/>
    <n v="0"/>
    <x v="0"/>
    <s v="Premium"/>
  </r>
  <r>
    <x v="531"/>
    <x v="1"/>
    <x v="2"/>
    <x v="365"/>
    <x v="2"/>
    <n v="0"/>
    <x v="0"/>
    <s v="Premium"/>
  </r>
  <r>
    <x v="532"/>
    <x v="2"/>
    <x v="1"/>
    <x v="366"/>
    <x v="1"/>
    <n v="0"/>
    <x v="0"/>
    <s v="Elite"/>
  </r>
  <r>
    <x v="533"/>
    <x v="2"/>
    <x v="2"/>
    <x v="311"/>
    <x v="2"/>
    <n v="0"/>
    <x v="0"/>
    <s v="Premium"/>
  </r>
  <r>
    <x v="534"/>
    <x v="3"/>
    <x v="0"/>
    <x v="96"/>
    <x v="0"/>
    <n v="0"/>
    <x v="0"/>
    <s v="Basic"/>
  </r>
  <r>
    <x v="535"/>
    <x v="1"/>
    <x v="1"/>
    <x v="63"/>
    <x v="1"/>
    <n v="0"/>
    <x v="0"/>
    <s v="Elite"/>
  </r>
  <r>
    <x v="536"/>
    <x v="1"/>
    <x v="1"/>
    <x v="113"/>
    <x v="1"/>
    <n v="0"/>
    <x v="0"/>
    <s v="Elite"/>
  </r>
  <r>
    <x v="537"/>
    <x v="3"/>
    <x v="0"/>
    <x v="73"/>
    <x v="0"/>
    <n v="1"/>
    <x v="1"/>
    <s v="Inactive"/>
  </r>
  <r>
    <x v="538"/>
    <x v="3"/>
    <x v="0"/>
    <x v="367"/>
    <x v="0"/>
    <n v="0"/>
    <x v="0"/>
    <s v="Basic"/>
  </r>
  <r>
    <x v="539"/>
    <x v="1"/>
    <x v="0"/>
    <x v="368"/>
    <x v="0"/>
    <n v="0"/>
    <x v="0"/>
    <s v="Basic"/>
  </r>
  <r>
    <x v="540"/>
    <x v="2"/>
    <x v="0"/>
    <x v="37"/>
    <x v="0"/>
    <n v="0"/>
    <x v="0"/>
    <s v="Basic"/>
  </r>
  <r>
    <x v="541"/>
    <x v="0"/>
    <x v="2"/>
    <x v="215"/>
    <x v="2"/>
    <n v="0"/>
    <x v="0"/>
    <s v="Premium"/>
  </r>
  <r>
    <x v="542"/>
    <x v="3"/>
    <x v="1"/>
    <x v="340"/>
    <x v="1"/>
    <n v="0"/>
    <x v="0"/>
    <s v="Elite"/>
  </r>
  <r>
    <x v="543"/>
    <x v="1"/>
    <x v="0"/>
    <x v="83"/>
    <x v="0"/>
    <n v="0"/>
    <x v="0"/>
    <s v="Basic"/>
  </r>
  <r>
    <x v="544"/>
    <x v="3"/>
    <x v="2"/>
    <x v="178"/>
    <x v="2"/>
    <n v="0"/>
    <x v="0"/>
    <s v="Premium"/>
  </r>
  <r>
    <x v="545"/>
    <x v="2"/>
    <x v="1"/>
    <x v="369"/>
    <x v="1"/>
    <n v="1"/>
    <x v="1"/>
    <s v="Inactive"/>
  </r>
  <r>
    <x v="546"/>
    <x v="2"/>
    <x v="0"/>
    <x v="82"/>
    <x v="0"/>
    <n v="0"/>
    <x v="0"/>
    <s v="Basic"/>
  </r>
  <r>
    <x v="547"/>
    <x v="1"/>
    <x v="2"/>
    <x v="14"/>
    <x v="2"/>
    <n v="1"/>
    <x v="1"/>
    <s v="Inactive"/>
  </r>
  <r>
    <x v="548"/>
    <x v="1"/>
    <x v="1"/>
    <x v="370"/>
    <x v="1"/>
    <n v="0"/>
    <x v="0"/>
    <s v="Elite"/>
  </r>
  <r>
    <x v="549"/>
    <x v="1"/>
    <x v="0"/>
    <x v="371"/>
    <x v="0"/>
    <n v="0"/>
    <x v="0"/>
    <s v="Basic"/>
  </r>
  <r>
    <x v="550"/>
    <x v="0"/>
    <x v="0"/>
    <x v="111"/>
    <x v="0"/>
    <n v="0"/>
    <x v="0"/>
    <s v="Basic"/>
  </r>
  <r>
    <x v="551"/>
    <x v="1"/>
    <x v="2"/>
    <x v="372"/>
    <x v="2"/>
    <n v="0"/>
    <x v="0"/>
    <s v="Premium"/>
  </r>
  <r>
    <x v="552"/>
    <x v="2"/>
    <x v="2"/>
    <x v="373"/>
    <x v="2"/>
    <n v="1"/>
    <x v="1"/>
    <s v="Inactive"/>
  </r>
  <r>
    <x v="553"/>
    <x v="1"/>
    <x v="0"/>
    <x v="46"/>
    <x v="0"/>
    <n v="0"/>
    <x v="0"/>
    <s v="Basic"/>
  </r>
  <r>
    <x v="554"/>
    <x v="1"/>
    <x v="0"/>
    <x v="374"/>
    <x v="0"/>
    <n v="0"/>
    <x v="0"/>
    <s v="Basic"/>
  </r>
  <r>
    <x v="555"/>
    <x v="1"/>
    <x v="0"/>
    <x v="375"/>
    <x v="0"/>
    <n v="0"/>
    <x v="0"/>
    <s v="Basic"/>
  </r>
  <r>
    <x v="556"/>
    <x v="0"/>
    <x v="0"/>
    <x v="133"/>
    <x v="0"/>
    <n v="0"/>
    <x v="0"/>
    <s v="Basic"/>
  </r>
  <r>
    <x v="557"/>
    <x v="1"/>
    <x v="2"/>
    <x v="159"/>
    <x v="2"/>
    <n v="0"/>
    <x v="0"/>
    <s v="Premium"/>
  </r>
  <r>
    <x v="558"/>
    <x v="0"/>
    <x v="2"/>
    <x v="376"/>
    <x v="2"/>
    <n v="0"/>
    <x v="0"/>
    <s v="Premium"/>
  </r>
  <r>
    <x v="559"/>
    <x v="2"/>
    <x v="0"/>
    <x v="375"/>
    <x v="0"/>
    <n v="0"/>
    <x v="0"/>
    <s v="Basic"/>
  </r>
  <r>
    <x v="560"/>
    <x v="2"/>
    <x v="0"/>
    <x v="76"/>
    <x v="0"/>
    <n v="0"/>
    <x v="0"/>
    <s v="Basic"/>
  </r>
  <r>
    <x v="561"/>
    <x v="1"/>
    <x v="1"/>
    <x v="377"/>
    <x v="1"/>
    <n v="0"/>
    <x v="0"/>
    <s v="Elite"/>
  </r>
  <r>
    <x v="562"/>
    <x v="1"/>
    <x v="0"/>
    <x v="378"/>
    <x v="0"/>
    <n v="0"/>
    <x v="0"/>
    <s v="Basic"/>
  </r>
  <r>
    <x v="563"/>
    <x v="1"/>
    <x v="0"/>
    <x v="379"/>
    <x v="0"/>
    <n v="0"/>
    <x v="0"/>
    <s v="Basic"/>
  </r>
  <r>
    <x v="564"/>
    <x v="1"/>
    <x v="2"/>
    <x v="58"/>
    <x v="2"/>
    <n v="0"/>
    <x v="0"/>
    <s v="Premium"/>
  </r>
  <r>
    <x v="565"/>
    <x v="1"/>
    <x v="0"/>
    <x v="380"/>
    <x v="0"/>
    <n v="0"/>
    <x v="0"/>
    <s v="Basic"/>
  </r>
  <r>
    <x v="566"/>
    <x v="2"/>
    <x v="1"/>
    <x v="179"/>
    <x v="1"/>
    <n v="1"/>
    <x v="1"/>
    <s v="Inactive"/>
  </r>
  <r>
    <x v="567"/>
    <x v="1"/>
    <x v="0"/>
    <x v="381"/>
    <x v="0"/>
    <n v="0"/>
    <x v="0"/>
    <s v="Basic"/>
  </r>
  <r>
    <x v="568"/>
    <x v="3"/>
    <x v="2"/>
    <x v="127"/>
    <x v="2"/>
    <n v="0"/>
    <x v="0"/>
    <s v="Premium"/>
  </r>
  <r>
    <x v="569"/>
    <x v="2"/>
    <x v="0"/>
    <x v="38"/>
    <x v="0"/>
    <n v="0"/>
    <x v="0"/>
    <s v="Basic"/>
  </r>
  <r>
    <x v="570"/>
    <x v="2"/>
    <x v="1"/>
    <x v="258"/>
    <x v="1"/>
    <n v="1"/>
    <x v="1"/>
    <s v="Inactive"/>
  </r>
  <r>
    <x v="571"/>
    <x v="1"/>
    <x v="2"/>
    <x v="199"/>
    <x v="2"/>
    <n v="0"/>
    <x v="0"/>
    <s v="Premium"/>
  </r>
  <r>
    <x v="572"/>
    <x v="0"/>
    <x v="2"/>
    <x v="184"/>
    <x v="2"/>
    <n v="0"/>
    <x v="0"/>
    <s v="Premium"/>
  </r>
  <r>
    <x v="573"/>
    <x v="1"/>
    <x v="0"/>
    <x v="281"/>
    <x v="0"/>
    <n v="0"/>
    <x v="0"/>
    <s v="Basic"/>
  </r>
  <r>
    <x v="574"/>
    <x v="1"/>
    <x v="2"/>
    <x v="119"/>
    <x v="2"/>
    <n v="0"/>
    <x v="0"/>
    <s v="Premium"/>
  </r>
  <r>
    <x v="575"/>
    <x v="2"/>
    <x v="2"/>
    <x v="368"/>
    <x v="2"/>
    <n v="1"/>
    <x v="1"/>
    <s v="Inactive"/>
  </r>
  <r>
    <x v="576"/>
    <x v="1"/>
    <x v="2"/>
    <x v="382"/>
    <x v="2"/>
    <n v="0"/>
    <x v="0"/>
    <s v="Premium"/>
  </r>
  <r>
    <x v="577"/>
    <x v="1"/>
    <x v="0"/>
    <x v="383"/>
    <x v="0"/>
    <n v="0"/>
    <x v="0"/>
    <s v="Basic"/>
  </r>
  <r>
    <x v="578"/>
    <x v="2"/>
    <x v="0"/>
    <x v="265"/>
    <x v="0"/>
    <n v="0"/>
    <x v="0"/>
    <s v="Basic"/>
  </r>
  <r>
    <x v="579"/>
    <x v="3"/>
    <x v="2"/>
    <x v="384"/>
    <x v="2"/>
    <n v="0"/>
    <x v="0"/>
    <s v="Premium"/>
  </r>
  <r>
    <x v="580"/>
    <x v="1"/>
    <x v="0"/>
    <x v="323"/>
    <x v="0"/>
    <n v="1"/>
    <x v="1"/>
    <s v="Inactive"/>
  </r>
  <r>
    <x v="581"/>
    <x v="0"/>
    <x v="2"/>
    <x v="385"/>
    <x v="2"/>
    <n v="0"/>
    <x v="0"/>
    <s v="Premium"/>
  </r>
  <r>
    <x v="582"/>
    <x v="2"/>
    <x v="2"/>
    <x v="386"/>
    <x v="2"/>
    <n v="0"/>
    <x v="0"/>
    <s v="Premium"/>
  </r>
  <r>
    <x v="583"/>
    <x v="2"/>
    <x v="2"/>
    <x v="211"/>
    <x v="2"/>
    <n v="0"/>
    <x v="0"/>
    <s v="Premium"/>
  </r>
  <r>
    <x v="584"/>
    <x v="1"/>
    <x v="0"/>
    <x v="80"/>
    <x v="0"/>
    <n v="0"/>
    <x v="0"/>
    <s v="Basic"/>
  </r>
  <r>
    <x v="585"/>
    <x v="3"/>
    <x v="0"/>
    <x v="387"/>
    <x v="0"/>
    <n v="0"/>
    <x v="0"/>
    <s v="Basic"/>
  </r>
  <r>
    <x v="586"/>
    <x v="0"/>
    <x v="0"/>
    <x v="388"/>
    <x v="0"/>
    <n v="0"/>
    <x v="0"/>
    <s v="Basic"/>
  </r>
  <r>
    <x v="587"/>
    <x v="0"/>
    <x v="0"/>
    <x v="389"/>
    <x v="0"/>
    <n v="0"/>
    <x v="0"/>
    <s v="Basic"/>
  </r>
  <r>
    <x v="588"/>
    <x v="3"/>
    <x v="0"/>
    <x v="390"/>
    <x v="0"/>
    <n v="0"/>
    <x v="0"/>
    <s v="Basic"/>
  </r>
  <r>
    <x v="589"/>
    <x v="2"/>
    <x v="1"/>
    <x v="391"/>
    <x v="1"/>
    <n v="0"/>
    <x v="0"/>
    <s v="Elite"/>
  </r>
  <r>
    <x v="590"/>
    <x v="1"/>
    <x v="0"/>
    <x v="2"/>
    <x v="0"/>
    <n v="0"/>
    <x v="0"/>
    <s v="Basic"/>
  </r>
  <r>
    <x v="591"/>
    <x v="0"/>
    <x v="1"/>
    <x v="343"/>
    <x v="1"/>
    <n v="0"/>
    <x v="0"/>
    <s v="Elite"/>
  </r>
  <r>
    <x v="592"/>
    <x v="3"/>
    <x v="0"/>
    <x v="392"/>
    <x v="0"/>
    <n v="1"/>
    <x v="1"/>
    <s v="Inactive"/>
  </r>
  <r>
    <x v="593"/>
    <x v="0"/>
    <x v="0"/>
    <x v="117"/>
    <x v="0"/>
    <n v="0"/>
    <x v="0"/>
    <s v="Basic"/>
  </r>
  <r>
    <x v="594"/>
    <x v="0"/>
    <x v="1"/>
    <x v="362"/>
    <x v="1"/>
    <n v="0"/>
    <x v="0"/>
    <s v="Elite"/>
  </r>
  <r>
    <x v="595"/>
    <x v="3"/>
    <x v="1"/>
    <x v="83"/>
    <x v="1"/>
    <n v="1"/>
    <x v="1"/>
    <s v="Inactive"/>
  </r>
  <r>
    <x v="596"/>
    <x v="3"/>
    <x v="0"/>
    <x v="393"/>
    <x v="0"/>
    <n v="0"/>
    <x v="0"/>
    <s v="Basic"/>
  </r>
  <r>
    <x v="597"/>
    <x v="1"/>
    <x v="0"/>
    <x v="394"/>
    <x v="0"/>
    <n v="0"/>
    <x v="0"/>
    <s v="Basic"/>
  </r>
  <r>
    <x v="598"/>
    <x v="1"/>
    <x v="0"/>
    <x v="395"/>
    <x v="0"/>
    <n v="0"/>
    <x v="0"/>
    <s v="Basic"/>
  </r>
  <r>
    <x v="599"/>
    <x v="3"/>
    <x v="2"/>
    <x v="262"/>
    <x v="2"/>
    <n v="0"/>
    <x v="0"/>
    <s v="Premium"/>
  </r>
  <r>
    <x v="600"/>
    <x v="3"/>
    <x v="2"/>
    <x v="346"/>
    <x v="2"/>
    <n v="0"/>
    <x v="0"/>
    <s v="Premium"/>
  </r>
  <r>
    <x v="601"/>
    <x v="1"/>
    <x v="0"/>
    <x v="314"/>
    <x v="0"/>
    <n v="0"/>
    <x v="0"/>
    <s v="Basic"/>
  </r>
  <r>
    <x v="602"/>
    <x v="2"/>
    <x v="2"/>
    <x v="261"/>
    <x v="2"/>
    <n v="0"/>
    <x v="0"/>
    <s v="Premium"/>
  </r>
  <r>
    <x v="603"/>
    <x v="1"/>
    <x v="0"/>
    <x v="39"/>
    <x v="0"/>
    <n v="0"/>
    <x v="0"/>
    <s v="Basic"/>
  </r>
  <r>
    <x v="604"/>
    <x v="3"/>
    <x v="0"/>
    <x v="396"/>
    <x v="0"/>
    <n v="0"/>
    <x v="0"/>
    <s v="Basic"/>
  </r>
  <r>
    <x v="605"/>
    <x v="3"/>
    <x v="2"/>
    <x v="27"/>
    <x v="2"/>
    <n v="0"/>
    <x v="0"/>
    <s v="Premium"/>
  </r>
  <r>
    <x v="606"/>
    <x v="2"/>
    <x v="0"/>
    <x v="397"/>
    <x v="0"/>
    <n v="0"/>
    <x v="0"/>
    <s v="Basic"/>
  </r>
  <r>
    <x v="607"/>
    <x v="1"/>
    <x v="2"/>
    <x v="68"/>
    <x v="2"/>
    <n v="1"/>
    <x v="1"/>
    <s v="Inactive"/>
  </r>
  <r>
    <x v="608"/>
    <x v="3"/>
    <x v="0"/>
    <x v="398"/>
    <x v="0"/>
    <n v="0"/>
    <x v="0"/>
    <s v="Basic"/>
  </r>
  <r>
    <x v="609"/>
    <x v="3"/>
    <x v="0"/>
    <x v="399"/>
    <x v="0"/>
    <n v="0"/>
    <x v="0"/>
    <s v="Basic"/>
  </r>
  <r>
    <x v="610"/>
    <x v="3"/>
    <x v="0"/>
    <x v="400"/>
    <x v="0"/>
    <n v="0"/>
    <x v="0"/>
    <s v="Basic"/>
  </r>
  <r>
    <x v="611"/>
    <x v="3"/>
    <x v="0"/>
    <x v="150"/>
    <x v="0"/>
    <n v="0"/>
    <x v="0"/>
    <s v="Basic"/>
  </r>
  <r>
    <x v="612"/>
    <x v="2"/>
    <x v="2"/>
    <x v="237"/>
    <x v="2"/>
    <n v="0"/>
    <x v="0"/>
    <s v="Premium"/>
  </r>
  <r>
    <x v="613"/>
    <x v="3"/>
    <x v="1"/>
    <x v="401"/>
    <x v="1"/>
    <n v="1"/>
    <x v="1"/>
    <s v="Inactive"/>
  </r>
  <r>
    <x v="614"/>
    <x v="0"/>
    <x v="2"/>
    <x v="87"/>
    <x v="2"/>
    <n v="0"/>
    <x v="0"/>
    <s v="Premium"/>
  </r>
  <r>
    <x v="615"/>
    <x v="0"/>
    <x v="1"/>
    <x v="200"/>
    <x v="1"/>
    <n v="0"/>
    <x v="0"/>
    <s v="Elite"/>
  </r>
  <r>
    <x v="616"/>
    <x v="1"/>
    <x v="0"/>
    <x v="402"/>
    <x v="0"/>
    <n v="1"/>
    <x v="1"/>
    <s v="Inactive"/>
  </r>
  <r>
    <x v="617"/>
    <x v="1"/>
    <x v="2"/>
    <x v="403"/>
    <x v="2"/>
    <n v="0"/>
    <x v="0"/>
    <s v="Premium"/>
  </r>
  <r>
    <x v="618"/>
    <x v="3"/>
    <x v="2"/>
    <x v="297"/>
    <x v="2"/>
    <n v="0"/>
    <x v="0"/>
    <s v="Premium"/>
  </r>
  <r>
    <x v="619"/>
    <x v="1"/>
    <x v="0"/>
    <x v="404"/>
    <x v="0"/>
    <n v="0"/>
    <x v="0"/>
    <s v="Basic"/>
  </r>
  <r>
    <x v="620"/>
    <x v="3"/>
    <x v="2"/>
    <x v="405"/>
    <x v="2"/>
    <n v="1"/>
    <x v="1"/>
    <s v="Inactive"/>
  </r>
  <r>
    <x v="621"/>
    <x v="3"/>
    <x v="0"/>
    <x v="232"/>
    <x v="0"/>
    <n v="0"/>
    <x v="0"/>
    <s v="Basic"/>
  </r>
  <r>
    <x v="622"/>
    <x v="1"/>
    <x v="0"/>
    <x v="406"/>
    <x v="0"/>
    <n v="0"/>
    <x v="0"/>
    <s v="Basic"/>
  </r>
  <r>
    <x v="623"/>
    <x v="2"/>
    <x v="2"/>
    <x v="282"/>
    <x v="2"/>
    <n v="0"/>
    <x v="0"/>
    <s v="Premium"/>
  </r>
  <r>
    <x v="624"/>
    <x v="1"/>
    <x v="0"/>
    <x v="1"/>
    <x v="0"/>
    <n v="1"/>
    <x v="1"/>
    <s v="Inactive"/>
  </r>
  <r>
    <x v="625"/>
    <x v="2"/>
    <x v="0"/>
    <x v="257"/>
    <x v="0"/>
    <n v="0"/>
    <x v="0"/>
    <s v="Basic"/>
  </r>
  <r>
    <x v="626"/>
    <x v="1"/>
    <x v="1"/>
    <x v="407"/>
    <x v="1"/>
    <n v="0"/>
    <x v="0"/>
    <s v="Elite"/>
  </r>
  <r>
    <x v="627"/>
    <x v="3"/>
    <x v="0"/>
    <x v="408"/>
    <x v="0"/>
    <n v="0"/>
    <x v="0"/>
    <s v="Basic"/>
  </r>
  <r>
    <x v="628"/>
    <x v="2"/>
    <x v="2"/>
    <x v="409"/>
    <x v="2"/>
    <n v="0"/>
    <x v="0"/>
    <s v="Premium"/>
  </r>
  <r>
    <x v="629"/>
    <x v="3"/>
    <x v="1"/>
    <x v="204"/>
    <x v="1"/>
    <n v="1"/>
    <x v="1"/>
    <s v="Inactive"/>
  </r>
  <r>
    <x v="630"/>
    <x v="1"/>
    <x v="1"/>
    <x v="410"/>
    <x v="1"/>
    <n v="0"/>
    <x v="0"/>
    <s v="Elite"/>
  </r>
  <r>
    <x v="631"/>
    <x v="1"/>
    <x v="1"/>
    <x v="168"/>
    <x v="1"/>
    <n v="0"/>
    <x v="0"/>
    <s v="Elite"/>
  </r>
  <r>
    <x v="632"/>
    <x v="1"/>
    <x v="0"/>
    <x v="56"/>
    <x v="0"/>
    <n v="0"/>
    <x v="0"/>
    <s v="Basic"/>
  </r>
  <r>
    <x v="633"/>
    <x v="1"/>
    <x v="0"/>
    <x v="98"/>
    <x v="0"/>
    <n v="0"/>
    <x v="0"/>
    <s v="Basic"/>
  </r>
  <r>
    <x v="634"/>
    <x v="3"/>
    <x v="1"/>
    <x v="231"/>
    <x v="1"/>
    <n v="0"/>
    <x v="0"/>
    <s v="Elite"/>
  </r>
  <r>
    <x v="635"/>
    <x v="2"/>
    <x v="0"/>
    <x v="226"/>
    <x v="0"/>
    <n v="0"/>
    <x v="0"/>
    <s v="Basic"/>
  </r>
  <r>
    <x v="636"/>
    <x v="1"/>
    <x v="0"/>
    <x v="165"/>
    <x v="0"/>
    <n v="0"/>
    <x v="0"/>
    <s v="Basic"/>
  </r>
  <r>
    <x v="637"/>
    <x v="3"/>
    <x v="2"/>
    <x v="51"/>
    <x v="2"/>
    <n v="0"/>
    <x v="0"/>
    <s v="Premium"/>
  </r>
  <r>
    <x v="638"/>
    <x v="0"/>
    <x v="1"/>
    <x v="411"/>
    <x v="1"/>
    <n v="1"/>
    <x v="1"/>
    <s v="Inactive"/>
  </r>
  <r>
    <x v="639"/>
    <x v="2"/>
    <x v="2"/>
    <x v="412"/>
    <x v="2"/>
    <n v="0"/>
    <x v="0"/>
    <s v="Premium"/>
  </r>
  <r>
    <x v="640"/>
    <x v="1"/>
    <x v="0"/>
    <x v="413"/>
    <x v="0"/>
    <n v="0"/>
    <x v="0"/>
    <s v="Basic"/>
  </r>
  <r>
    <x v="641"/>
    <x v="1"/>
    <x v="0"/>
    <x v="359"/>
    <x v="0"/>
    <n v="0"/>
    <x v="0"/>
    <s v="Basic"/>
  </r>
  <r>
    <x v="642"/>
    <x v="3"/>
    <x v="0"/>
    <x v="331"/>
    <x v="0"/>
    <n v="0"/>
    <x v="0"/>
    <s v="Basic"/>
  </r>
  <r>
    <x v="643"/>
    <x v="0"/>
    <x v="0"/>
    <x v="414"/>
    <x v="0"/>
    <n v="1"/>
    <x v="1"/>
    <s v="Inactive"/>
  </r>
  <r>
    <x v="644"/>
    <x v="3"/>
    <x v="1"/>
    <x v="415"/>
    <x v="1"/>
    <n v="0"/>
    <x v="0"/>
    <s v="Elite"/>
  </r>
  <r>
    <x v="645"/>
    <x v="2"/>
    <x v="1"/>
    <x v="222"/>
    <x v="1"/>
    <n v="0"/>
    <x v="0"/>
    <s v="Elite"/>
  </r>
  <r>
    <x v="646"/>
    <x v="3"/>
    <x v="1"/>
    <x v="184"/>
    <x v="1"/>
    <n v="0"/>
    <x v="0"/>
    <s v="Elite"/>
  </r>
  <r>
    <x v="647"/>
    <x v="3"/>
    <x v="2"/>
    <x v="416"/>
    <x v="2"/>
    <n v="0"/>
    <x v="0"/>
    <s v="Premium"/>
  </r>
  <r>
    <x v="648"/>
    <x v="0"/>
    <x v="0"/>
    <x v="417"/>
    <x v="0"/>
    <n v="0"/>
    <x v="0"/>
    <s v="Basic"/>
  </r>
  <r>
    <x v="649"/>
    <x v="0"/>
    <x v="2"/>
    <x v="408"/>
    <x v="2"/>
    <n v="0"/>
    <x v="0"/>
    <s v="Premium"/>
  </r>
  <r>
    <x v="650"/>
    <x v="1"/>
    <x v="1"/>
    <x v="12"/>
    <x v="1"/>
    <n v="0"/>
    <x v="0"/>
    <s v="Elite"/>
  </r>
  <r>
    <x v="651"/>
    <x v="0"/>
    <x v="2"/>
    <x v="134"/>
    <x v="2"/>
    <n v="1"/>
    <x v="1"/>
    <s v="Inactive"/>
  </r>
  <r>
    <x v="652"/>
    <x v="0"/>
    <x v="0"/>
    <x v="282"/>
    <x v="0"/>
    <n v="0"/>
    <x v="0"/>
    <s v="Basic"/>
  </r>
  <r>
    <x v="653"/>
    <x v="2"/>
    <x v="0"/>
    <x v="418"/>
    <x v="0"/>
    <n v="0"/>
    <x v="0"/>
    <s v="Basic"/>
  </r>
  <r>
    <x v="654"/>
    <x v="3"/>
    <x v="1"/>
    <x v="419"/>
    <x v="1"/>
    <n v="1"/>
    <x v="1"/>
    <s v="Inactive"/>
  </r>
  <r>
    <x v="655"/>
    <x v="3"/>
    <x v="0"/>
    <x v="245"/>
    <x v="0"/>
    <n v="0"/>
    <x v="0"/>
    <s v="Basic"/>
  </r>
  <r>
    <x v="656"/>
    <x v="1"/>
    <x v="0"/>
    <x v="48"/>
    <x v="0"/>
    <n v="1"/>
    <x v="1"/>
    <s v="Inactive"/>
  </r>
  <r>
    <x v="657"/>
    <x v="1"/>
    <x v="2"/>
    <x v="120"/>
    <x v="2"/>
    <n v="0"/>
    <x v="0"/>
    <s v="Premium"/>
  </r>
  <r>
    <x v="658"/>
    <x v="3"/>
    <x v="2"/>
    <x v="216"/>
    <x v="2"/>
    <n v="0"/>
    <x v="0"/>
    <s v="Premium"/>
  </r>
  <r>
    <x v="659"/>
    <x v="1"/>
    <x v="0"/>
    <x v="420"/>
    <x v="0"/>
    <n v="0"/>
    <x v="0"/>
    <s v="Basic"/>
  </r>
  <r>
    <x v="660"/>
    <x v="2"/>
    <x v="0"/>
    <x v="209"/>
    <x v="0"/>
    <n v="1"/>
    <x v="1"/>
    <s v="Inactive"/>
  </r>
  <r>
    <x v="661"/>
    <x v="0"/>
    <x v="2"/>
    <x v="374"/>
    <x v="2"/>
    <n v="0"/>
    <x v="0"/>
    <s v="Premium"/>
  </r>
  <r>
    <x v="662"/>
    <x v="1"/>
    <x v="0"/>
    <x v="309"/>
    <x v="0"/>
    <n v="0"/>
    <x v="0"/>
    <s v="Basic"/>
  </r>
  <r>
    <x v="663"/>
    <x v="0"/>
    <x v="0"/>
    <x v="421"/>
    <x v="0"/>
    <n v="1"/>
    <x v="1"/>
    <s v="Inactive"/>
  </r>
  <r>
    <x v="664"/>
    <x v="1"/>
    <x v="2"/>
    <x v="422"/>
    <x v="2"/>
    <n v="0"/>
    <x v="0"/>
    <s v="Premium"/>
  </r>
  <r>
    <x v="665"/>
    <x v="2"/>
    <x v="1"/>
    <x v="404"/>
    <x v="1"/>
    <n v="0"/>
    <x v="0"/>
    <s v="Elite"/>
  </r>
  <r>
    <x v="666"/>
    <x v="3"/>
    <x v="1"/>
    <x v="361"/>
    <x v="1"/>
    <n v="0"/>
    <x v="0"/>
    <s v="Elite"/>
  </r>
  <r>
    <x v="667"/>
    <x v="3"/>
    <x v="0"/>
    <x v="25"/>
    <x v="0"/>
    <n v="0"/>
    <x v="0"/>
    <s v="Basic"/>
  </r>
  <r>
    <x v="668"/>
    <x v="0"/>
    <x v="0"/>
    <x v="345"/>
    <x v="0"/>
    <n v="0"/>
    <x v="0"/>
    <s v="Basic"/>
  </r>
  <r>
    <x v="669"/>
    <x v="1"/>
    <x v="0"/>
    <x v="423"/>
    <x v="0"/>
    <n v="0"/>
    <x v="0"/>
    <s v="Basic"/>
  </r>
  <r>
    <x v="670"/>
    <x v="3"/>
    <x v="0"/>
    <x v="424"/>
    <x v="0"/>
    <n v="0"/>
    <x v="0"/>
    <s v="Basic"/>
  </r>
  <r>
    <x v="671"/>
    <x v="2"/>
    <x v="0"/>
    <x v="218"/>
    <x v="0"/>
    <n v="0"/>
    <x v="0"/>
    <s v="Basic"/>
  </r>
  <r>
    <x v="672"/>
    <x v="1"/>
    <x v="0"/>
    <x v="425"/>
    <x v="0"/>
    <n v="0"/>
    <x v="0"/>
    <s v="Basic"/>
  </r>
  <r>
    <x v="673"/>
    <x v="3"/>
    <x v="2"/>
    <x v="307"/>
    <x v="2"/>
    <n v="0"/>
    <x v="0"/>
    <s v="Premium"/>
  </r>
  <r>
    <x v="674"/>
    <x v="1"/>
    <x v="0"/>
    <x v="150"/>
    <x v="0"/>
    <n v="0"/>
    <x v="0"/>
    <s v="Basic"/>
  </r>
  <r>
    <x v="675"/>
    <x v="1"/>
    <x v="0"/>
    <x v="400"/>
    <x v="0"/>
    <n v="0"/>
    <x v="0"/>
    <s v="Basic"/>
  </r>
  <r>
    <x v="676"/>
    <x v="1"/>
    <x v="2"/>
    <x v="74"/>
    <x v="2"/>
    <n v="1"/>
    <x v="1"/>
    <s v="Inactive"/>
  </r>
  <r>
    <x v="677"/>
    <x v="1"/>
    <x v="0"/>
    <x v="259"/>
    <x v="0"/>
    <n v="0"/>
    <x v="0"/>
    <s v="Basic"/>
  </r>
  <r>
    <x v="678"/>
    <x v="1"/>
    <x v="2"/>
    <x v="331"/>
    <x v="2"/>
    <n v="1"/>
    <x v="1"/>
    <s v="Inactive"/>
  </r>
  <r>
    <x v="679"/>
    <x v="3"/>
    <x v="0"/>
    <x v="113"/>
    <x v="0"/>
    <n v="0"/>
    <x v="0"/>
    <s v="Basic"/>
  </r>
  <r>
    <x v="680"/>
    <x v="3"/>
    <x v="2"/>
    <x v="2"/>
    <x v="2"/>
    <n v="0"/>
    <x v="0"/>
    <s v="Premium"/>
  </r>
  <r>
    <x v="681"/>
    <x v="0"/>
    <x v="1"/>
    <x v="324"/>
    <x v="1"/>
    <n v="0"/>
    <x v="0"/>
    <s v="Elite"/>
  </r>
  <r>
    <x v="682"/>
    <x v="2"/>
    <x v="2"/>
    <x v="426"/>
    <x v="2"/>
    <n v="0"/>
    <x v="0"/>
    <s v="Premium"/>
  </r>
  <r>
    <x v="683"/>
    <x v="0"/>
    <x v="2"/>
    <x v="427"/>
    <x v="2"/>
    <n v="0"/>
    <x v="0"/>
    <s v="Premium"/>
  </r>
  <r>
    <x v="684"/>
    <x v="1"/>
    <x v="0"/>
    <x v="117"/>
    <x v="0"/>
    <n v="0"/>
    <x v="0"/>
    <s v="Basic"/>
  </r>
  <r>
    <x v="685"/>
    <x v="0"/>
    <x v="2"/>
    <x v="186"/>
    <x v="2"/>
    <n v="0"/>
    <x v="0"/>
    <s v="Premium"/>
  </r>
  <r>
    <x v="686"/>
    <x v="1"/>
    <x v="0"/>
    <x v="79"/>
    <x v="0"/>
    <n v="0"/>
    <x v="0"/>
    <s v="Basic"/>
  </r>
  <r>
    <x v="687"/>
    <x v="1"/>
    <x v="0"/>
    <x v="428"/>
    <x v="0"/>
    <n v="0"/>
    <x v="0"/>
    <s v="Basic"/>
  </r>
  <r>
    <x v="688"/>
    <x v="2"/>
    <x v="2"/>
    <x v="84"/>
    <x v="2"/>
    <n v="0"/>
    <x v="0"/>
    <s v="Premium"/>
  </r>
  <r>
    <x v="689"/>
    <x v="3"/>
    <x v="0"/>
    <x v="344"/>
    <x v="0"/>
    <n v="0"/>
    <x v="0"/>
    <s v="Basic"/>
  </r>
  <r>
    <x v="690"/>
    <x v="2"/>
    <x v="0"/>
    <x v="429"/>
    <x v="0"/>
    <n v="0"/>
    <x v="0"/>
    <s v="Basic"/>
  </r>
  <r>
    <x v="691"/>
    <x v="1"/>
    <x v="0"/>
    <x v="394"/>
    <x v="0"/>
    <n v="1"/>
    <x v="1"/>
    <s v="Inactive"/>
  </r>
  <r>
    <x v="692"/>
    <x v="0"/>
    <x v="0"/>
    <x v="402"/>
    <x v="0"/>
    <n v="0"/>
    <x v="0"/>
    <s v="Basic"/>
  </r>
  <r>
    <x v="693"/>
    <x v="0"/>
    <x v="2"/>
    <x v="430"/>
    <x v="2"/>
    <n v="1"/>
    <x v="1"/>
    <s v="Inactive"/>
  </r>
  <r>
    <x v="694"/>
    <x v="1"/>
    <x v="0"/>
    <x v="202"/>
    <x v="0"/>
    <n v="0"/>
    <x v="0"/>
    <s v="Basic"/>
  </r>
  <r>
    <x v="695"/>
    <x v="2"/>
    <x v="0"/>
    <x v="431"/>
    <x v="0"/>
    <n v="0"/>
    <x v="0"/>
    <s v="Basic"/>
  </r>
  <r>
    <x v="696"/>
    <x v="3"/>
    <x v="1"/>
    <x v="432"/>
    <x v="1"/>
    <n v="0"/>
    <x v="0"/>
    <s v="Elite"/>
  </r>
  <r>
    <x v="697"/>
    <x v="0"/>
    <x v="0"/>
    <x v="433"/>
    <x v="0"/>
    <n v="0"/>
    <x v="0"/>
    <s v="Basic"/>
  </r>
  <r>
    <x v="698"/>
    <x v="0"/>
    <x v="0"/>
    <x v="107"/>
    <x v="0"/>
    <n v="0"/>
    <x v="0"/>
    <s v="Basic"/>
  </r>
  <r>
    <x v="699"/>
    <x v="3"/>
    <x v="1"/>
    <x v="69"/>
    <x v="1"/>
    <n v="0"/>
    <x v="0"/>
    <s v="Elite"/>
  </r>
  <r>
    <x v="700"/>
    <x v="2"/>
    <x v="2"/>
    <x v="419"/>
    <x v="2"/>
    <n v="0"/>
    <x v="0"/>
    <s v="Premium"/>
  </r>
  <r>
    <x v="701"/>
    <x v="3"/>
    <x v="0"/>
    <x v="288"/>
    <x v="0"/>
    <n v="0"/>
    <x v="0"/>
    <s v="Basic"/>
  </r>
  <r>
    <x v="702"/>
    <x v="1"/>
    <x v="1"/>
    <x v="167"/>
    <x v="1"/>
    <n v="0"/>
    <x v="0"/>
    <s v="Elite"/>
  </r>
  <r>
    <x v="703"/>
    <x v="2"/>
    <x v="0"/>
    <x v="36"/>
    <x v="0"/>
    <n v="0"/>
    <x v="0"/>
    <s v="Basic"/>
  </r>
  <r>
    <x v="704"/>
    <x v="2"/>
    <x v="2"/>
    <x v="434"/>
    <x v="2"/>
    <n v="0"/>
    <x v="0"/>
    <s v="Premium"/>
  </r>
  <r>
    <x v="705"/>
    <x v="2"/>
    <x v="0"/>
    <x v="74"/>
    <x v="0"/>
    <n v="0"/>
    <x v="0"/>
    <s v="Basic"/>
  </r>
  <r>
    <x v="706"/>
    <x v="1"/>
    <x v="0"/>
    <x v="435"/>
    <x v="0"/>
    <n v="0"/>
    <x v="0"/>
    <s v="Basic"/>
  </r>
  <r>
    <x v="707"/>
    <x v="1"/>
    <x v="0"/>
    <x v="154"/>
    <x v="0"/>
    <n v="0"/>
    <x v="0"/>
    <s v="Basic"/>
  </r>
  <r>
    <x v="708"/>
    <x v="1"/>
    <x v="2"/>
    <x v="260"/>
    <x v="2"/>
    <n v="0"/>
    <x v="0"/>
    <s v="Premium"/>
  </r>
  <r>
    <x v="709"/>
    <x v="3"/>
    <x v="1"/>
    <x v="366"/>
    <x v="1"/>
    <n v="0"/>
    <x v="0"/>
    <s v="Elite"/>
  </r>
  <r>
    <x v="710"/>
    <x v="0"/>
    <x v="1"/>
    <x v="436"/>
    <x v="1"/>
    <n v="0"/>
    <x v="0"/>
    <s v="Elite"/>
  </r>
  <r>
    <x v="711"/>
    <x v="0"/>
    <x v="0"/>
    <x v="424"/>
    <x v="0"/>
    <n v="0"/>
    <x v="0"/>
    <s v="Basic"/>
  </r>
  <r>
    <x v="712"/>
    <x v="3"/>
    <x v="2"/>
    <x v="28"/>
    <x v="2"/>
    <n v="0"/>
    <x v="0"/>
    <s v="Premium"/>
  </r>
  <r>
    <x v="713"/>
    <x v="2"/>
    <x v="0"/>
    <x v="60"/>
    <x v="0"/>
    <n v="0"/>
    <x v="0"/>
    <s v="Basic"/>
  </r>
  <r>
    <x v="714"/>
    <x v="2"/>
    <x v="0"/>
    <x v="104"/>
    <x v="0"/>
    <n v="0"/>
    <x v="0"/>
    <s v="Basic"/>
  </r>
  <r>
    <x v="715"/>
    <x v="2"/>
    <x v="0"/>
    <x v="178"/>
    <x v="0"/>
    <n v="0"/>
    <x v="0"/>
    <s v="Basic"/>
  </r>
  <r>
    <x v="716"/>
    <x v="3"/>
    <x v="1"/>
    <x v="437"/>
    <x v="1"/>
    <n v="0"/>
    <x v="0"/>
    <s v="Elite"/>
  </r>
  <r>
    <x v="717"/>
    <x v="1"/>
    <x v="1"/>
    <x v="438"/>
    <x v="1"/>
    <n v="0"/>
    <x v="0"/>
    <s v="Elite"/>
  </r>
  <r>
    <x v="718"/>
    <x v="1"/>
    <x v="1"/>
    <x v="142"/>
    <x v="1"/>
    <n v="0"/>
    <x v="0"/>
    <s v="Elite"/>
  </r>
  <r>
    <x v="719"/>
    <x v="2"/>
    <x v="2"/>
    <x v="299"/>
    <x v="2"/>
    <n v="1"/>
    <x v="1"/>
    <s v="Inactive"/>
  </r>
  <r>
    <x v="720"/>
    <x v="1"/>
    <x v="0"/>
    <x v="318"/>
    <x v="0"/>
    <n v="0"/>
    <x v="0"/>
    <s v="Basic"/>
  </r>
  <r>
    <x v="721"/>
    <x v="2"/>
    <x v="0"/>
    <x v="439"/>
    <x v="0"/>
    <n v="0"/>
    <x v="0"/>
    <s v="Basic"/>
  </r>
  <r>
    <x v="722"/>
    <x v="1"/>
    <x v="2"/>
    <x v="108"/>
    <x v="2"/>
    <n v="0"/>
    <x v="0"/>
    <s v="Premium"/>
  </r>
  <r>
    <x v="723"/>
    <x v="3"/>
    <x v="1"/>
    <x v="62"/>
    <x v="1"/>
    <n v="0"/>
    <x v="0"/>
    <s v="Elite"/>
  </r>
  <r>
    <x v="724"/>
    <x v="1"/>
    <x v="2"/>
    <x v="290"/>
    <x v="2"/>
    <n v="0"/>
    <x v="0"/>
    <s v="Premium"/>
  </r>
  <r>
    <x v="725"/>
    <x v="0"/>
    <x v="0"/>
    <x v="341"/>
    <x v="0"/>
    <n v="0"/>
    <x v="0"/>
    <s v="Basic"/>
  </r>
  <r>
    <x v="726"/>
    <x v="3"/>
    <x v="2"/>
    <x v="378"/>
    <x v="2"/>
    <n v="1"/>
    <x v="1"/>
    <s v="Inactive"/>
  </r>
  <r>
    <x v="727"/>
    <x v="3"/>
    <x v="0"/>
    <x v="65"/>
    <x v="0"/>
    <n v="0"/>
    <x v="0"/>
    <s v="Basic"/>
  </r>
  <r>
    <x v="728"/>
    <x v="3"/>
    <x v="2"/>
    <x v="11"/>
    <x v="2"/>
    <n v="0"/>
    <x v="0"/>
    <s v="Premium"/>
  </r>
  <r>
    <x v="729"/>
    <x v="2"/>
    <x v="1"/>
    <x v="418"/>
    <x v="1"/>
    <n v="0"/>
    <x v="0"/>
    <s v="Elite"/>
  </r>
  <r>
    <x v="730"/>
    <x v="3"/>
    <x v="0"/>
    <x v="299"/>
    <x v="0"/>
    <n v="0"/>
    <x v="0"/>
    <s v="Basic"/>
  </r>
  <r>
    <x v="731"/>
    <x v="0"/>
    <x v="2"/>
    <x v="379"/>
    <x v="2"/>
    <n v="0"/>
    <x v="0"/>
    <s v="Premium"/>
  </r>
  <r>
    <x v="732"/>
    <x v="0"/>
    <x v="2"/>
    <x v="269"/>
    <x v="2"/>
    <n v="0"/>
    <x v="0"/>
    <s v="Premium"/>
  </r>
  <r>
    <x v="733"/>
    <x v="0"/>
    <x v="0"/>
    <x v="440"/>
    <x v="0"/>
    <n v="0"/>
    <x v="0"/>
    <s v="Basic"/>
  </r>
  <r>
    <x v="734"/>
    <x v="1"/>
    <x v="0"/>
    <x v="56"/>
    <x v="0"/>
    <n v="0"/>
    <x v="0"/>
    <s v="Basic"/>
  </r>
  <r>
    <x v="735"/>
    <x v="3"/>
    <x v="2"/>
    <x v="441"/>
    <x v="2"/>
    <n v="0"/>
    <x v="0"/>
    <s v="Premium"/>
  </r>
  <r>
    <x v="736"/>
    <x v="1"/>
    <x v="0"/>
    <x v="430"/>
    <x v="0"/>
    <n v="0"/>
    <x v="0"/>
    <s v="Basic"/>
  </r>
  <r>
    <x v="737"/>
    <x v="2"/>
    <x v="0"/>
    <x v="228"/>
    <x v="0"/>
    <n v="0"/>
    <x v="0"/>
    <s v="Basic"/>
  </r>
  <r>
    <x v="738"/>
    <x v="2"/>
    <x v="2"/>
    <x v="135"/>
    <x v="2"/>
    <n v="0"/>
    <x v="0"/>
    <s v="Premium"/>
  </r>
  <r>
    <x v="739"/>
    <x v="0"/>
    <x v="0"/>
    <x v="223"/>
    <x v="0"/>
    <n v="0"/>
    <x v="0"/>
    <s v="Basic"/>
  </r>
  <r>
    <x v="740"/>
    <x v="0"/>
    <x v="2"/>
    <x v="442"/>
    <x v="2"/>
    <n v="0"/>
    <x v="0"/>
    <s v="Premium"/>
  </r>
  <r>
    <x v="741"/>
    <x v="3"/>
    <x v="1"/>
    <x v="16"/>
    <x v="1"/>
    <n v="0"/>
    <x v="0"/>
    <s v="Elite"/>
  </r>
  <r>
    <x v="742"/>
    <x v="3"/>
    <x v="0"/>
    <x v="443"/>
    <x v="0"/>
    <n v="0"/>
    <x v="0"/>
    <s v="Basic"/>
  </r>
  <r>
    <x v="743"/>
    <x v="0"/>
    <x v="0"/>
    <x v="10"/>
    <x v="0"/>
    <n v="0"/>
    <x v="0"/>
    <s v="Basic"/>
  </r>
  <r>
    <x v="744"/>
    <x v="0"/>
    <x v="0"/>
    <x v="7"/>
    <x v="0"/>
    <n v="0"/>
    <x v="0"/>
    <s v="Basic"/>
  </r>
  <r>
    <x v="745"/>
    <x v="3"/>
    <x v="0"/>
    <x v="421"/>
    <x v="0"/>
    <n v="0"/>
    <x v="0"/>
    <s v="Basic"/>
  </r>
  <r>
    <x v="746"/>
    <x v="1"/>
    <x v="0"/>
    <x v="411"/>
    <x v="0"/>
    <n v="1"/>
    <x v="1"/>
    <s v="Inactive"/>
  </r>
  <r>
    <x v="747"/>
    <x v="2"/>
    <x v="0"/>
    <x v="95"/>
    <x v="0"/>
    <n v="0"/>
    <x v="0"/>
    <s v="Basic"/>
  </r>
  <r>
    <x v="748"/>
    <x v="0"/>
    <x v="2"/>
    <x v="177"/>
    <x v="2"/>
    <n v="0"/>
    <x v="0"/>
    <s v="Premium"/>
  </r>
  <r>
    <x v="749"/>
    <x v="3"/>
    <x v="2"/>
    <x v="429"/>
    <x v="2"/>
    <n v="0"/>
    <x v="0"/>
    <s v="Premium"/>
  </r>
  <r>
    <x v="750"/>
    <x v="1"/>
    <x v="0"/>
    <x v="359"/>
    <x v="0"/>
    <n v="0"/>
    <x v="0"/>
    <s v="Basic"/>
  </r>
  <r>
    <x v="751"/>
    <x v="1"/>
    <x v="2"/>
    <x v="280"/>
    <x v="2"/>
    <n v="0"/>
    <x v="0"/>
    <s v="Premium"/>
  </r>
  <r>
    <x v="752"/>
    <x v="3"/>
    <x v="2"/>
    <x v="66"/>
    <x v="2"/>
    <n v="1"/>
    <x v="1"/>
    <s v="Inactive"/>
  </r>
  <r>
    <x v="753"/>
    <x v="1"/>
    <x v="2"/>
    <x v="444"/>
    <x v="2"/>
    <n v="0"/>
    <x v="0"/>
    <s v="Premium"/>
  </r>
  <r>
    <x v="754"/>
    <x v="1"/>
    <x v="2"/>
    <x v="445"/>
    <x v="2"/>
    <n v="0"/>
    <x v="0"/>
    <s v="Premium"/>
  </r>
  <r>
    <x v="755"/>
    <x v="1"/>
    <x v="0"/>
    <x v="216"/>
    <x v="0"/>
    <n v="0"/>
    <x v="0"/>
    <s v="Basic"/>
  </r>
  <r>
    <x v="756"/>
    <x v="3"/>
    <x v="0"/>
    <x v="358"/>
    <x v="0"/>
    <n v="0"/>
    <x v="0"/>
    <s v="Basic"/>
  </r>
  <r>
    <x v="757"/>
    <x v="1"/>
    <x v="0"/>
    <x v="396"/>
    <x v="0"/>
    <n v="0"/>
    <x v="0"/>
    <s v="Basic"/>
  </r>
  <r>
    <x v="758"/>
    <x v="0"/>
    <x v="2"/>
    <x v="140"/>
    <x v="2"/>
    <n v="0"/>
    <x v="0"/>
    <s v="Premium"/>
  </r>
  <r>
    <x v="759"/>
    <x v="0"/>
    <x v="0"/>
    <x v="161"/>
    <x v="0"/>
    <n v="0"/>
    <x v="0"/>
    <s v="Basic"/>
  </r>
  <r>
    <x v="760"/>
    <x v="0"/>
    <x v="0"/>
    <x v="446"/>
    <x v="0"/>
    <n v="0"/>
    <x v="0"/>
    <s v="Basic"/>
  </r>
  <r>
    <x v="761"/>
    <x v="2"/>
    <x v="1"/>
    <x v="377"/>
    <x v="1"/>
    <n v="0"/>
    <x v="0"/>
    <s v="Elite"/>
  </r>
  <r>
    <x v="762"/>
    <x v="1"/>
    <x v="0"/>
    <x v="447"/>
    <x v="0"/>
    <n v="0"/>
    <x v="0"/>
    <s v="Basic"/>
  </r>
  <r>
    <x v="763"/>
    <x v="1"/>
    <x v="1"/>
    <x v="16"/>
    <x v="1"/>
    <n v="0"/>
    <x v="0"/>
    <s v="Elite"/>
  </r>
  <r>
    <x v="764"/>
    <x v="2"/>
    <x v="0"/>
    <x v="425"/>
    <x v="0"/>
    <n v="0"/>
    <x v="0"/>
    <s v="Basic"/>
  </r>
  <r>
    <x v="765"/>
    <x v="2"/>
    <x v="2"/>
    <x v="221"/>
    <x v="2"/>
    <n v="0"/>
    <x v="0"/>
    <s v="Premium"/>
  </r>
  <r>
    <x v="766"/>
    <x v="0"/>
    <x v="2"/>
    <x v="356"/>
    <x v="2"/>
    <n v="0"/>
    <x v="0"/>
    <s v="Premium"/>
  </r>
  <r>
    <x v="767"/>
    <x v="3"/>
    <x v="0"/>
    <x v="338"/>
    <x v="0"/>
    <n v="0"/>
    <x v="0"/>
    <s v="Basic"/>
  </r>
  <r>
    <x v="768"/>
    <x v="3"/>
    <x v="2"/>
    <x v="448"/>
    <x v="2"/>
    <n v="0"/>
    <x v="0"/>
    <s v="Premium"/>
  </r>
  <r>
    <x v="769"/>
    <x v="3"/>
    <x v="1"/>
    <x v="71"/>
    <x v="1"/>
    <n v="0"/>
    <x v="0"/>
    <s v="Elite"/>
  </r>
  <r>
    <x v="770"/>
    <x v="3"/>
    <x v="1"/>
    <x v="32"/>
    <x v="1"/>
    <n v="0"/>
    <x v="0"/>
    <s v="Elite"/>
  </r>
  <r>
    <x v="771"/>
    <x v="1"/>
    <x v="1"/>
    <x v="353"/>
    <x v="1"/>
    <n v="0"/>
    <x v="0"/>
    <s v="Elite"/>
  </r>
  <r>
    <x v="772"/>
    <x v="3"/>
    <x v="0"/>
    <x v="449"/>
    <x v="0"/>
    <n v="0"/>
    <x v="0"/>
    <s v="Basic"/>
  </r>
  <r>
    <x v="773"/>
    <x v="1"/>
    <x v="2"/>
    <x v="450"/>
    <x v="2"/>
    <n v="0"/>
    <x v="0"/>
    <s v="Premium"/>
  </r>
  <r>
    <x v="774"/>
    <x v="2"/>
    <x v="0"/>
    <x v="451"/>
    <x v="0"/>
    <n v="0"/>
    <x v="0"/>
    <s v="Basic"/>
  </r>
  <r>
    <x v="775"/>
    <x v="1"/>
    <x v="0"/>
    <x v="281"/>
    <x v="0"/>
    <n v="0"/>
    <x v="0"/>
    <s v="Basic"/>
  </r>
  <r>
    <x v="776"/>
    <x v="0"/>
    <x v="2"/>
    <x v="452"/>
    <x v="2"/>
    <n v="0"/>
    <x v="0"/>
    <s v="Premium"/>
  </r>
  <r>
    <x v="777"/>
    <x v="0"/>
    <x v="0"/>
    <x v="64"/>
    <x v="0"/>
    <n v="0"/>
    <x v="0"/>
    <s v="Basic"/>
  </r>
  <r>
    <x v="778"/>
    <x v="2"/>
    <x v="1"/>
    <x v="453"/>
    <x v="1"/>
    <n v="1"/>
    <x v="1"/>
    <s v="Inactive"/>
  </r>
  <r>
    <x v="779"/>
    <x v="0"/>
    <x v="1"/>
    <x v="382"/>
    <x v="1"/>
    <n v="0"/>
    <x v="0"/>
    <s v="Elite"/>
  </r>
  <r>
    <x v="780"/>
    <x v="2"/>
    <x v="1"/>
    <x v="454"/>
    <x v="1"/>
    <n v="0"/>
    <x v="0"/>
    <s v="Elite"/>
  </r>
  <r>
    <x v="781"/>
    <x v="2"/>
    <x v="2"/>
    <x v="454"/>
    <x v="2"/>
    <n v="1"/>
    <x v="1"/>
    <s v="Inactive"/>
  </r>
  <r>
    <x v="782"/>
    <x v="3"/>
    <x v="0"/>
    <x v="455"/>
    <x v="0"/>
    <n v="0"/>
    <x v="0"/>
    <s v="Basic"/>
  </r>
  <r>
    <x v="783"/>
    <x v="1"/>
    <x v="2"/>
    <x v="353"/>
    <x v="2"/>
    <n v="1"/>
    <x v="1"/>
    <s v="Inactive"/>
  </r>
  <r>
    <x v="784"/>
    <x v="2"/>
    <x v="0"/>
    <x v="456"/>
    <x v="0"/>
    <n v="0"/>
    <x v="0"/>
    <s v="Basic"/>
  </r>
  <r>
    <x v="785"/>
    <x v="1"/>
    <x v="1"/>
    <x v="3"/>
    <x v="1"/>
    <n v="0"/>
    <x v="0"/>
    <s v="Elite"/>
  </r>
  <r>
    <x v="786"/>
    <x v="1"/>
    <x v="1"/>
    <x v="291"/>
    <x v="1"/>
    <n v="0"/>
    <x v="0"/>
    <s v="Elite"/>
  </r>
  <r>
    <x v="787"/>
    <x v="2"/>
    <x v="0"/>
    <x v="51"/>
    <x v="0"/>
    <n v="0"/>
    <x v="0"/>
    <s v="Basic"/>
  </r>
  <r>
    <x v="788"/>
    <x v="3"/>
    <x v="1"/>
    <x v="28"/>
    <x v="1"/>
    <n v="0"/>
    <x v="0"/>
    <s v="Elite"/>
  </r>
  <r>
    <x v="789"/>
    <x v="1"/>
    <x v="0"/>
    <x v="414"/>
    <x v="0"/>
    <n v="0"/>
    <x v="0"/>
    <s v="Basic"/>
  </r>
  <r>
    <x v="790"/>
    <x v="0"/>
    <x v="2"/>
    <x v="281"/>
    <x v="2"/>
    <n v="0"/>
    <x v="0"/>
    <s v="Premium"/>
  </r>
  <r>
    <x v="791"/>
    <x v="3"/>
    <x v="0"/>
    <x v="31"/>
    <x v="0"/>
    <n v="0"/>
    <x v="0"/>
    <s v="Basic"/>
  </r>
  <r>
    <x v="792"/>
    <x v="2"/>
    <x v="1"/>
    <x v="401"/>
    <x v="1"/>
    <n v="0"/>
    <x v="0"/>
    <s v="Elite"/>
  </r>
  <r>
    <x v="793"/>
    <x v="1"/>
    <x v="0"/>
    <x v="179"/>
    <x v="0"/>
    <n v="0"/>
    <x v="0"/>
    <s v="Basic"/>
  </r>
  <r>
    <x v="794"/>
    <x v="3"/>
    <x v="0"/>
    <x v="265"/>
    <x v="0"/>
    <n v="0"/>
    <x v="0"/>
    <s v="Basic"/>
  </r>
  <r>
    <x v="795"/>
    <x v="1"/>
    <x v="2"/>
    <x v="457"/>
    <x v="2"/>
    <n v="1"/>
    <x v="1"/>
    <s v="Inactive"/>
  </r>
  <r>
    <x v="796"/>
    <x v="3"/>
    <x v="0"/>
    <x v="255"/>
    <x v="0"/>
    <n v="0"/>
    <x v="0"/>
    <s v="Basic"/>
  </r>
  <r>
    <x v="797"/>
    <x v="1"/>
    <x v="0"/>
    <x v="458"/>
    <x v="0"/>
    <n v="0"/>
    <x v="0"/>
    <s v="Basic"/>
  </r>
  <r>
    <x v="798"/>
    <x v="0"/>
    <x v="0"/>
    <x v="459"/>
    <x v="0"/>
    <n v="1"/>
    <x v="1"/>
    <s v="Inactive"/>
  </r>
  <r>
    <x v="799"/>
    <x v="1"/>
    <x v="0"/>
    <x v="353"/>
    <x v="0"/>
    <n v="1"/>
    <x v="1"/>
    <s v="Inactive"/>
  </r>
  <r>
    <x v="800"/>
    <x v="0"/>
    <x v="2"/>
    <x v="218"/>
    <x v="2"/>
    <n v="0"/>
    <x v="0"/>
    <s v="Premium"/>
  </r>
  <r>
    <x v="801"/>
    <x v="0"/>
    <x v="0"/>
    <x v="214"/>
    <x v="0"/>
    <n v="0"/>
    <x v="0"/>
    <s v="Basic"/>
  </r>
  <r>
    <x v="802"/>
    <x v="1"/>
    <x v="0"/>
    <x v="185"/>
    <x v="0"/>
    <n v="0"/>
    <x v="0"/>
    <s v="Basic"/>
  </r>
  <r>
    <x v="803"/>
    <x v="3"/>
    <x v="1"/>
    <x v="434"/>
    <x v="1"/>
    <n v="0"/>
    <x v="0"/>
    <s v="Elite"/>
  </r>
  <r>
    <x v="804"/>
    <x v="3"/>
    <x v="0"/>
    <x v="395"/>
    <x v="0"/>
    <n v="0"/>
    <x v="0"/>
    <s v="Basic"/>
  </r>
  <r>
    <x v="805"/>
    <x v="1"/>
    <x v="0"/>
    <x v="226"/>
    <x v="0"/>
    <n v="1"/>
    <x v="1"/>
    <s v="Inactive"/>
  </r>
  <r>
    <x v="806"/>
    <x v="3"/>
    <x v="0"/>
    <x v="453"/>
    <x v="0"/>
    <n v="0"/>
    <x v="0"/>
    <s v="Basic"/>
  </r>
  <r>
    <x v="807"/>
    <x v="1"/>
    <x v="0"/>
    <x v="33"/>
    <x v="0"/>
    <n v="0"/>
    <x v="0"/>
    <s v="Basic"/>
  </r>
  <r>
    <x v="808"/>
    <x v="1"/>
    <x v="2"/>
    <x v="333"/>
    <x v="2"/>
    <n v="0"/>
    <x v="0"/>
    <s v="Premium"/>
  </r>
  <r>
    <x v="809"/>
    <x v="3"/>
    <x v="0"/>
    <x v="180"/>
    <x v="0"/>
    <n v="1"/>
    <x v="1"/>
    <s v="Inactive"/>
  </r>
  <r>
    <x v="810"/>
    <x v="1"/>
    <x v="0"/>
    <x v="460"/>
    <x v="0"/>
    <n v="0"/>
    <x v="0"/>
    <s v="Basic"/>
  </r>
  <r>
    <x v="811"/>
    <x v="0"/>
    <x v="0"/>
    <x v="461"/>
    <x v="0"/>
    <n v="0"/>
    <x v="0"/>
    <s v="Basic"/>
  </r>
  <r>
    <x v="812"/>
    <x v="3"/>
    <x v="2"/>
    <x v="111"/>
    <x v="2"/>
    <n v="0"/>
    <x v="0"/>
    <s v="Premium"/>
  </r>
  <r>
    <x v="813"/>
    <x v="2"/>
    <x v="0"/>
    <x v="462"/>
    <x v="0"/>
    <n v="0"/>
    <x v="0"/>
    <s v="Basic"/>
  </r>
  <r>
    <x v="814"/>
    <x v="2"/>
    <x v="2"/>
    <x v="463"/>
    <x v="2"/>
    <n v="0"/>
    <x v="0"/>
    <s v="Premium"/>
  </r>
  <r>
    <x v="815"/>
    <x v="2"/>
    <x v="2"/>
    <x v="38"/>
    <x v="2"/>
    <n v="0"/>
    <x v="0"/>
    <s v="Premium"/>
  </r>
  <r>
    <x v="816"/>
    <x v="0"/>
    <x v="0"/>
    <x v="49"/>
    <x v="0"/>
    <n v="0"/>
    <x v="0"/>
    <s v="Basic"/>
  </r>
  <r>
    <x v="817"/>
    <x v="1"/>
    <x v="2"/>
    <x v="350"/>
    <x v="2"/>
    <n v="0"/>
    <x v="0"/>
    <s v="Premium"/>
  </r>
  <r>
    <x v="818"/>
    <x v="1"/>
    <x v="0"/>
    <x v="27"/>
    <x v="0"/>
    <n v="0"/>
    <x v="0"/>
    <s v="Basic"/>
  </r>
  <r>
    <x v="819"/>
    <x v="3"/>
    <x v="2"/>
    <x v="164"/>
    <x v="2"/>
    <n v="0"/>
    <x v="0"/>
    <s v="Premium"/>
  </r>
  <r>
    <x v="820"/>
    <x v="1"/>
    <x v="1"/>
    <x v="464"/>
    <x v="1"/>
    <n v="0"/>
    <x v="0"/>
    <s v="Elite"/>
  </r>
  <r>
    <x v="821"/>
    <x v="2"/>
    <x v="0"/>
    <x v="180"/>
    <x v="0"/>
    <n v="0"/>
    <x v="0"/>
    <s v="Basic"/>
  </r>
  <r>
    <x v="822"/>
    <x v="3"/>
    <x v="1"/>
    <x v="337"/>
    <x v="1"/>
    <n v="0"/>
    <x v="0"/>
    <s v="Elite"/>
  </r>
  <r>
    <x v="823"/>
    <x v="1"/>
    <x v="2"/>
    <x v="406"/>
    <x v="2"/>
    <n v="0"/>
    <x v="0"/>
    <s v="Premium"/>
  </r>
  <r>
    <x v="824"/>
    <x v="1"/>
    <x v="1"/>
    <x v="370"/>
    <x v="1"/>
    <n v="0"/>
    <x v="0"/>
    <s v="Elite"/>
  </r>
  <r>
    <x v="825"/>
    <x v="0"/>
    <x v="1"/>
    <x v="465"/>
    <x v="1"/>
    <n v="0"/>
    <x v="0"/>
    <s v="Elite"/>
  </r>
  <r>
    <x v="826"/>
    <x v="1"/>
    <x v="2"/>
    <x v="428"/>
    <x v="2"/>
    <n v="0"/>
    <x v="0"/>
    <s v="Premium"/>
  </r>
  <r>
    <x v="827"/>
    <x v="1"/>
    <x v="2"/>
    <x v="403"/>
    <x v="2"/>
    <n v="1"/>
    <x v="1"/>
    <s v="Inactive"/>
  </r>
  <r>
    <x v="828"/>
    <x v="1"/>
    <x v="0"/>
    <x v="307"/>
    <x v="0"/>
    <n v="1"/>
    <x v="1"/>
    <s v="Inactive"/>
  </r>
  <r>
    <x v="829"/>
    <x v="1"/>
    <x v="1"/>
    <x v="296"/>
    <x v="1"/>
    <n v="0"/>
    <x v="0"/>
    <s v="Elite"/>
  </r>
  <r>
    <x v="830"/>
    <x v="1"/>
    <x v="2"/>
    <x v="261"/>
    <x v="2"/>
    <n v="0"/>
    <x v="0"/>
    <s v="Premium"/>
  </r>
  <r>
    <x v="831"/>
    <x v="3"/>
    <x v="2"/>
    <x v="466"/>
    <x v="2"/>
    <n v="0"/>
    <x v="0"/>
    <s v="Premium"/>
  </r>
  <r>
    <x v="832"/>
    <x v="1"/>
    <x v="2"/>
    <x v="321"/>
    <x v="2"/>
    <n v="0"/>
    <x v="0"/>
    <s v="Premium"/>
  </r>
  <r>
    <x v="833"/>
    <x v="3"/>
    <x v="0"/>
    <x v="290"/>
    <x v="0"/>
    <n v="0"/>
    <x v="0"/>
    <s v="Basic"/>
  </r>
  <r>
    <x v="834"/>
    <x v="3"/>
    <x v="1"/>
    <x v="154"/>
    <x v="1"/>
    <n v="0"/>
    <x v="0"/>
    <s v="Elite"/>
  </r>
  <r>
    <x v="835"/>
    <x v="2"/>
    <x v="2"/>
    <x v="308"/>
    <x v="2"/>
    <n v="0"/>
    <x v="0"/>
    <s v="Premium"/>
  </r>
  <r>
    <x v="836"/>
    <x v="1"/>
    <x v="0"/>
    <x v="299"/>
    <x v="0"/>
    <n v="0"/>
    <x v="0"/>
    <s v="Basic"/>
  </r>
  <r>
    <x v="837"/>
    <x v="2"/>
    <x v="0"/>
    <x v="438"/>
    <x v="0"/>
    <n v="0"/>
    <x v="0"/>
    <s v="Basic"/>
  </r>
  <r>
    <x v="838"/>
    <x v="0"/>
    <x v="0"/>
    <x v="467"/>
    <x v="0"/>
    <n v="0"/>
    <x v="0"/>
    <s v="Basic"/>
  </r>
  <r>
    <x v="839"/>
    <x v="1"/>
    <x v="2"/>
    <x v="468"/>
    <x v="2"/>
    <n v="0"/>
    <x v="0"/>
    <s v="Premium"/>
  </r>
  <r>
    <x v="840"/>
    <x v="2"/>
    <x v="1"/>
    <x v="276"/>
    <x v="1"/>
    <n v="0"/>
    <x v="0"/>
    <s v="Elite"/>
  </r>
  <r>
    <x v="841"/>
    <x v="0"/>
    <x v="0"/>
    <x v="469"/>
    <x v="0"/>
    <n v="0"/>
    <x v="0"/>
    <s v="Basic"/>
  </r>
  <r>
    <x v="842"/>
    <x v="1"/>
    <x v="0"/>
    <x v="326"/>
    <x v="0"/>
    <n v="1"/>
    <x v="1"/>
    <s v="Inactive"/>
  </r>
  <r>
    <x v="843"/>
    <x v="3"/>
    <x v="1"/>
    <x v="156"/>
    <x v="1"/>
    <n v="1"/>
    <x v="1"/>
    <s v="Inactive"/>
  </r>
  <r>
    <x v="844"/>
    <x v="3"/>
    <x v="0"/>
    <x v="61"/>
    <x v="0"/>
    <n v="0"/>
    <x v="0"/>
    <s v="Basic"/>
  </r>
  <r>
    <x v="845"/>
    <x v="1"/>
    <x v="2"/>
    <x v="225"/>
    <x v="2"/>
    <n v="0"/>
    <x v="0"/>
    <s v="Premium"/>
  </r>
  <r>
    <x v="846"/>
    <x v="1"/>
    <x v="2"/>
    <x v="317"/>
    <x v="2"/>
    <n v="0"/>
    <x v="0"/>
    <s v="Premium"/>
  </r>
  <r>
    <x v="847"/>
    <x v="3"/>
    <x v="1"/>
    <x v="470"/>
    <x v="1"/>
    <n v="0"/>
    <x v="0"/>
    <s v="Elite"/>
  </r>
  <r>
    <x v="848"/>
    <x v="0"/>
    <x v="0"/>
    <x v="458"/>
    <x v="0"/>
    <n v="0"/>
    <x v="0"/>
    <s v="Basic"/>
  </r>
  <r>
    <x v="849"/>
    <x v="1"/>
    <x v="1"/>
    <x v="461"/>
    <x v="1"/>
    <n v="0"/>
    <x v="0"/>
    <s v="Elite"/>
  </r>
  <r>
    <x v="850"/>
    <x v="3"/>
    <x v="0"/>
    <x v="320"/>
    <x v="0"/>
    <n v="0"/>
    <x v="0"/>
    <s v="Basic"/>
  </r>
  <r>
    <x v="851"/>
    <x v="2"/>
    <x v="0"/>
    <x v="370"/>
    <x v="0"/>
    <n v="0"/>
    <x v="0"/>
    <s v="Basic"/>
  </r>
  <r>
    <x v="852"/>
    <x v="1"/>
    <x v="0"/>
    <x v="471"/>
    <x v="0"/>
    <n v="0"/>
    <x v="0"/>
    <s v="Basic"/>
  </r>
  <r>
    <x v="853"/>
    <x v="3"/>
    <x v="0"/>
    <x v="326"/>
    <x v="0"/>
    <n v="0"/>
    <x v="0"/>
    <s v="Basic"/>
  </r>
  <r>
    <x v="854"/>
    <x v="2"/>
    <x v="1"/>
    <x v="375"/>
    <x v="1"/>
    <n v="0"/>
    <x v="0"/>
    <s v="Elite"/>
  </r>
  <r>
    <x v="855"/>
    <x v="1"/>
    <x v="0"/>
    <x v="93"/>
    <x v="0"/>
    <n v="0"/>
    <x v="0"/>
    <s v="Basic"/>
  </r>
  <r>
    <x v="856"/>
    <x v="3"/>
    <x v="0"/>
    <x v="472"/>
    <x v="0"/>
    <n v="0"/>
    <x v="0"/>
    <s v="Basic"/>
  </r>
  <r>
    <x v="857"/>
    <x v="0"/>
    <x v="0"/>
    <x v="473"/>
    <x v="0"/>
    <n v="0"/>
    <x v="0"/>
    <s v="Basic"/>
  </r>
  <r>
    <x v="858"/>
    <x v="3"/>
    <x v="1"/>
    <x v="364"/>
    <x v="1"/>
    <n v="0"/>
    <x v="0"/>
    <s v="Elite"/>
  </r>
  <r>
    <x v="859"/>
    <x v="0"/>
    <x v="1"/>
    <x v="474"/>
    <x v="1"/>
    <n v="0"/>
    <x v="0"/>
    <s v="Elite"/>
  </r>
  <r>
    <x v="860"/>
    <x v="0"/>
    <x v="1"/>
    <x v="475"/>
    <x v="1"/>
    <n v="0"/>
    <x v="0"/>
    <s v="Elite"/>
  </r>
  <r>
    <x v="861"/>
    <x v="2"/>
    <x v="0"/>
    <x v="61"/>
    <x v="0"/>
    <n v="0"/>
    <x v="0"/>
    <s v="Basic"/>
  </r>
  <r>
    <x v="862"/>
    <x v="1"/>
    <x v="0"/>
    <x v="476"/>
    <x v="0"/>
    <n v="0"/>
    <x v="0"/>
    <s v="Basic"/>
  </r>
  <r>
    <x v="863"/>
    <x v="1"/>
    <x v="0"/>
    <x v="214"/>
    <x v="0"/>
    <n v="0"/>
    <x v="0"/>
    <s v="Basic"/>
  </r>
  <r>
    <x v="864"/>
    <x v="1"/>
    <x v="0"/>
    <x v="118"/>
    <x v="0"/>
    <n v="0"/>
    <x v="0"/>
    <s v="Basic"/>
  </r>
  <r>
    <x v="865"/>
    <x v="0"/>
    <x v="2"/>
    <x v="243"/>
    <x v="2"/>
    <n v="0"/>
    <x v="0"/>
    <s v="Premium"/>
  </r>
  <r>
    <x v="866"/>
    <x v="1"/>
    <x v="2"/>
    <x v="418"/>
    <x v="2"/>
    <n v="0"/>
    <x v="0"/>
    <s v="Premium"/>
  </r>
  <r>
    <x v="867"/>
    <x v="1"/>
    <x v="2"/>
    <x v="242"/>
    <x v="2"/>
    <n v="0"/>
    <x v="0"/>
    <s v="Premium"/>
  </r>
  <r>
    <x v="868"/>
    <x v="3"/>
    <x v="2"/>
    <x v="167"/>
    <x v="2"/>
    <n v="0"/>
    <x v="0"/>
    <s v="Premium"/>
  </r>
  <r>
    <x v="869"/>
    <x v="1"/>
    <x v="0"/>
    <x v="266"/>
    <x v="0"/>
    <n v="0"/>
    <x v="0"/>
    <s v="Basic"/>
  </r>
  <r>
    <x v="870"/>
    <x v="0"/>
    <x v="1"/>
    <x v="22"/>
    <x v="1"/>
    <n v="0"/>
    <x v="0"/>
    <s v="Elite"/>
  </r>
  <r>
    <x v="871"/>
    <x v="0"/>
    <x v="0"/>
    <x v="477"/>
    <x v="0"/>
    <n v="0"/>
    <x v="0"/>
    <s v="Basic"/>
  </r>
  <r>
    <x v="872"/>
    <x v="1"/>
    <x v="0"/>
    <x v="478"/>
    <x v="0"/>
    <n v="0"/>
    <x v="0"/>
    <s v="Basic"/>
  </r>
  <r>
    <x v="873"/>
    <x v="0"/>
    <x v="2"/>
    <x v="346"/>
    <x v="2"/>
    <n v="0"/>
    <x v="0"/>
    <s v="Premium"/>
  </r>
  <r>
    <x v="874"/>
    <x v="3"/>
    <x v="2"/>
    <x v="212"/>
    <x v="2"/>
    <n v="1"/>
    <x v="1"/>
    <s v="Inactive"/>
  </r>
  <r>
    <x v="875"/>
    <x v="2"/>
    <x v="0"/>
    <x v="479"/>
    <x v="0"/>
    <n v="0"/>
    <x v="0"/>
    <s v="Basic"/>
  </r>
  <r>
    <x v="876"/>
    <x v="1"/>
    <x v="1"/>
    <x v="87"/>
    <x v="1"/>
    <n v="0"/>
    <x v="0"/>
    <s v="Elite"/>
  </r>
  <r>
    <x v="877"/>
    <x v="3"/>
    <x v="0"/>
    <x v="98"/>
    <x v="0"/>
    <n v="0"/>
    <x v="0"/>
    <s v="Basic"/>
  </r>
  <r>
    <x v="878"/>
    <x v="0"/>
    <x v="1"/>
    <x v="480"/>
    <x v="1"/>
    <n v="0"/>
    <x v="0"/>
    <s v="Elite"/>
  </r>
  <r>
    <x v="879"/>
    <x v="3"/>
    <x v="1"/>
    <x v="389"/>
    <x v="1"/>
    <n v="0"/>
    <x v="0"/>
    <s v="Elite"/>
  </r>
  <r>
    <x v="880"/>
    <x v="0"/>
    <x v="2"/>
    <x v="77"/>
    <x v="2"/>
    <n v="0"/>
    <x v="0"/>
    <s v="Premium"/>
  </r>
  <r>
    <x v="881"/>
    <x v="2"/>
    <x v="1"/>
    <x v="481"/>
    <x v="1"/>
    <n v="0"/>
    <x v="0"/>
    <s v="Elite"/>
  </r>
  <r>
    <x v="882"/>
    <x v="2"/>
    <x v="2"/>
    <x v="393"/>
    <x v="2"/>
    <n v="0"/>
    <x v="0"/>
    <s v="Premium"/>
  </r>
  <r>
    <x v="883"/>
    <x v="2"/>
    <x v="0"/>
    <x v="482"/>
    <x v="0"/>
    <n v="1"/>
    <x v="1"/>
    <s v="Inactive"/>
  </r>
  <r>
    <x v="884"/>
    <x v="0"/>
    <x v="2"/>
    <x v="470"/>
    <x v="2"/>
    <n v="0"/>
    <x v="0"/>
    <s v="Premium"/>
  </r>
  <r>
    <x v="885"/>
    <x v="1"/>
    <x v="0"/>
    <x v="322"/>
    <x v="0"/>
    <n v="0"/>
    <x v="0"/>
    <s v="Basic"/>
  </r>
  <r>
    <x v="886"/>
    <x v="1"/>
    <x v="1"/>
    <x v="114"/>
    <x v="1"/>
    <n v="0"/>
    <x v="0"/>
    <s v="Elite"/>
  </r>
  <r>
    <x v="887"/>
    <x v="1"/>
    <x v="2"/>
    <x v="359"/>
    <x v="2"/>
    <n v="1"/>
    <x v="1"/>
    <s v="Inactive"/>
  </r>
  <r>
    <x v="888"/>
    <x v="0"/>
    <x v="1"/>
    <x v="31"/>
    <x v="1"/>
    <n v="0"/>
    <x v="0"/>
    <s v="Elite"/>
  </r>
  <r>
    <x v="889"/>
    <x v="0"/>
    <x v="2"/>
    <x v="177"/>
    <x v="2"/>
    <n v="0"/>
    <x v="0"/>
    <s v="Premium"/>
  </r>
  <r>
    <x v="890"/>
    <x v="1"/>
    <x v="0"/>
    <x v="483"/>
    <x v="0"/>
    <n v="0"/>
    <x v="0"/>
    <s v="Basic"/>
  </r>
  <r>
    <x v="891"/>
    <x v="3"/>
    <x v="1"/>
    <x v="124"/>
    <x v="1"/>
    <n v="1"/>
    <x v="1"/>
    <s v="Inactive"/>
  </r>
  <r>
    <x v="892"/>
    <x v="2"/>
    <x v="2"/>
    <x v="277"/>
    <x v="2"/>
    <n v="1"/>
    <x v="1"/>
    <s v="Inactive"/>
  </r>
  <r>
    <x v="893"/>
    <x v="3"/>
    <x v="0"/>
    <x v="46"/>
    <x v="0"/>
    <n v="0"/>
    <x v="0"/>
    <s v="Basic"/>
  </r>
  <r>
    <x v="894"/>
    <x v="3"/>
    <x v="1"/>
    <x v="484"/>
    <x v="1"/>
    <n v="0"/>
    <x v="0"/>
    <s v="Elite"/>
  </r>
  <r>
    <x v="895"/>
    <x v="0"/>
    <x v="0"/>
    <x v="20"/>
    <x v="0"/>
    <n v="0"/>
    <x v="0"/>
    <s v="Basic"/>
  </r>
  <r>
    <x v="896"/>
    <x v="3"/>
    <x v="1"/>
    <x v="107"/>
    <x v="1"/>
    <n v="0"/>
    <x v="0"/>
    <s v="Elite"/>
  </r>
  <r>
    <x v="897"/>
    <x v="1"/>
    <x v="2"/>
    <x v="18"/>
    <x v="2"/>
    <n v="0"/>
    <x v="0"/>
    <s v="Premium"/>
  </r>
  <r>
    <x v="898"/>
    <x v="2"/>
    <x v="0"/>
    <x v="324"/>
    <x v="0"/>
    <n v="0"/>
    <x v="0"/>
    <s v="Basic"/>
  </r>
  <r>
    <x v="899"/>
    <x v="2"/>
    <x v="0"/>
    <x v="196"/>
    <x v="0"/>
    <n v="0"/>
    <x v="0"/>
    <s v="Basic"/>
  </r>
  <r>
    <x v="900"/>
    <x v="1"/>
    <x v="1"/>
    <x v="301"/>
    <x v="1"/>
    <n v="0"/>
    <x v="0"/>
    <s v="Elite"/>
  </r>
  <r>
    <x v="901"/>
    <x v="1"/>
    <x v="1"/>
    <x v="107"/>
    <x v="1"/>
    <n v="0"/>
    <x v="0"/>
    <s v="Elite"/>
  </r>
  <r>
    <x v="902"/>
    <x v="3"/>
    <x v="0"/>
    <x v="174"/>
    <x v="0"/>
    <n v="0"/>
    <x v="0"/>
    <s v="Basic"/>
  </r>
  <r>
    <x v="903"/>
    <x v="1"/>
    <x v="0"/>
    <x v="485"/>
    <x v="0"/>
    <n v="0"/>
    <x v="0"/>
    <s v="Basic"/>
  </r>
  <r>
    <x v="904"/>
    <x v="3"/>
    <x v="0"/>
    <x v="51"/>
    <x v="0"/>
    <n v="0"/>
    <x v="0"/>
    <s v="Basic"/>
  </r>
  <r>
    <x v="905"/>
    <x v="0"/>
    <x v="2"/>
    <x v="309"/>
    <x v="2"/>
    <n v="0"/>
    <x v="0"/>
    <s v="Premium"/>
  </r>
  <r>
    <x v="906"/>
    <x v="1"/>
    <x v="1"/>
    <x v="237"/>
    <x v="1"/>
    <n v="0"/>
    <x v="0"/>
    <s v="Elite"/>
  </r>
  <r>
    <x v="907"/>
    <x v="1"/>
    <x v="1"/>
    <x v="486"/>
    <x v="1"/>
    <n v="1"/>
    <x v="1"/>
    <s v="Inactive"/>
  </r>
  <r>
    <x v="908"/>
    <x v="3"/>
    <x v="2"/>
    <x v="487"/>
    <x v="2"/>
    <n v="0"/>
    <x v="0"/>
    <s v="Premium"/>
  </r>
  <r>
    <x v="909"/>
    <x v="1"/>
    <x v="0"/>
    <x v="488"/>
    <x v="0"/>
    <n v="0"/>
    <x v="0"/>
    <s v="Basic"/>
  </r>
  <r>
    <x v="910"/>
    <x v="3"/>
    <x v="1"/>
    <x v="374"/>
    <x v="1"/>
    <n v="0"/>
    <x v="0"/>
    <s v="Elite"/>
  </r>
  <r>
    <x v="911"/>
    <x v="1"/>
    <x v="1"/>
    <x v="489"/>
    <x v="1"/>
    <n v="0"/>
    <x v="0"/>
    <s v="Elite"/>
  </r>
  <r>
    <x v="912"/>
    <x v="0"/>
    <x v="1"/>
    <x v="490"/>
    <x v="1"/>
    <n v="1"/>
    <x v="1"/>
    <s v="Inactive"/>
  </r>
  <r>
    <x v="913"/>
    <x v="0"/>
    <x v="0"/>
    <x v="491"/>
    <x v="0"/>
    <n v="0"/>
    <x v="0"/>
    <s v="Basic"/>
  </r>
  <r>
    <x v="914"/>
    <x v="2"/>
    <x v="1"/>
    <x v="397"/>
    <x v="1"/>
    <n v="0"/>
    <x v="0"/>
    <s v="Elite"/>
  </r>
  <r>
    <x v="915"/>
    <x v="2"/>
    <x v="0"/>
    <x v="230"/>
    <x v="0"/>
    <n v="0"/>
    <x v="0"/>
    <s v="Basic"/>
  </r>
  <r>
    <x v="916"/>
    <x v="0"/>
    <x v="0"/>
    <x v="492"/>
    <x v="0"/>
    <n v="1"/>
    <x v="1"/>
    <s v="Inactive"/>
  </r>
  <r>
    <x v="917"/>
    <x v="3"/>
    <x v="1"/>
    <x v="299"/>
    <x v="1"/>
    <n v="0"/>
    <x v="0"/>
    <s v="Elite"/>
  </r>
  <r>
    <x v="918"/>
    <x v="1"/>
    <x v="0"/>
    <x v="493"/>
    <x v="0"/>
    <n v="1"/>
    <x v="1"/>
    <s v="Inactive"/>
  </r>
  <r>
    <x v="919"/>
    <x v="1"/>
    <x v="1"/>
    <x v="51"/>
    <x v="1"/>
    <n v="0"/>
    <x v="0"/>
    <s v="Elite"/>
  </r>
  <r>
    <x v="920"/>
    <x v="2"/>
    <x v="0"/>
    <x v="211"/>
    <x v="0"/>
    <n v="0"/>
    <x v="0"/>
    <s v="Basic"/>
  </r>
  <r>
    <x v="921"/>
    <x v="0"/>
    <x v="0"/>
    <x v="288"/>
    <x v="0"/>
    <n v="0"/>
    <x v="0"/>
    <s v="Basic"/>
  </r>
  <r>
    <x v="922"/>
    <x v="0"/>
    <x v="0"/>
    <x v="14"/>
    <x v="0"/>
    <n v="0"/>
    <x v="0"/>
    <s v="Basic"/>
  </r>
  <r>
    <x v="923"/>
    <x v="1"/>
    <x v="0"/>
    <x v="494"/>
    <x v="0"/>
    <n v="0"/>
    <x v="0"/>
    <s v="Basic"/>
  </r>
  <r>
    <x v="924"/>
    <x v="2"/>
    <x v="2"/>
    <x v="493"/>
    <x v="2"/>
    <n v="0"/>
    <x v="0"/>
    <s v="Premium"/>
  </r>
  <r>
    <x v="925"/>
    <x v="0"/>
    <x v="0"/>
    <x v="195"/>
    <x v="0"/>
    <n v="0"/>
    <x v="0"/>
    <s v="Basic"/>
  </r>
  <r>
    <x v="926"/>
    <x v="1"/>
    <x v="0"/>
    <x v="181"/>
    <x v="0"/>
    <n v="1"/>
    <x v="1"/>
    <s v="Inactive"/>
  </r>
  <r>
    <x v="927"/>
    <x v="3"/>
    <x v="1"/>
    <x v="467"/>
    <x v="1"/>
    <n v="1"/>
    <x v="1"/>
    <s v="Inactive"/>
  </r>
  <r>
    <x v="928"/>
    <x v="1"/>
    <x v="2"/>
    <x v="158"/>
    <x v="2"/>
    <n v="1"/>
    <x v="1"/>
    <s v="Inactive"/>
  </r>
  <r>
    <x v="929"/>
    <x v="3"/>
    <x v="1"/>
    <x v="362"/>
    <x v="1"/>
    <n v="0"/>
    <x v="0"/>
    <s v="Elite"/>
  </r>
  <r>
    <x v="930"/>
    <x v="3"/>
    <x v="2"/>
    <x v="495"/>
    <x v="2"/>
    <n v="0"/>
    <x v="0"/>
    <s v="Premium"/>
  </r>
  <r>
    <x v="931"/>
    <x v="0"/>
    <x v="0"/>
    <x v="385"/>
    <x v="0"/>
    <n v="0"/>
    <x v="0"/>
    <s v="Basic"/>
  </r>
  <r>
    <x v="932"/>
    <x v="0"/>
    <x v="2"/>
    <x v="496"/>
    <x v="2"/>
    <n v="0"/>
    <x v="0"/>
    <s v="Premium"/>
  </r>
  <r>
    <x v="933"/>
    <x v="0"/>
    <x v="0"/>
    <x v="449"/>
    <x v="0"/>
    <n v="0"/>
    <x v="0"/>
    <s v="Basic"/>
  </r>
  <r>
    <x v="934"/>
    <x v="2"/>
    <x v="0"/>
    <x v="205"/>
    <x v="0"/>
    <n v="0"/>
    <x v="0"/>
    <s v="Basic"/>
  </r>
  <r>
    <x v="935"/>
    <x v="1"/>
    <x v="1"/>
    <x v="0"/>
    <x v="1"/>
    <n v="1"/>
    <x v="1"/>
    <s v="Inactive"/>
  </r>
  <r>
    <x v="936"/>
    <x v="1"/>
    <x v="0"/>
    <x v="497"/>
    <x v="0"/>
    <n v="0"/>
    <x v="0"/>
    <s v="Basic"/>
  </r>
  <r>
    <x v="937"/>
    <x v="1"/>
    <x v="1"/>
    <x v="451"/>
    <x v="1"/>
    <n v="0"/>
    <x v="0"/>
    <s v="Elite"/>
  </r>
  <r>
    <x v="938"/>
    <x v="1"/>
    <x v="2"/>
    <x v="26"/>
    <x v="2"/>
    <n v="0"/>
    <x v="0"/>
    <s v="Premium"/>
  </r>
  <r>
    <x v="939"/>
    <x v="2"/>
    <x v="0"/>
    <x v="299"/>
    <x v="0"/>
    <n v="0"/>
    <x v="0"/>
    <s v="Basic"/>
  </r>
  <r>
    <x v="940"/>
    <x v="3"/>
    <x v="0"/>
    <x v="498"/>
    <x v="0"/>
    <n v="0"/>
    <x v="0"/>
    <s v="Basic"/>
  </r>
  <r>
    <x v="941"/>
    <x v="3"/>
    <x v="0"/>
    <x v="434"/>
    <x v="0"/>
    <n v="0"/>
    <x v="0"/>
    <s v="Basic"/>
  </r>
  <r>
    <x v="942"/>
    <x v="1"/>
    <x v="2"/>
    <x v="447"/>
    <x v="2"/>
    <n v="0"/>
    <x v="0"/>
    <s v="Premium"/>
  </r>
  <r>
    <x v="943"/>
    <x v="1"/>
    <x v="1"/>
    <x v="417"/>
    <x v="1"/>
    <n v="0"/>
    <x v="0"/>
    <s v="Elite"/>
  </r>
  <r>
    <x v="944"/>
    <x v="2"/>
    <x v="2"/>
    <x v="499"/>
    <x v="2"/>
    <n v="0"/>
    <x v="0"/>
    <s v="Premium"/>
  </r>
  <r>
    <x v="945"/>
    <x v="3"/>
    <x v="1"/>
    <x v="22"/>
    <x v="1"/>
    <n v="0"/>
    <x v="0"/>
    <s v="Elite"/>
  </r>
  <r>
    <x v="946"/>
    <x v="1"/>
    <x v="2"/>
    <x v="453"/>
    <x v="2"/>
    <n v="0"/>
    <x v="0"/>
    <s v="Premium"/>
  </r>
  <r>
    <x v="947"/>
    <x v="2"/>
    <x v="0"/>
    <x v="250"/>
    <x v="0"/>
    <n v="0"/>
    <x v="0"/>
    <s v="Basic"/>
  </r>
  <r>
    <x v="948"/>
    <x v="3"/>
    <x v="0"/>
    <x v="500"/>
    <x v="0"/>
    <n v="0"/>
    <x v="0"/>
    <s v="Basic"/>
  </r>
  <r>
    <x v="949"/>
    <x v="1"/>
    <x v="2"/>
    <x v="352"/>
    <x v="2"/>
    <n v="1"/>
    <x v="1"/>
    <s v="Inactive"/>
  </r>
  <r>
    <x v="950"/>
    <x v="1"/>
    <x v="0"/>
    <x v="471"/>
    <x v="0"/>
    <n v="0"/>
    <x v="0"/>
    <s v="Basic"/>
  </r>
  <r>
    <x v="951"/>
    <x v="3"/>
    <x v="1"/>
    <x v="104"/>
    <x v="1"/>
    <n v="0"/>
    <x v="0"/>
    <s v="Elite"/>
  </r>
  <r>
    <x v="952"/>
    <x v="1"/>
    <x v="0"/>
    <x v="105"/>
    <x v="0"/>
    <n v="0"/>
    <x v="0"/>
    <s v="Basic"/>
  </r>
  <r>
    <x v="953"/>
    <x v="2"/>
    <x v="2"/>
    <x v="478"/>
    <x v="2"/>
    <n v="0"/>
    <x v="0"/>
    <s v="Premium"/>
  </r>
  <r>
    <x v="954"/>
    <x v="3"/>
    <x v="2"/>
    <x v="380"/>
    <x v="2"/>
    <n v="0"/>
    <x v="0"/>
    <s v="Premium"/>
  </r>
  <r>
    <x v="955"/>
    <x v="2"/>
    <x v="1"/>
    <x v="450"/>
    <x v="1"/>
    <n v="0"/>
    <x v="0"/>
    <s v="Elite"/>
  </r>
  <r>
    <x v="956"/>
    <x v="2"/>
    <x v="1"/>
    <x v="501"/>
    <x v="1"/>
    <n v="0"/>
    <x v="0"/>
    <s v="Elite"/>
  </r>
  <r>
    <x v="957"/>
    <x v="0"/>
    <x v="0"/>
    <x v="393"/>
    <x v="0"/>
    <n v="1"/>
    <x v="1"/>
    <s v="Inactive"/>
  </r>
  <r>
    <x v="958"/>
    <x v="2"/>
    <x v="0"/>
    <x v="502"/>
    <x v="0"/>
    <n v="0"/>
    <x v="0"/>
    <s v="Basic"/>
  </r>
  <r>
    <x v="959"/>
    <x v="2"/>
    <x v="2"/>
    <x v="156"/>
    <x v="2"/>
    <n v="0"/>
    <x v="0"/>
    <s v="Premium"/>
  </r>
  <r>
    <x v="960"/>
    <x v="3"/>
    <x v="0"/>
    <x v="407"/>
    <x v="0"/>
    <n v="1"/>
    <x v="1"/>
    <s v="Inactive"/>
  </r>
  <r>
    <x v="961"/>
    <x v="2"/>
    <x v="1"/>
    <x v="503"/>
    <x v="1"/>
    <n v="0"/>
    <x v="0"/>
    <s v="Elite"/>
  </r>
  <r>
    <x v="962"/>
    <x v="1"/>
    <x v="0"/>
    <x v="133"/>
    <x v="0"/>
    <n v="0"/>
    <x v="0"/>
    <s v="Basic"/>
  </r>
  <r>
    <x v="963"/>
    <x v="0"/>
    <x v="0"/>
    <x v="504"/>
    <x v="0"/>
    <n v="1"/>
    <x v="1"/>
    <s v="Inactive"/>
  </r>
  <r>
    <x v="964"/>
    <x v="1"/>
    <x v="0"/>
    <x v="415"/>
    <x v="0"/>
    <n v="0"/>
    <x v="0"/>
    <s v="Basic"/>
  </r>
  <r>
    <x v="965"/>
    <x v="0"/>
    <x v="0"/>
    <x v="104"/>
    <x v="0"/>
    <n v="0"/>
    <x v="0"/>
    <s v="Basic"/>
  </r>
  <r>
    <x v="966"/>
    <x v="1"/>
    <x v="0"/>
    <x v="505"/>
    <x v="0"/>
    <n v="0"/>
    <x v="0"/>
    <s v="Basic"/>
  </r>
  <r>
    <x v="967"/>
    <x v="1"/>
    <x v="1"/>
    <x v="20"/>
    <x v="1"/>
    <n v="0"/>
    <x v="0"/>
    <s v="Elite"/>
  </r>
  <r>
    <x v="968"/>
    <x v="2"/>
    <x v="0"/>
    <x v="497"/>
    <x v="0"/>
    <n v="0"/>
    <x v="0"/>
    <s v="Basic"/>
  </r>
  <r>
    <x v="969"/>
    <x v="1"/>
    <x v="1"/>
    <x v="161"/>
    <x v="1"/>
    <n v="0"/>
    <x v="0"/>
    <s v="Elite"/>
  </r>
  <r>
    <x v="970"/>
    <x v="3"/>
    <x v="0"/>
    <x v="221"/>
    <x v="0"/>
    <n v="0"/>
    <x v="0"/>
    <s v="Basic"/>
  </r>
  <r>
    <x v="971"/>
    <x v="3"/>
    <x v="1"/>
    <x v="155"/>
    <x v="1"/>
    <n v="0"/>
    <x v="0"/>
    <s v="Elite"/>
  </r>
  <r>
    <x v="972"/>
    <x v="2"/>
    <x v="0"/>
    <x v="401"/>
    <x v="0"/>
    <n v="0"/>
    <x v="0"/>
    <s v="Basic"/>
  </r>
  <r>
    <x v="973"/>
    <x v="3"/>
    <x v="1"/>
    <x v="275"/>
    <x v="1"/>
    <n v="0"/>
    <x v="0"/>
    <s v="Elite"/>
  </r>
  <r>
    <x v="974"/>
    <x v="1"/>
    <x v="2"/>
    <x v="60"/>
    <x v="2"/>
    <n v="0"/>
    <x v="0"/>
    <s v="Premium"/>
  </r>
  <r>
    <x v="975"/>
    <x v="1"/>
    <x v="2"/>
    <x v="14"/>
    <x v="2"/>
    <n v="0"/>
    <x v="0"/>
    <s v="Premium"/>
  </r>
  <r>
    <x v="976"/>
    <x v="1"/>
    <x v="1"/>
    <x v="388"/>
    <x v="1"/>
    <n v="0"/>
    <x v="0"/>
    <s v="Elite"/>
  </r>
  <r>
    <x v="977"/>
    <x v="3"/>
    <x v="2"/>
    <x v="506"/>
    <x v="2"/>
    <n v="0"/>
    <x v="0"/>
    <s v="Premium"/>
  </r>
  <r>
    <x v="978"/>
    <x v="2"/>
    <x v="0"/>
    <x v="103"/>
    <x v="0"/>
    <n v="0"/>
    <x v="0"/>
    <s v="Basic"/>
  </r>
  <r>
    <x v="979"/>
    <x v="1"/>
    <x v="1"/>
    <x v="415"/>
    <x v="1"/>
    <n v="0"/>
    <x v="0"/>
    <s v="Elite"/>
  </r>
  <r>
    <x v="980"/>
    <x v="3"/>
    <x v="0"/>
    <x v="467"/>
    <x v="0"/>
    <n v="0"/>
    <x v="0"/>
    <s v="Basic"/>
  </r>
  <r>
    <x v="981"/>
    <x v="1"/>
    <x v="0"/>
    <x v="507"/>
    <x v="0"/>
    <n v="0"/>
    <x v="0"/>
    <s v="Basic"/>
  </r>
  <r>
    <x v="982"/>
    <x v="3"/>
    <x v="2"/>
    <x v="235"/>
    <x v="2"/>
    <n v="0"/>
    <x v="0"/>
    <s v="Premium"/>
  </r>
  <r>
    <x v="983"/>
    <x v="2"/>
    <x v="1"/>
    <x v="508"/>
    <x v="1"/>
    <n v="0"/>
    <x v="0"/>
    <s v="Elite"/>
  </r>
  <r>
    <x v="984"/>
    <x v="3"/>
    <x v="0"/>
    <x v="74"/>
    <x v="0"/>
    <n v="0"/>
    <x v="0"/>
    <s v="Basic"/>
  </r>
  <r>
    <x v="985"/>
    <x v="1"/>
    <x v="0"/>
    <x v="509"/>
    <x v="0"/>
    <n v="1"/>
    <x v="1"/>
    <s v="Inactive"/>
  </r>
  <r>
    <x v="986"/>
    <x v="0"/>
    <x v="0"/>
    <x v="510"/>
    <x v="0"/>
    <n v="0"/>
    <x v="0"/>
    <s v="Basic"/>
  </r>
  <r>
    <x v="987"/>
    <x v="1"/>
    <x v="1"/>
    <x v="258"/>
    <x v="1"/>
    <n v="1"/>
    <x v="1"/>
    <s v="Inactive"/>
  </r>
  <r>
    <x v="988"/>
    <x v="1"/>
    <x v="2"/>
    <x v="63"/>
    <x v="2"/>
    <n v="0"/>
    <x v="0"/>
    <s v="Premium"/>
  </r>
  <r>
    <x v="989"/>
    <x v="0"/>
    <x v="0"/>
    <x v="275"/>
    <x v="0"/>
    <n v="0"/>
    <x v="0"/>
    <s v="Basic"/>
  </r>
  <r>
    <x v="990"/>
    <x v="2"/>
    <x v="0"/>
    <x v="183"/>
    <x v="0"/>
    <n v="0"/>
    <x v="0"/>
    <s v="Basic"/>
  </r>
  <r>
    <x v="991"/>
    <x v="1"/>
    <x v="1"/>
    <x v="70"/>
    <x v="1"/>
    <n v="0"/>
    <x v="0"/>
    <s v="Elite"/>
  </r>
  <r>
    <x v="992"/>
    <x v="0"/>
    <x v="0"/>
    <x v="511"/>
    <x v="0"/>
    <n v="0"/>
    <x v="0"/>
    <s v="Basic"/>
  </r>
  <r>
    <x v="993"/>
    <x v="0"/>
    <x v="0"/>
    <x v="306"/>
    <x v="0"/>
    <n v="0"/>
    <x v="0"/>
    <s v="Basic"/>
  </r>
  <r>
    <x v="994"/>
    <x v="1"/>
    <x v="0"/>
    <x v="195"/>
    <x v="0"/>
    <n v="0"/>
    <x v="0"/>
    <s v="Basic"/>
  </r>
  <r>
    <x v="995"/>
    <x v="1"/>
    <x v="0"/>
    <x v="512"/>
    <x v="0"/>
    <n v="0"/>
    <x v="0"/>
    <s v="Basic"/>
  </r>
  <r>
    <x v="996"/>
    <x v="3"/>
    <x v="2"/>
    <x v="198"/>
    <x v="2"/>
    <n v="0"/>
    <x v="0"/>
    <s v="Premium"/>
  </r>
  <r>
    <x v="997"/>
    <x v="1"/>
    <x v="2"/>
    <x v="21"/>
    <x v="2"/>
    <n v="0"/>
    <x v="0"/>
    <s v="Premium"/>
  </r>
  <r>
    <x v="998"/>
    <x v="3"/>
    <x v="0"/>
    <x v="190"/>
    <x v="0"/>
    <n v="0"/>
    <x v="0"/>
    <s v="Basic"/>
  </r>
  <r>
    <x v="999"/>
    <x v="1"/>
    <x v="0"/>
    <x v="162"/>
    <x v="0"/>
    <n v="0"/>
    <x v="0"/>
    <s v="Basic"/>
  </r>
  <r>
    <x v="1000"/>
    <x v="0"/>
    <x v="0"/>
    <x v="13"/>
    <x v="0"/>
    <n v="0"/>
    <x v="0"/>
    <s v="Basic"/>
  </r>
  <r>
    <x v="1001"/>
    <x v="1"/>
    <x v="2"/>
    <x v="242"/>
    <x v="2"/>
    <n v="0"/>
    <x v="0"/>
    <s v="Premium"/>
  </r>
  <r>
    <x v="1002"/>
    <x v="0"/>
    <x v="0"/>
    <x v="238"/>
    <x v="0"/>
    <n v="0"/>
    <x v="0"/>
    <s v="Basic"/>
  </r>
  <r>
    <x v="1003"/>
    <x v="3"/>
    <x v="1"/>
    <x v="513"/>
    <x v="1"/>
    <n v="1"/>
    <x v="1"/>
    <s v="Inactive"/>
  </r>
  <r>
    <x v="1004"/>
    <x v="3"/>
    <x v="2"/>
    <x v="470"/>
    <x v="2"/>
    <n v="0"/>
    <x v="0"/>
    <s v="Premium"/>
  </r>
  <r>
    <x v="1005"/>
    <x v="1"/>
    <x v="0"/>
    <x v="453"/>
    <x v="0"/>
    <n v="0"/>
    <x v="0"/>
    <s v="Basic"/>
  </r>
  <r>
    <x v="1006"/>
    <x v="3"/>
    <x v="1"/>
    <x v="400"/>
    <x v="1"/>
    <n v="0"/>
    <x v="0"/>
    <s v="Elite"/>
  </r>
  <r>
    <x v="1007"/>
    <x v="2"/>
    <x v="0"/>
    <x v="514"/>
    <x v="0"/>
    <n v="0"/>
    <x v="0"/>
    <s v="Basic"/>
  </r>
  <r>
    <x v="1008"/>
    <x v="1"/>
    <x v="0"/>
    <x v="12"/>
    <x v="0"/>
    <n v="0"/>
    <x v="0"/>
    <s v="Basic"/>
  </r>
  <r>
    <x v="1009"/>
    <x v="0"/>
    <x v="2"/>
    <x v="515"/>
    <x v="2"/>
    <n v="1"/>
    <x v="1"/>
    <s v="Inactive"/>
  </r>
  <r>
    <x v="1010"/>
    <x v="3"/>
    <x v="2"/>
    <x v="18"/>
    <x v="2"/>
    <n v="0"/>
    <x v="0"/>
    <s v="Premium"/>
  </r>
  <r>
    <x v="1011"/>
    <x v="3"/>
    <x v="1"/>
    <x v="223"/>
    <x v="1"/>
    <n v="0"/>
    <x v="0"/>
    <s v="Elite"/>
  </r>
  <r>
    <x v="1012"/>
    <x v="1"/>
    <x v="0"/>
    <x v="214"/>
    <x v="0"/>
    <n v="0"/>
    <x v="0"/>
    <s v="Basic"/>
  </r>
  <r>
    <x v="1013"/>
    <x v="1"/>
    <x v="2"/>
    <x v="516"/>
    <x v="2"/>
    <n v="0"/>
    <x v="0"/>
    <s v="Premium"/>
  </r>
  <r>
    <x v="1014"/>
    <x v="1"/>
    <x v="0"/>
    <x v="5"/>
    <x v="0"/>
    <n v="1"/>
    <x v="1"/>
    <s v="Inactive"/>
  </r>
  <r>
    <x v="1015"/>
    <x v="0"/>
    <x v="0"/>
    <x v="92"/>
    <x v="0"/>
    <n v="0"/>
    <x v="0"/>
    <s v="Basic"/>
  </r>
  <r>
    <x v="1016"/>
    <x v="1"/>
    <x v="1"/>
    <x v="64"/>
    <x v="1"/>
    <n v="0"/>
    <x v="0"/>
    <s v="Elite"/>
  </r>
  <r>
    <x v="1017"/>
    <x v="1"/>
    <x v="2"/>
    <x v="301"/>
    <x v="2"/>
    <n v="0"/>
    <x v="0"/>
    <s v="Premium"/>
  </r>
  <r>
    <x v="1018"/>
    <x v="2"/>
    <x v="0"/>
    <x v="334"/>
    <x v="0"/>
    <n v="0"/>
    <x v="0"/>
    <s v="Basic"/>
  </r>
  <r>
    <x v="1019"/>
    <x v="1"/>
    <x v="2"/>
    <x v="517"/>
    <x v="2"/>
    <n v="0"/>
    <x v="0"/>
    <s v="Premium"/>
  </r>
  <r>
    <x v="1020"/>
    <x v="0"/>
    <x v="1"/>
    <x v="283"/>
    <x v="1"/>
    <n v="0"/>
    <x v="0"/>
    <s v="Elite"/>
  </r>
  <r>
    <x v="1021"/>
    <x v="1"/>
    <x v="0"/>
    <x v="518"/>
    <x v="0"/>
    <n v="0"/>
    <x v="0"/>
    <s v="Basic"/>
  </r>
  <r>
    <x v="1022"/>
    <x v="1"/>
    <x v="0"/>
    <x v="200"/>
    <x v="0"/>
    <n v="0"/>
    <x v="0"/>
    <s v="Basic"/>
  </r>
  <r>
    <x v="1023"/>
    <x v="1"/>
    <x v="2"/>
    <x v="519"/>
    <x v="2"/>
    <n v="0"/>
    <x v="0"/>
    <s v="Premium"/>
  </r>
  <r>
    <x v="1024"/>
    <x v="1"/>
    <x v="2"/>
    <x v="156"/>
    <x v="2"/>
    <n v="1"/>
    <x v="1"/>
    <s v="Inactive"/>
  </r>
  <r>
    <x v="1025"/>
    <x v="3"/>
    <x v="0"/>
    <x v="7"/>
    <x v="0"/>
    <n v="0"/>
    <x v="0"/>
    <s v="Basic"/>
  </r>
  <r>
    <x v="1026"/>
    <x v="3"/>
    <x v="1"/>
    <x v="509"/>
    <x v="1"/>
    <n v="0"/>
    <x v="0"/>
    <s v="Elite"/>
  </r>
  <r>
    <x v="1027"/>
    <x v="1"/>
    <x v="2"/>
    <x v="1"/>
    <x v="2"/>
    <n v="0"/>
    <x v="0"/>
    <s v="Premium"/>
  </r>
  <r>
    <x v="1028"/>
    <x v="0"/>
    <x v="1"/>
    <x v="161"/>
    <x v="1"/>
    <n v="1"/>
    <x v="1"/>
    <s v="Inactive"/>
  </r>
  <r>
    <x v="1029"/>
    <x v="0"/>
    <x v="0"/>
    <x v="469"/>
    <x v="0"/>
    <n v="0"/>
    <x v="0"/>
    <s v="Basic"/>
  </r>
  <r>
    <x v="1030"/>
    <x v="0"/>
    <x v="0"/>
    <x v="491"/>
    <x v="0"/>
    <n v="0"/>
    <x v="0"/>
    <s v="Basic"/>
  </r>
  <r>
    <x v="1031"/>
    <x v="1"/>
    <x v="1"/>
    <x v="287"/>
    <x v="1"/>
    <n v="0"/>
    <x v="0"/>
    <s v="Elite"/>
  </r>
  <r>
    <x v="1032"/>
    <x v="1"/>
    <x v="2"/>
    <x v="315"/>
    <x v="2"/>
    <n v="0"/>
    <x v="0"/>
    <s v="Premium"/>
  </r>
  <r>
    <x v="1033"/>
    <x v="1"/>
    <x v="0"/>
    <x v="45"/>
    <x v="0"/>
    <n v="1"/>
    <x v="1"/>
    <s v="Inactive"/>
  </r>
  <r>
    <x v="1034"/>
    <x v="3"/>
    <x v="1"/>
    <x v="520"/>
    <x v="1"/>
    <n v="0"/>
    <x v="0"/>
    <s v="Elite"/>
  </r>
  <r>
    <x v="1035"/>
    <x v="3"/>
    <x v="1"/>
    <x v="430"/>
    <x v="1"/>
    <n v="0"/>
    <x v="0"/>
    <s v="Elite"/>
  </r>
  <r>
    <x v="1036"/>
    <x v="0"/>
    <x v="0"/>
    <x v="521"/>
    <x v="0"/>
    <n v="0"/>
    <x v="0"/>
    <s v="Basic"/>
  </r>
  <r>
    <x v="1037"/>
    <x v="2"/>
    <x v="1"/>
    <x v="522"/>
    <x v="1"/>
    <n v="0"/>
    <x v="0"/>
    <s v="Elite"/>
  </r>
  <r>
    <x v="1038"/>
    <x v="3"/>
    <x v="2"/>
    <x v="392"/>
    <x v="2"/>
    <n v="0"/>
    <x v="0"/>
    <s v="Premium"/>
  </r>
  <r>
    <x v="1039"/>
    <x v="1"/>
    <x v="1"/>
    <x v="320"/>
    <x v="1"/>
    <n v="0"/>
    <x v="0"/>
    <s v="Elite"/>
  </r>
  <r>
    <x v="1040"/>
    <x v="0"/>
    <x v="0"/>
    <x v="523"/>
    <x v="0"/>
    <n v="0"/>
    <x v="0"/>
    <s v="Basic"/>
  </r>
  <r>
    <x v="1041"/>
    <x v="1"/>
    <x v="1"/>
    <x v="524"/>
    <x v="1"/>
    <n v="0"/>
    <x v="0"/>
    <s v="Elite"/>
  </r>
  <r>
    <x v="1042"/>
    <x v="3"/>
    <x v="0"/>
    <x v="508"/>
    <x v="0"/>
    <n v="1"/>
    <x v="1"/>
    <s v="Inactive"/>
  </r>
  <r>
    <x v="1043"/>
    <x v="2"/>
    <x v="0"/>
    <x v="525"/>
    <x v="0"/>
    <n v="0"/>
    <x v="0"/>
    <s v="Basic"/>
  </r>
  <r>
    <x v="1044"/>
    <x v="2"/>
    <x v="0"/>
    <x v="35"/>
    <x v="0"/>
    <n v="0"/>
    <x v="0"/>
    <s v="Basic"/>
  </r>
  <r>
    <x v="1045"/>
    <x v="1"/>
    <x v="0"/>
    <x v="187"/>
    <x v="0"/>
    <n v="0"/>
    <x v="0"/>
    <s v="Basic"/>
  </r>
  <r>
    <x v="1046"/>
    <x v="3"/>
    <x v="2"/>
    <x v="181"/>
    <x v="2"/>
    <n v="1"/>
    <x v="1"/>
    <s v="Inactive"/>
  </r>
  <r>
    <x v="1047"/>
    <x v="0"/>
    <x v="0"/>
    <x v="339"/>
    <x v="0"/>
    <n v="0"/>
    <x v="0"/>
    <s v="Basic"/>
  </r>
  <r>
    <x v="1048"/>
    <x v="0"/>
    <x v="0"/>
    <x v="153"/>
    <x v="0"/>
    <n v="0"/>
    <x v="0"/>
    <s v="Basic"/>
  </r>
  <r>
    <x v="1049"/>
    <x v="1"/>
    <x v="2"/>
    <x v="509"/>
    <x v="2"/>
    <n v="0"/>
    <x v="0"/>
    <s v="Premium"/>
  </r>
  <r>
    <x v="1050"/>
    <x v="0"/>
    <x v="1"/>
    <x v="374"/>
    <x v="1"/>
    <n v="0"/>
    <x v="0"/>
    <s v="Elite"/>
  </r>
  <r>
    <x v="1051"/>
    <x v="1"/>
    <x v="0"/>
    <x v="526"/>
    <x v="0"/>
    <n v="0"/>
    <x v="0"/>
    <s v="Basic"/>
  </r>
  <r>
    <x v="1052"/>
    <x v="1"/>
    <x v="0"/>
    <x v="83"/>
    <x v="0"/>
    <n v="0"/>
    <x v="0"/>
    <s v="Basic"/>
  </r>
  <r>
    <x v="1053"/>
    <x v="2"/>
    <x v="2"/>
    <x v="162"/>
    <x v="2"/>
    <n v="0"/>
    <x v="0"/>
    <s v="Premium"/>
  </r>
  <r>
    <x v="1054"/>
    <x v="1"/>
    <x v="0"/>
    <x v="290"/>
    <x v="0"/>
    <n v="0"/>
    <x v="0"/>
    <s v="Basic"/>
  </r>
  <r>
    <x v="1055"/>
    <x v="0"/>
    <x v="0"/>
    <x v="527"/>
    <x v="0"/>
    <n v="0"/>
    <x v="0"/>
    <s v="Basic"/>
  </r>
  <r>
    <x v="1056"/>
    <x v="2"/>
    <x v="2"/>
    <x v="122"/>
    <x v="2"/>
    <n v="0"/>
    <x v="0"/>
    <s v="Premium"/>
  </r>
  <r>
    <x v="1057"/>
    <x v="3"/>
    <x v="0"/>
    <x v="86"/>
    <x v="0"/>
    <n v="0"/>
    <x v="0"/>
    <s v="Basic"/>
  </r>
  <r>
    <x v="1058"/>
    <x v="1"/>
    <x v="0"/>
    <x v="414"/>
    <x v="0"/>
    <n v="0"/>
    <x v="0"/>
    <s v="Basic"/>
  </r>
  <r>
    <x v="1059"/>
    <x v="1"/>
    <x v="2"/>
    <x v="528"/>
    <x v="2"/>
    <n v="0"/>
    <x v="0"/>
    <s v="Premium"/>
  </r>
  <r>
    <x v="1060"/>
    <x v="1"/>
    <x v="2"/>
    <x v="272"/>
    <x v="2"/>
    <n v="1"/>
    <x v="1"/>
    <s v="Inactive"/>
  </r>
  <r>
    <x v="1061"/>
    <x v="0"/>
    <x v="1"/>
    <x v="18"/>
    <x v="1"/>
    <n v="0"/>
    <x v="0"/>
    <s v="Elite"/>
  </r>
  <r>
    <x v="1062"/>
    <x v="1"/>
    <x v="1"/>
    <x v="240"/>
    <x v="1"/>
    <n v="0"/>
    <x v="0"/>
    <s v="Elite"/>
  </r>
  <r>
    <x v="1063"/>
    <x v="1"/>
    <x v="0"/>
    <x v="201"/>
    <x v="0"/>
    <n v="0"/>
    <x v="0"/>
    <s v="Basic"/>
  </r>
  <r>
    <x v="1064"/>
    <x v="3"/>
    <x v="1"/>
    <x v="406"/>
    <x v="1"/>
    <n v="0"/>
    <x v="0"/>
    <s v="Elite"/>
  </r>
  <r>
    <x v="1065"/>
    <x v="2"/>
    <x v="0"/>
    <x v="419"/>
    <x v="0"/>
    <n v="0"/>
    <x v="0"/>
    <s v="Basic"/>
  </r>
  <r>
    <x v="1066"/>
    <x v="0"/>
    <x v="2"/>
    <x v="529"/>
    <x v="2"/>
    <n v="1"/>
    <x v="1"/>
    <s v="Inactive"/>
  </r>
  <r>
    <x v="1067"/>
    <x v="1"/>
    <x v="1"/>
    <x v="399"/>
    <x v="1"/>
    <n v="0"/>
    <x v="0"/>
    <s v="Elite"/>
  </r>
  <r>
    <x v="1068"/>
    <x v="3"/>
    <x v="0"/>
    <x v="427"/>
    <x v="0"/>
    <n v="1"/>
    <x v="1"/>
    <s v="Inactive"/>
  </r>
  <r>
    <x v="1069"/>
    <x v="2"/>
    <x v="2"/>
    <x v="171"/>
    <x v="2"/>
    <n v="0"/>
    <x v="0"/>
    <s v="Premium"/>
  </r>
  <r>
    <x v="1070"/>
    <x v="3"/>
    <x v="0"/>
    <x v="530"/>
    <x v="0"/>
    <n v="0"/>
    <x v="0"/>
    <s v="Basic"/>
  </r>
  <r>
    <x v="1071"/>
    <x v="1"/>
    <x v="1"/>
    <x v="511"/>
    <x v="1"/>
    <n v="1"/>
    <x v="1"/>
    <s v="Inactive"/>
  </r>
  <r>
    <x v="1072"/>
    <x v="3"/>
    <x v="0"/>
    <x v="213"/>
    <x v="0"/>
    <n v="1"/>
    <x v="1"/>
    <s v="Inactive"/>
  </r>
  <r>
    <x v="1073"/>
    <x v="0"/>
    <x v="0"/>
    <x v="274"/>
    <x v="0"/>
    <n v="0"/>
    <x v="0"/>
    <s v="Basic"/>
  </r>
  <r>
    <x v="1074"/>
    <x v="1"/>
    <x v="0"/>
    <x v="318"/>
    <x v="0"/>
    <n v="0"/>
    <x v="0"/>
    <s v="Basic"/>
  </r>
  <r>
    <x v="1075"/>
    <x v="2"/>
    <x v="0"/>
    <x v="391"/>
    <x v="0"/>
    <n v="0"/>
    <x v="0"/>
    <s v="Basic"/>
  </r>
  <r>
    <x v="1076"/>
    <x v="0"/>
    <x v="0"/>
    <x v="76"/>
    <x v="0"/>
    <n v="0"/>
    <x v="0"/>
    <s v="Basic"/>
  </r>
  <r>
    <x v="1077"/>
    <x v="1"/>
    <x v="1"/>
    <x v="323"/>
    <x v="1"/>
    <n v="0"/>
    <x v="0"/>
    <s v="Elite"/>
  </r>
  <r>
    <x v="1078"/>
    <x v="1"/>
    <x v="2"/>
    <x v="127"/>
    <x v="2"/>
    <n v="0"/>
    <x v="0"/>
    <s v="Premium"/>
  </r>
  <r>
    <x v="1079"/>
    <x v="1"/>
    <x v="1"/>
    <x v="326"/>
    <x v="1"/>
    <n v="1"/>
    <x v="1"/>
    <s v="Inactive"/>
  </r>
  <r>
    <x v="1080"/>
    <x v="3"/>
    <x v="1"/>
    <x v="12"/>
    <x v="1"/>
    <n v="0"/>
    <x v="0"/>
    <s v="Elite"/>
  </r>
  <r>
    <x v="1081"/>
    <x v="0"/>
    <x v="0"/>
    <x v="531"/>
    <x v="0"/>
    <n v="0"/>
    <x v="0"/>
    <s v="Basic"/>
  </r>
  <r>
    <x v="1082"/>
    <x v="3"/>
    <x v="0"/>
    <x v="242"/>
    <x v="0"/>
    <n v="0"/>
    <x v="0"/>
    <s v="Basic"/>
  </r>
  <r>
    <x v="1083"/>
    <x v="2"/>
    <x v="2"/>
    <x v="158"/>
    <x v="2"/>
    <n v="0"/>
    <x v="0"/>
    <s v="Premium"/>
  </r>
  <r>
    <x v="1084"/>
    <x v="2"/>
    <x v="0"/>
    <x v="219"/>
    <x v="0"/>
    <n v="0"/>
    <x v="0"/>
    <s v="Basic"/>
  </r>
  <r>
    <x v="1085"/>
    <x v="1"/>
    <x v="2"/>
    <x v="398"/>
    <x v="2"/>
    <n v="0"/>
    <x v="0"/>
    <s v="Premium"/>
  </r>
  <r>
    <x v="1086"/>
    <x v="0"/>
    <x v="0"/>
    <x v="433"/>
    <x v="0"/>
    <n v="0"/>
    <x v="0"/>
    <s v="Basic"/>
  </r>
  <r>
    <x v="1087"/>
    <x v="3"/>
    <x v="2"/>
    <x v="209"/>
    <x v="2"/>
    <n v="0"/>
    <x v="0"/>
    <s v="Premium"/>
  </r>
  <r>
    <x v="1088"/>
    <x v="2"/>
    <x v="2"/>
    <x v="261"/>
    <x v="2"/>
    <n v="1"/>
    <x v="1"/>
    <s v="Inactive"/>
  </r>
  <r>
    <x v="1089"/>
    <x v="1"/>
    <x v="2"/>
    <x v="532"/>
    <x v="2"/>
    <n v="1"/>
    <x v="1"/>
    <s v="Inactive"/>
  </r>
  <r>
    <x v="1090"/>
    <x v="0"/>
    <x v="2"/>
    <x v="116"/>
    <x v="2"/>
    <n v="0"/>
    <x v="0"/>
    <s v="Premium"/>
  </r>
  <r>
    <x v="1091"/>
    <x v="1"/>
    <x v="0"/>
    <x v="481"/>
    <x v="0"/>
    <n v="0"/>
    <x v="0"/>
    <s v="Basic"/>
  </r>
  <r>
    <x v="1092"/>
    <x v="2"/>
    <x v="0"/>
    <x v="188"/>
    <x v="0"/>
    <n v="1"/>
    <x v="1"/>
    <s v="Inactive"/>
  </r>
  <r>
    <x v="1093"/>
    <x v="3"/>
    <x v="0"/>
    <x v="110"/>
    <x v="0"/>
    <n v="0"/>
    <x v="0"/>
    <s v="Basic"/>
  </r>
  <r>
    <x v="1094"/>
    <x v="1"/>
    <x v="0"/>
    <x v="393"/>
    <x v="0"/>
    <n v="0"/>
    <x v="0"/>
    <s v="Basic"/>
  </r>
  <r>
    <x v="1095"/>
    <x v="3"/>
    <x v="0"/>
    <x v="209"/>
    <x v="0"/>
    <n v="1"/>
    <x v="1"/>
    <s v="Inactive"/>
  </r>
  <r>
    <x v="1096"/>
    <x v="3"/>
    <x v="2"/>
    <x v="23"/>
    <x v="2"/>
    <n v="0"/>
    <x v="0"/>
    <s v="Premium"/>
  </r>
  <r>
    <x v="1097"/>
    <x v="1"/>
    <x v="1"/>
    <x v="533"/>
    <x v="1"/>
    <n v="0"/>
    <x v="0"/>
    <s v="Elite"/>
  </r>
  <r>
    <x v="1098"/>
    <x v="0"/>
    <x v="0"/>
    <x v="528"/>
    <x v="0"/>
    <n v="0"/>
    <x v="0"/>
    <s v="Basic"/>
  </r>
  <r>
    <x v="1099"/>
    <x v="3"/>
    <x v="1"/>
    <x v="99"/>
    <x v="1"/>
    <n v="0"/>
    <x v="0"/>
    <s v="Elite"/>
  </r>
  <r>
    <x v="1100"/>
    <x v="1"/>
    <x v="0"/>
    <x v="534"/>
    <x v="0"/>
    <n v="0"/>
    <x v="0"/>
    <s v="Basic"/>
  </r>
  <r>
    <x v="1101"/>
    <x v="2"/>
    <x v="2"/>
    <x v="281"/>
    <x v="2"/>
    <n v="0"/>
    <x v="0"/>
    <s v="Premium"/>
  </r>
  <r>
    <x v="1102"/>
    <x v="2"/>
    <x v="0"/>
    <x v="277"/>
    <x v="0"/>
    <n v="0"/>
    <x v="0"/>
    <s v="Basic"/>
  </r>
  <r>
    <x v="1103"/>
    <x v="1"/>
    <x v="1"/>
    <x v="127"/>
    <x v="1"/>
    <n v="0"/>
    <x v="0"/>
    <s v="Elite"/>
  </r>
  <r>
    <x v="1104"/>
    <x v="3"/>
    <x v="0"/>
    <x v="535"/>
    <x v="0"/>
    <n v="0"/>
    <x v="0"/>
    <s v="Basic"/>
  </r>
  <r>
    <x v="1105"/>
    <x v="2"/>
    <x v="0"/>
    <x v="501"/>
    <x v="0"/>
    <n v="0"/>
    <x v="0"/>
    <s v="Basic"/>
  </r>
  <r>
    <x v="1106"/>
    <x v="0"/>
    <x v="0"/>
    <x v="13"/>
    <x v="0"/>
    <n v="0"/>
    <x v="0"/>
    <s v="Basic"/>
  </r>
  <r>
    <x v="1107"/>
    <x v="3"/>
    <x v="2"/>
    <x v="536"/>
    <x v="2"/>
    <n v="0"/>
    <x v="0"/>
    <s v="Premium"/>
  </r>
  <r>
    <x v="1108"/>
    <x v="2"/>
    <x v="0"/>
    <x v="537"/>
    <x v="0"/>
    <n v="0"/>
    <x v="0"/>
    <s v="Basic"/>
  </r>
  <r>
    <x v="1109"/>
    <x v="0"/>
    <x v="0"/>
    <x v="346"/>
    <x v="0"/>
    <n v="0"/>
    <x v="0"/>
    <s v="Basic"/>
  </r>
  <r>
    <x v="1110"/>
    <x v="2"/>
    <x v="0"/>
    <x v="119"/>
    <x v="0"/>
    <n v="1"/>
    <x v="1"/>
    <s v="Inactive"/>
  </r>
  <r>
    <x v="1111"/>
    <x v="3"/>
    <x v="2"/>
    <x v="538"/>
    <x v="2"/>
    <n v="0"/>
    <x v="0"/>
    <s v="Premium"/>
  </r>
  <r>
    <x v="1112"/>
    <x v="0"/>
    <x v="1"/>
    <x v="373"/>
    <x v="1"/>
    <n v="0"/>
    <x v="0"/>
    <s v="Elite"/>
  </r>
  <r>
    <x v="1113"/>
    <x v="2"/>
    <x v="2"/>
    <x v="90"/>
    <x v="2"/>
    <n v="0"/>
    <x v="0"/>
    <s v="Premium"/>
  </r>
  <r>
    <x v="1114"/>
    <x v="1"/>
    <x v="1"/>
    <x v="539"/>
    <x v="1"/>
    <n v="0"/>
    <x v="0"/>
    <s v="Elite"/>
  </r>
  <r>
    <x v="1115"/>
    <x v="1"/>
    <x v="0"/>
    <x v="540"/>
    <x v="0"/>
    <n v="0"/>
    <x v="0"/>
    <s v="Basic"/>
  </r>
  <r>
    <x v="1116"/>
    <x v="0"/>
    <x v="1"/>
    <x v="509"/>
    <x v="1"/>
    <n v="0"/>
    <x v="0"/>
    <s v="Elite"/>
  </r>
  <r>
    <x v="1117"/>
    <x v="2"/>
    <x v="2"/>
    <x v="238"/>
    <x v="2"/>
    <n v="0"/>
    <x v="0"/>
    <s v="Premium"/>
  </r>
  <r>
    <x v="1118"/>
    <x v="1"/>
    <x v="2"/>
    <x v="541"/>
    <x v="2"/>
    <n v="0"/>
    <x v="0"/>
    <s v="Premium"/>
  </r>
  <r>
    <x v="1119"/>
    <x v="0"/>
    <x v="1"/>
    <x v="302"/>
    <x v="1"/>
    <n v="0"/>
    <x v="0"/>
    <s v="Elite"/>
  </r>
  <r>
    <x v="1120"/>
    <x v="2"/>
    <x v="0"/>
    <x v="542"/>
    <x v="0"/>
    <n v="1"/>
    <x v="1"/>
    <s v="Inactive"/>
  </r>
  <r>
    <x v="1121"/>
    <x v="0"/>
    <x v="0"/>
    <x v="543"/>
    <x v="0"/>
    <n v="0"/>
    <x v="0"/>
    <s v="Basic"/>
  </r>
  <r>
    <x v="1122"/>
    <x v="3"/>
    <x v="2"/>
    <x v="246"/>
    <x v="2"/>
    <n v="0"/>
    <x v="0"/>
    <s v="Premium"/>
  </r>
  <r>
    <x v="1123"/>
    <x v="1"/>
    <x v="0"/>
    <x v="544"/>
    <x v="0"/>
    <n v="0"/>
    <x v="0"/>
    <s v="Basic"/>
  </r>
  <r>
    <x v="1124"/>
    <x v="0"/>
    <x v="1"/>
    <x v="66"/>
    <x v="1"/>
    <n v="0"/>
    <x v="0"/>
    <s v="Elite"/>
  </r>
  <r>
    <x v="1125"/>
    <x v="2"/>
    <x v="2"/>
    <x v="296"/>
    <x v="2"/>
    <n v="0"/>
    <x v="0"/>
    <s v="Premium"/>
  </r>
  <r>
    <x v="1126"/>
    <x v="3"/>
    <x v="1"/>
    <x v="375"/>
    <x v="1"/>
    <n v="0"/>
    <x v="0"/>
    <s v="Elite"/>
  </r>
  <r>
    <x v="1127"/>
    <x v="2"/>
    <x v="0"/>
    <x v="545"/>
    <x v="0"/>
    <n v="0"/>
    <x v="0"/>
    <s v="Basic"/>
  </r>
  <r>
    <x v="1128"/>
    <x v="1"/>
    <x v="2"/>
    <x v="478"/>
    <x v="2"/>
    <n v="0"/>
    <x v="0"/>
    <s v="Premium"/>
  </r>
  <r>
    <x v="1129"/>
    <x v="3"/>
    <x v="2"/>
    <x v="535"/>
    <x v="2"/>
    <n v="0"/>
    <x v="0"/>
    <s v="Premium"/>
  </r>
  <r>
    <x v="1130"/>
    <x v="1"/>
    <x v="1"/>
    <x v="215"/>
    <x v="1"/>
    <n v="1"/>
    <x v="1"/>
    <s v="Inactive"/>
  </r>
  <r>
    <x v="1131"/>
    <x v="2"/>
    <x v="0"/>
    <x v="9"/>
    <x v="0"/>
    <n v="0"/>
    <x v="0"/>
    <s v="Basic"/>
  </r>
  <r>
    <x v="1132"/>
    <x v="2"/>
    <x v="2"/>
    <x v="31"/>
    <x v="2"/>
    <n v="0"/>
    <x v="0"/>
    <s v="Premium"/>
  </r>
  <r>
    <x v="1133"/>
    <x v="1"/>
    <x v="0"/>
    <x v="39"/>
    <x v="0"/>
    <n v="0"/>
    <x v="0"/>
    <s v="Basic"/>
  </r>
  <r>
    <x v="1134"/>
    <x v="3"/>
    <x v="0"/>
    <x v="93"/>
    <x v="0"/>
    <n v="0"/>
    <x v="0"/>
    <s v="Basic"/>
  </r>
  <r>
    <x v="1135"/>
    <x v="3"/>
    <x v="0"/>
    <x v="68"/>
    <x v="0"/>
    <n v="0"/>
    <x v="0"/>
    <s v="Basic"/>
  </r>
  <r>
    <x v="1136"/>
    <x v="1"/>
    <x v="0"/>
    <x v="395"/>
    <x v="0"/>
    <n v="0"/>
    <x v="0"/>
    <s v="Basic"/>
  </r>
  <r>
    <x v="1137"/>
    <x v="1"/>
    <x v="0"/>
    <x v="246"/>
    <x v="0"/>
    <n v="0"/>
    <x v="0"/>
    <s v="Basic"/>
  </r>
  <r>
    <x v="1138"/>
    <x v="3"/>
    <x v="1"/>
    <x v="546"/>
    <x v="1"/>
    <n v="0"/>
    <x v="0"/>
    <s v="Elite"/>
  </r>
  <r>
    <x v="1139"/>
    <x v="3"/>
    <x v="0"/>
    <x v="547"/>
    <x v="0"/>
    <n v="0"/>
    <x v="0"/>
    <s v="Basic"/>
  </r>
  <r>
    <x v="1140"/>
    <x v="1"/>
    <x v="2"/>
    <x v="89"/>
    <x v="2"/>
    <n v="1"/>
    <x v="1"/>
    <s v="Inactive"/>
  </r>
  <r>
    <x v="1141"/>
    <x v="0"/>
    <x v="0"/>
    <x v="548"/>
    <x v="0"/>
    <n v="0"/>
    <x v="0"/>
    <s v="Basic"/>
  </r>
  <r>
    <x v="1142"/>
    <x v="3"/>
    <x v="0"/>
    <x v="433"/>
    <x v="0"/>
    <n v="0"/>
    <x v="0"/>
    <s v="Basic"/>
  </r>
  <r>
    <x v="1143"/>
    <x v="2"/>
    <x v="2"/>
    <x v="484"/>
    <x v="2"/>
    <n v="0"/>
    <x v="0"/>
    <s v="Premium"/>
  </r>
  <r>
    <x v="1144"/>
    <x v="1"/>
    <x v="0"/>
    <x v="14"/>
    <x v="0"/>
    <n v="1"/>
    <x v="1"/>
    <s v="Inactive"/>
  </r>
  <r>
    <x v="1145"/>
    <x v="1"/>
    <x v="0"/>
    <x v="148"/>
    <x v="0"/>
    <n v="0"/>
    <x v="0"/>
    <s v="Basic"/>
  </r>
  <r>
    <x v="1146"/>
    <x v="1"/>
    <x v="0"/>
    <x v="67"/>
    <x v="0"/>
    <n v="0"/>
    <x v="0"/>
    <s v="Basic"/>
  </r>
  <r>
    <x v="1147"/>
    <x v="1"/>
    <x v="1"/>
    <x v="512"/>
    <x v="1"/>
    <n v="0"/>
    <x v="0"/>
    <s v="Elite"/>
  </r>
  <r>
    <x v="1148"/>
    <x v="3"/>
    <x v="2"/>
    <x v="516"/>
    <x v="2"/>
    <n v="0"/>
    <x v="0"/>
    <s v="Premium"/>
  </r>
  <r>
    <x v="1149"/>
    <x v="1"/>
    <x v="2"/>
    <x v="153"/>
    <x v="2"/>
    <n v="0"/>
    <x v="0"/>
    <s v="Premium"/>
  </r>
  <r>
    <x v="1150"/>
    <x v="0"/>
    <x v="0"/>
    <x v="230"/>
    <x v="0"/>
    <n v="0"/>
    <x v="0"/>
    <s v="Basic"/>
  </r>
  <r>
    <x v="1151"/>
    <x v="1"/>
    <x v="0"/>
    <x v="449"/>
    <x v="0"/>
    <n v="1"/>
    <x v="1"/>
    <s v="Inactive"/>
  </r>
  <r>
    <x v="1152"/>
    <x v="0"/>
    <x v="0"/>
    <x v="156"/>
    <x v="0"/>
    <n v="0"/>
    <x v="0"/>
    <s v="Basic"/>
  </r>
  <r>
    <x v="1153"/>
    <x v="0"/>
    <x v="1"/>
    <x v="182"/>
    <x v="1"/>
    <n v="0"/>
    <x v="0"/>
    <s v="Elite"/>
  </r>
  <r>
    <x v="1154"/>
    <x v="3"/>
    <x v="1"/>
    <x v="549"/>
    <x v="1"/>
    <n v="0"/>
    <x v="0"/>
    <s v="Elite"/>
  </r>
  <r>
    <x v="1155"/>
    <x v="0"/>
    <x v="0"/>
    <x v="506"/>
    <x v="0"/>
    <n v="0"/>
    <x v="0"/>
    <s v="Basic"/>
  </r>
  <r>
    <x v="1156"/>
    <x v="3"/>
    <x v="2"/>
    <x v="99"/>
    <x v="2"/>
    <n v="0"/>
    <x v="0"/>
    <s v="Premium"/>
  </r>
  <r>
    <x v="1157"/>
    <x v="3"/>
    <x v="1"/>
    <x v="214"/>
    <x v="1"/>
    <n v="0"/>
    <x v="0"/>
    <s v="Elite"/>
  </r>
  <r>
    <x v="1158"/>
    <x v="0"/>
    <x v="2"/>
    <x v="487"/>
    <x v="2"/>
    <n v="0"/>
    <x v="0"/>
    <s v="Premium"/>
  </r>
  <r>
    <x v="1159"/>
    <x v="1"/>
    <x v="0"/>
    <x v="550"/>
    <x v="0"/>
    <n v="0"/>
    <x v="0"/>
    <s v="Basic"/>
  </r>
  <r>
    <x v="1160"/>
    <x v="3"/>
    <x v="0"/>
    <x v="302"/>
    <x v="0"/>
    <n v="0"/>
    <x v="0"/>
    <s v="Basic"/>
  </r>
  <r>
    <x v="1161"/>
    <x v="3"/>
    <x v="2"/>
    <x v="343"/>
    <x v="2"/>
    <n v="0"/>
    <x v="0"/>
    <s v="Premium"/>
  </r>
  <r>
    <x v="1162"/>
    <x v="1"/>
    <x v="2"/>
    <x v="21"/>
    <x v="2"/>
    <n v="1"/>
    <x v="1"/>
    <s v="Inactive"/>
  </r>
  <r>
    <x v="1163"/>
    <x v="3"/>
    <x v="2"/>
    <x v="551"/>
    <x v="2"/>
    <n v="0"/>
    <x v="0"/>
    <s v="Premium"/>
  </r>
  <r>
    <x v="1164"/>
    <x v="1"/>
    <x v="1"/>
    <x v="201"/>
    <x v="1"/>
    <n v="0"/>
    <x v="0"/>
    <s v="Elite"/>
  </r>
  <r>
    <x v="1165"/>
    <x v="1"/>
    <x v="0"/>
    <x v="289"/>
    <x v="0"/>
    <n v="0"/>
    <x v="0"/>
    <s v="Basic"/>
  </r>
  <r>
    <x v="1166"/>
    <x v="1"/>
    <x v="2"/>
    <x v="404"/>
    <x v="2"/>
    <n v="0"/>
    <x v="0"/>
    <s v="Premium"/>
  </r>
  <r>
    <x v="1167"/>
    <x v="3"/>
    <x v="0"/>
    <x v="511"/>
    <x v="0"/>
    <n v="0"/>
    <x v="0"/>
    <s v="Basic"/>
  </r>
  <r>
    <x v="1168"/>
    <x v="2"/>
    <x v="1"/>
    <x v="47"/>
    <x v="1"/>
    <n v="0"/>
    <x v="0"/>
    <s v="Elite"/>
  </r>
  <r>
    <x v="1169"/>
    <x v="3"/>
    <x v="2"/>
    <x v="510"/>
    <x v="2"/>
    <n v="0"/>
    <x v="0"/>
    <s v="Premium"/>
  </r>
  <r>
    <x v="1170"/>
    <x v="1"/>
    <x v="0"/>
    <x v="552"/>
    <x v="0"/>
    <n v="0"/>
    <x v="0"/>
    <s v="Basic"/>
  </r>
  <r>
    <x v="1171"/>
    <x v="2"/>
    <x v="2"/>
    <x v="242"/>
    <x v="2"/>
    <n v="0"/>
    <x v="0"/>
    <s v="Premium"/>
  </r>
  <r>
    <x v="1172"/>
    <x v="0"/>
    <x v="2"/>
    <x v="67"/>
    <x v="2"/>
    <n v="0"/>
    <x v="0"/>
    <s v="Premium"/>
  </r>
  <r>
    <x v="1173"/>
    <x v="0"/>
    <x v="2"/>
    <x v="553"/>
    <x v="2"/>
    <n v="0"/>
    <x v="0"/>
    <s v="Premium"/>
  </r>
  <r>
    <x v="1174"/>
    <x v="1"/>
    <x v="0"/>
    <x v="553"/>
    <x v="0"/>
    <n v="0"/>
    <x v="0"/>
    <s v="Basic"/>
  </r>
  <r>
    <x v="1175"/>
    <x v="1"/>
    <x v="2"/>
    <x v="380"/>
    <x v="2"/>
    <n v="0"/>
    <x v="0"/>
    <s v="Premium"/>
  </r>
  <r>
    <x v="1176"/>
    <x v="3"/>
    <x v="0"/>
    <x v="554"/>
    <x v="0"/>
    <n v="0"/>
    <x v="0"/>
    <s v="Basic"/>
  </r>
  <r>
    <x v="1177"/>
    <x v="0"/>
    <x v="1"/>
    <x v="555"/>
    <x v="1"/>
    <n v="0"/>
    <x v="0"/>
    <s v="Elite"/>
  </r>
  <r>
    <x v="1178"/>
    <x v="3"/>
    <x v="0"/>
    <x v="353"/>
    <x v="0"/>
    <n v="0"/>
    <x v="0"/>
    <s v="Basic"/>
  </r>
  <r>
    <x v="1179"/>
    <x v="0"/>
    <x v="1"/>
    <x v="235"/>
    <x v="1"/>
    <n v="0"/>
    <x v="0"/>
    <s v="Elite"/>
  </r>
  <r>
    <x v="1180"/>
    <x v="3"/>
    <x v="1"/>
    <x v="284"/>
    <x v="1"/>
    <n v="0"/>
    <x v="0"/>
    <s v="Elite"/>
  </r>
  <r>
    <x v="1181"/>
    <x v="1"/>
    <x v="0"/>
    <x v="556"/>
    <x v="0"/>
    <n v="1"/>
    <x v="1"/>
    <s v="Inactive"/>
  </r>
  <r>
    <x v="1182"/>
    <x v="3"/>
    <x v="2"/>
    <x v="557"/>
    <x v="2"/>
    <n v="0"/>
    <x v="0"/>
    <s v="Premium"/>
  </r>
  <r>
    <x v="1183"/>
    <x v="1"/>
    <x v="1"/>
    <x v="13"/>
    <x v="1"/>
    <n v="0"/>
    <x v="0"/>
    <s v="Elite"/>
  </r>
  <r>
    <x v="1184"/>
    <x v="2"/>
    <x v="0"/>
    <x v="164"/>
    <x v="0"/>
    <n v="0"/>
    <x v="0"/>
    <s v="Basic"/>
  </r>
  <r>
    <x v="1185"/>
    <x v="2"/>
    <x v="0"/>
    <x v="245"/>
    <x v="0"/>
    <n v="0"/>
    <x v="0"/>
    <s v="Basic"/>
  </r>
  <r>
    <x v="1186"/>
    <x v="3"/>
    <x v="1"/>
    <x v="162"/>
    <x v="1"/>
    <n v="0"/>
    <x v="0"/>
    <s v="Elite"/>
  </r>
  <r>
    <x v="1187"/>
    <x v="3"/>
    <x v="2"/>
    <x v="502"/>
    <x v="2"/>
    <n v="0"/>
    <x v="0"/>
    <s v="Premium"/>
  </r>
  <r>
    <x v="1188"/>
    <x v="3"/>
    <x v="0"/>
    <x v="59"/>
    <x v="0"/>
    <n v="0"/>
    <x v="0"/>
    <s v="Basic"/>
  </r>
  <r>
    <x v="1189"/>
    <x v="0"/>
    <x v="2"/>
    <x v="439"/>
    <x v="2"/>
    <n v="0"/>
    <x v="0"/>
    <s v="Premium"/>
  </r>
  <r>
    <x v="1190"/>
    <x v="3"/>
    <x v="2"/>
    <x v="441"/>
    <x v="2"/>
    <n v="0"/>
    <x v="0"/>
    <s v="Premium"/>
  </r>
  <r>
    <x v="1191"/>
    <x v="2"/>
    <x v="2"/>
    <x v="317"/>
    <x v="2"/>
    <n v="0"/>
    <x v="0"/>
    <s v="Premium"/>
  </r>
  <r>
    <x v="1192"/>
    <x v="1"/>
    <x v="1"/>
    <x v="13"/>
    <x v="1"/>
    <n v="0"/>
    <x v="0"/>
    <s v="Elite"/>
  </r>
  <r>
    <x v="1193"/>
    <x v="1"/>
    <x v="0"/>
    <x v="103"/>
    <x v="0"/>
    <n v="0"/>
    <x v="0"/>
    <s v="Basic"/>
  </r>
  <r>
    <x v="1194"/>
    <x v="0"/>
    <x v="0"/>
    <x v="544"/>
    <x v="0"/>
    <n v="0"/>
    <x v="0"/>
    <s v="Basic"/>
  </r>
  <r>
    <x v="1195"/>
    <x v="2"/>
    <x v="0"/>
    <x v="558"/>
    <x v="0"/>
    <n v="1"/>
    <x v="1"/>
    <s v="Inactive"/>
  </r>
  <r>
    <x v="1196"/>
    <x v="1"/>
    <x v="0"/>
    <x v="294"/>
    <x v="0"/>
    <n v="0"/>
    <x v="0"/>
    <s v="Basic"/>
  </r>
  <r>
    <x v="1197"/>
    <x v="1"/>
    <x v="1"/>
    <x v="187"/>
    <x v="1"/>
    <n v="0"/>
    <x v="0"/>
    <s v="Elite"/>
  </r>
  <r>
    <x v="1198"/>
    <x v="0"/>
    <x v="0"/>
    <x v="559"/>
    <x v="0"/>
    <n v="0"/>
    <x v="0"/>
    <s v="Basic"/>
  </r>
  <r>
    <x v="1199"/>
    <x v="3"/>
    <x v="1"/>
    <x v="210"/>
    <x v="1"/>
    <n v="0"/>
    <x v="0"/>
    <s v="Elite"/>
  </r>
  <r>
    <x v="1200"/>
    <x v="3"/>
    <x v="0"/>
    <x v="279"/>
    <x v="0"/>
    <n v="0"/>
    <x v="0"/>
    <s v="Basic"/>
  </r>
  <r>
    <x v="1201"/>
    <x v="3"/>
    <x v="1"/>
    <x v="560"/>
    <x v="1"/>
    <n v="0"/>
    <x v="0"/>
    <s v="Elite"/>
  </r>
  <r>
    <x v="1202"/>
    <x v="2"/>
    <x v="2"/>
    <x v="417"/>
    <x v="2"/>
    <n v="1"/>
    <x v="1"/>
    <s v="Inactive"/>
  </r>
  <r>
    <x v="1203"/>
    <x v="1"/>
    <x v="1"/>
    <x v="236"/>
    <x v="1"/>
    <n v="0"/>
    <x v="0"/>
    <s v="Elite"/>
  </r>
  <r>
    <x v="1204"/>
    <x v="0"/>
    <x v="2"/>
    <x v="256"/>
    <x v="2"/>
    <n v="0"/>
    <x v="0"/>
    <s v="Premium"/>
  </r>
  <r>
    <x v="1205"/>
    <x v="0"/>
    <x v="0"/>
    <x v="148"/>
    <x v="0"/>
    <n v="0"/>
    <x v="0"/>
    <s v="Basic"/>
  </r>
  <r>
    <x v="1206"/>
    <x v="2"/>
    <x v="1"/>
    <x v="460"/>
    <x v="1"/>
    <n v="0"/>
    <x v="0"/>
    <s v="Elite"/>
  </r>
  <r>
    <x v="1207"/>
    <x v="3"/>
    <x v="0"/>
    <x v="561"/>
    <x v="0"/>
    <n v="0"/>
    <x v="0"/>
    <s v="Basic"/>
  </r>
  <r>
    <x v="1208"/>
    <x v="1"/>
    <x v="1"/>
    <x v="115"/>
    <x v="1"/>
    <n v="0"/>
    <x v="0"/>
    <s v="Elite"/>
  </r>
  <r>
    <x v="1209"/>
    <x v="2"/>
    <x v="2"/>
    <x v="446"/>
    <x v="2"/>
    <n v="0"/>
    <x v="0"/>
    <s v="Premium"/>
  </r>
  <r>
    <x v="1210"/>
    <x v="0"/>
    <x v="1"/>
    <x v="58"/>
    <x v="1"/>
    <n v="0"/>
    <x v="0"/>
    <s v="Elite"/>
  </r>
  <r>
    <x v="1211"/>
    <x v="0"/>
    <x v="2"/>
    <x v="213"/>
    <x v="2"/>
    <n v="0"/>
    <x v="0"/>
    <s v="Premium"/>
  </r>
  <r>
    <x v="1212"/>
    <x v="1"/>
    <x v="0"/>
    <x v="562"/>
    <x v="0"/>
    <n v="1"/>
    <x v="1"/>
    <s v="Inactive"/>
  </r>
  <r>
    <x v="1213"/>
    <x v="3"/>
    <x v="2"/>
    <x v="301"/>
    <x v="2"/>
    <n v="0"/>
    <x v="0"/>
    <s v="Premium"/>
  </r>
  <r>
    <x v="1214"/>
    <x v="0"/>
    <x v="1"/>
    <x v="563"/>
    <x v="1"/>
    <n v="1"/>
    <x v="1"/>
    <s v="Inactive"/>
  </r>
  <r>
    <x v="1215"/>
    <x v="3"/>
    <x v="0"/>
    <x v="76"/>
    <x v="0"/>
    <n v="0"/>
    <x v="0"/>
    <s v="Basic"/>
  </r>
  <r>
    <x v="1216"/>
    <x v="1"/>
    <x v="2"/>
    <x v="237"/>
    <x v="2"/>
    <n v="0"/>
    <x v="0"/>
    <s v="Premium"/>
  </r>
  <r>
    <x v="1217"/>
    <x v="3"/>
    <x v="1"/>
    <x v="564"/>
    <x v="1"/>
    <n v="0"/>
    <x v="0"/>
    <s v="Elite"/>
  </r>
  <r>
    <x v="1218"/>
    <x v="1"/>
    <x v="0"/>
    <x v="235"/>
    <x v="0"/>
    <n v="0"/>
    <x v="0"/>
    <s v="Basic"/>
  </r>
  <r>
    <x v="1219"/>
    <x v="0"/>
    <x v="1"/>
    <x v="316"/>
    <x v="1"/>
    <n v="0"/>
    <x v="0"/>
    <s v="Elite"/>
  </r>
  <r>
    <x v="1220"/>
    <x v="1"/>
    <x v="1"/>
    <x v="129"/>
    <x v="1"/>
    <n v="0"/>
    <x v="0"/>
    <s v="Elite"/>
  </r>
  <r>
    <x v="1221"/>
    <x v="2"/>
    <x v="1"/>
    <x v="565"/>
    <x v="1"/>
    <n v="0"/>
    <x v="0"/>
    <s v="Elite"/>
  </r>
  <r>
    <x v="1222"/>
    <x v="3"/>
    <x v="2"/>
    <x v="566"/>
    <x v="2"/>
    <n v="1"/>
    <x v="1"/>
    <s v="Inactive"/>
  </r>
  <r>
    <x v="1223"/>
    <x v="1"/>
    <x v="0"/>
    <x v="265"/>
    <x v="0"/>
    <n v="0"/>
    <x v="0"/>
    <s v="Basic"/>
  </r>
  <r>
    <x v="1224"/>
    <x v="0"/>
    <x v="1"/>
    <x v="270"/>
    <x v="1"/>
    <n v="0"/>
    <x v="0"/>
    <s v="Elite"/>
  </r>
  <r>
    <x v="1225"/>
    <x v="0"/>
    <x v="2"/>
    <x v="567"/>
    <x v="2"/>
    <n v="0"/>
    <x v="0"/>
    <s v="Premium"/>
  </r>
  <r>
    <x v="1226"/>
    <x v="2"/>
    <x v="0"/>
    <x v="568"/>
    <x v="0"/>
    <n v="0"/>
    <x v="0"/>
    <s v="Basic"/>
  </r>
  <r>
    <x v="1227"/>
    <x v="1"/>
    <x v="1"/>
    <x v="189"/>
    <x v="1"/>
    <n v="0"/>
    <x v="0"/>
    <s v="Elite"/>
  </r>
  <r>
    <x v="1228"/>
    <x v="0"/>
    <x v="0"/>
    <x v="386"/>
    <x v="0"/>
    <n v="0"/>
    <x v="0"/>
    <s v="Basic"/>
  </r>
  <r>
    <x v="1229"/>
    <x v="3"/>
    <x v="2"/>
    <x v="11"/>
    <x v="2"/>
    <n v="0"/>
    <x v="0"/>
    <s v="Premium"/>
  </r>
  <r>
    <x v="1230"/>
    <x v="2"/>
    <x v="0"/>
    <x v="104"/>
    <x v="0"/>
    <n v="0"/>
    <x v="0"/>
    <s v="Basic"/>
  </r>
  <r>
    <x v="1231"/>
    <x v="1"/>
    <x v="0"/>
    <x v="5"/>
    <x v="0"/>
    <n v="0"/>
    <x v="0"/>
    <s v="Basic"/>
  </r>
  <r>
    <x v="1232"/>
    <x v="1"/>
    <x v="1"/>
    <x v="565"/>
    <x v="1"/>
    <n v="0"/>
    <x v="0"/>
    <s v="Elite"/>
  </r>
  <r>
    <x v="1233"/>
    <x v="2"/>
    <x v="0"/>
    <x v="119"/>
    <x v="0"/>
    <n v="0"/>
    <x v="0"/>
    <s v="Basic"/>
  </r>
  <r>
    <x v="1234"/>
    <x v="0"/>
    <x v="0"/>
    <x v="316"/>
    <x v="0"/>
    <n v="1"/>
    <x v="1"/>
    <s v="Inactive"/>
  </r>
  <r>
    <x v="1235"/>
    <x v="3"/>
    <x v="0"/>
    <x v="569"/>
    <x v="0"/>
    <n v="0"/>
    <x v="0"/>
    <s v="Basic"/>
  </r>
  <r>
    <x v="1236"/>
    <x v="2"/>
    <x v="1"/>
    <x v="570"/>
    <x v="1"/>
    <n v="0"/>
    <x v="0"/>
    <s v="Elite"/>
  </r>
  <r>
    <x v="1237"/>
    <x v="3"/>
    <x v="1"/>
    <x v="403"/>
    <x v="1"/>
    <n v="0"/>
    <x v="0"/>
    <s v="Elite"/>
  </r>
  <r>
    <x v="1238"/>
    <x v="3"/>
    <x v="2"/>
    <x v="235"/>
    <x v="2"/>
    <n v="1"/>
    <x v="1"/>
    <s v="Inactive"/>
  </r>
  <r>
    <x v="1239"/>
    <x v="1"/>
    <x v="0"/>
    <x v="571"/>
    <x v="0"/>
    <n v="0"/>
    <x v="0"/>
    <s v="Basic"/>
  </r>
  <r>
    <x v="1240"/>
    <x v="0"/>
    <x v="2"/>
    <x v="572"/>
    <x v="2"/>
    <n v="0"/>
    <x v="0"/>
    <s v="Premium"/>
  </r>
  <r>
    <x v="1241"/>
    <x v="3"/>
    <x v="1"/>
    <x v="573"/>
    <x v="1"/>
    <n v="0"/>
    <x v="0"/>
    <s v="Elite"/>
  </r>
  <r>
    <x v="1242"/>
    <x v="2"/>
    <x v="1"/>
    <x v="340"/>
    <x v="1"/>
    <n v="0"/>
    <x v="0"/>
    <s v="Elite"/>
  </r>
  <r>
    <x v="1243"/>
    <x v="0"/>
    <x v="1"/>
    <x v="508"/>
    <x v="1"/>
    <n v="0"/>
    <x v="0"/>
    <s v="Elite"/>
  </r>
  <r>
    <x v="1244"/>
    <x v="1"/>
    <x v="0"/>
    <x v="574"/>
    <x v="0"/>
    <n v="0"/>
    <x v="0"/>
    <s v="Basic"/>
  </r>
  <r>
    <x v="1245"/>
    <x v="0"/>
    <x v="1"/>
    <x v="433"/>
    <x v="1"/>
    <n v="0"/>
    <x v="0"/>
    <s v="Elite"/>
  </r>
  <r>
    <x v="1246"/>
    <x v="2"/>
    <x v="0"/>
    <x v="340"/>
    <x v="0"/>
    <n v="1"/>
    <x v="1"/>
    <s v="Inactive"/>
  </r>
  <r>
    <x v="1247"/>
    <x v="2"/>
    <x v="0"/>
    <x v="80"/>
    <x v="0"/>
    <n v="0"/>
    <x v="0"/>
    <s v="Basic"/>
  </r>
  <r>
    <x v="1248"/>
    <x v="1"/>
    <x v="0"/>
    <x v="447"/>
    <x v="0"/>
    <n v="0"/>
    <x v="0"/>
    <s v="Basic"/>
  </r>
  <r>
    <x v="1249"/>
    <x v="2"/>
    <x v="0"/>
    <x v="221"/>
    <x v="0"/>
    <n v="0"/>
    <x v="0"/>
    <s v="Basic"/>
  </r>
  <r>
    <x v="1250"/>
    <x v="2"/>
    <x v="1"/>
    <x v="195"/>
    <x v="1"/>
    <n v="0"/>
    <x v="0"/>
    <s v="Elite"/>
  </r>
  <r>
    <x v="1251"/>
    <x v="2"/>
    <x v="0"/>
    <x v="266"/>
    <x v="0"/>
    <n v="0"/>
    <x v="0"/>
    <s v="Basic"/>
  </r>
  <r>
    <x v="1252"/>
    <x v="1"/>
    <x v="0"/>
    <x v="347"/>
    <x v="0"/>
    <n v="0"/>
    <x v="0"/>
    <s v="Basic"/>
  </r>
  <r>
    <x v="1253"/>
    <x v="1"/>
    <x v="2"/>
    <x v="100"/>
    <x v="2"/>
    <n v="0"/>
    <x v="0"/>
    <s v="Premium"/>
  </r>
  <r>
    <x v="1254"/>
    <x v="2"/>
    <x v="0"/>
    <x v="309"/>
    <x v="0"/>
    <n v="0"/>
    <x v="0"/>
    <s v="Basic"/>
  </r>
  <r>
    <x v="1255"/>
    <x v="1"/>
    <x v="0"/>
    <x v="177"/>
    <x v="0"/>
    <n v="1"/>
    <x v="1"/>
    <s v="Inactive"/>
  </r>
  <r>
    <x v="1256"/>
    <x v="2"/>
    <x v="2"/>
    <x v="575"/>
    <x v="2"/>
    <n v="0"/>
    <x v="0"/>
    <s v="Premium"/>
  </r>
  <r>
    <x v="1257"/>
    <x v="1"/>
    <x v="1"/>
    <x v="243"/>
    <x v="1"/>
    <n v="0"/>
    <x v="0"/>
    <s v="Elite"/>
  </r>
  <r>
    <x v="1258"/>
    <x v="3"/>
    <x v="2"/>
    <x v="576"/>
    <x v="2"/>
    <n v="1"/>
    <x v="1"/>
    <s v="Inactive"/>
  </r>
  <r>
    <x v="1259"/>
    <x v="0"/>
    <x v="2"/>
    <x v="577"/>
    <x v="2"/>
    <n v="0"/>
    <x v="0"/>
    <s v="Premium"/>
  </r>
  <r>
    <x v="1260"/>
    <x v="2"/>
    <x v="2"/>
    <x v="313"/>
    <x v="2"/>
    <n v="1"/>
    <x v="1"/>
    <s v="Inactive"/>
  </r>
  <r>
    <x v="1261"/>
    <x v="2"/>
    <x v="0"/>
    <x v="42"/>
    <x v="0"/>
    <n v="0"/>
    <x v="0"/>
    <s v="Basic"/>
  </r>
  <r>
    <x v="1262"/>
    <x v="2"/>
    <x v="2"/>
    <x v="161"/>
    <x v="2"/>
    <n v="1"/>
    <x v="1"/>
    <s v="Inactive"/>
  </r>
  <r>
    <x v="1263"/>
    <x v="1"/>
    <x v="1"/>
    <x v="93"/>
    <x v="1"/>
    <n v="0"/>
    <x v="0"/>
    <s v="Elite"/>
  </r>
  <r>
    <x v="1264"/>
    <x v="3"/>
    <x v="2"/>
    <x v="269"/>
    <x v="2"/>
    <n v="0"/>
    <x v="0"/>
    <s v="Premium"/>
  </r>
  <r>
    <x v="1265"/>
    <x v="3"/>
    <x v="1"/>
    <x v="104"/>
    <x v="1"/>
    <n v="0"/>
    <x v="0"/>
    <s v="Elite"/>
  </r>
  <r>
    <x v="1266"/>
    <x v="0"/>
    <x v="2"/>
    <x v="299"/>
    <x v="2"/>
    <n v="0"/>
    <x v="0"/>
    <s v="Premium"/>
  </r>
  <r>
    <x v="1267"/>
    <x v="3"/>
    <x v="0"/>
    <x v="185"/>
    <x v="0"/>
    <n v="0"/>
    <x v="0"/>
    <s v="Basic"/>
  </r>
  <r>
    <x v="1268"/>
    <x v="0"/>
    <x v="0"/>
    <x v="578"/>
    <x v="0"/>
    <n v="0"/>
    <x v="0"/>
    <s v="Basic"/>
  </r>
  <r>
    <x v="1269"/>
    <x v="3"/>
    <x v="2"/>
    <x v="579"/>
    <x v="2"/>
    <n v="0"/>
    <x v="0"/>
    <s v="Premium"/>
  </r>
  <r>
    <x v="1270"/>
    <x v="1"/>
    <x v="1"/>
    <x v="580"/>
    <x v="1"/>
    <n v="0"/>
    <x v="0"/>
    <s v="Elite"/>
  </r>
  <r>
    <x v="1271"/>
    <x v="2"/>
    <x v="0"/>
    <x v="400"/>
    <x v="0"/>
    <n v="0"/>
    <x v="0"/>
    <s v="Basic"/>
  </r>
  <r>
    <x v="1272"/>
    <x v="1"/>
    <x v="0"/>
    <x v="380"/>
    <x v="0"/>
    <n v="0"/>
    <x v="0"/>
    <s v="Basic"/>
  </r>
  <r>
    <x v="1273"/>
    <x v="3"/>
    <x v="0"/>
    <x v="34"/>
    <x v="0"/>
    <n v="0"/>
    <x v="0"/>
    <s v="Basic"/>
  </r>
  <r>
    <x v="1274"/>
    <x v="2"/>
    <x v="1"/>
    <x v="219"/>
    <x v="1"/>
    <n v="0"/>
    <x v="0"/>
    <s v="Elite"/>
  </r>
  <r>
    <x v="1275"/>
    <x v="2"/>
    <x v="0"/>
    <x v="573"/>
    <x v="0"/>
    <n v="1"/>
    <x v="1"/>
    <s v="Inactive"/>
  </r>
  <r>
    <x v="1276"/>
    <x v="1"/>
    <x v="2"/>
    <x v="141"/>
    <x v="2"/>
    <n v="0"/>
    <x v="0"/>
    <s v="Premium"/>
  </r>
  <r>
    <x v="1277"/>
    <x v="2"/>
    <x v="0"/>
    <x v="553"/>
    <x v="0"/>
    <n v="0"/>
    <x v="0"/>
    <s v="Basic"/>
  </r>
  <r>
    <x v="1278"/>
    <x v="1"/>
    <x v="2"/>
    <x v="141"/>
    <x v="2"/>
    <n v="0"/>
    <x v="0"/>
    <s v="Premium"/>
  </r>
  <r>
    <x v="1279"/>
    <x v="3"/>
    <x v="0"/>
    <x v="570"/>
    <x v="0"/>
    <n v="0"/>
    <x v="0"/>
    <s v="Basic"/>
  </r>
  <r>
    <x v="1280"/>
    <x v="2"/>
    <x v="0"/>
    <x v="433"/>
    <x v="0"/>
    <n v="0"/>
    <x v="0"/>
    <s v="Basic"/>
  </r>
  <r>
    <x v="1281"/>
    <x v="3"/>
    <x v="2"/>
    <x v="303"/>
    <x v="2"/>
    <n v="0"/>
    <x v="0"/>
    <s v="Premium"/>
  </r>
  <r>
    <x v="1282"/>
    <x v="1"/>
    <x v="0"/>
    <x v="581"/>
    <x v="0"/>
    <n v="0"/>
    <x v="0"/>
    <s v="Basic"/>
  </r>
  <r>
    <x v="1283"/>
    <x v="1"/>
    <x v="0"/>
    <x v="452"/>
    <x v="0"/>
    <n v="1"/>
    <x v="1"/>
    <s v="Inactive"/>
  </r>
  <r>
    <x v="1284"/>
    <x v="1"/>
    <x v="1"/>
    <x v="308"/>
    <x v="1"/>
    <n v="0"/>
    <x v="0"/>
    <s v="Elite"/>
  </r>
  <r>
    <x v="1285"/>
    <x v="2"/>
    <x v="1"/>
    <x v="117"/>
    <x v="1"/>
    <n v="0"/>
    <x v="0"/>
    <s v="Elite"/>
  </r>
  <r>
    <x v="1286"/>
    <x v="2"/>
    <x v="0"/>
    <x v="212"/>
    <x v="0"/>
    <n v="0"/>
    <x v="0"/>
    <s v="Basic"/>
  </r>
  <r>
    <x v="1287"/>
    <x v="2"/>
    <x v="0"/>
    <x v="409"/>
    <x v="0"/>
    <n v="0"/>
    <x v="0"/>
    <s v="Basic"/>
  </r>
  <r>
    <x v="1288"/>
    <x v="1"/>
    <x v="0"/>
    <x v="38"/>
    <x v="0"/>
    <n v="1"/>
    <x v="1"/>
    <s v="Inactive"/>
  </r>
  <r>
    <x v="1289"/>
    <x v="3"/>
    <x v="0"/>
    <x v="76"/>
    <x v="0"/>
    <n v="0"/>
    <x v="0"/>
    <s v="Basic"/>
  </r>
  <r>
    <x v="1290"/>
    <x v="1"/>
    <x v="0"/>
    <x v="302"/>
    <x v="0"/>
    <n v="1"/>
    <x v="1"/>
    <s v="Inactive"/>
  </r>
  <r>
    <x v="1291"/>
    <x v="1"/>
    <x v="2"/>
    <x v="88"/>
    <x v="2"/>
    <n v="0"/>
    <x v="0"/>
    <s v="Premium"/>
  </r>
  <r>
    <x v="1292"/>
    <x v="1"/>
    <x v="0"/>
    <x v="447"/>
    <x v="0"/>
    <n v="0"/>
    <x v="0"/>
    <s v="Basic"/>
  </r>
  <r>
    <x v="1293"/>
    <x v="2"/>
    <x v="2"/>
    <x v="42"/>
    <x v="2"/>
    <n v="1"/>
    <x v="1"/>
    <s v="Inactive"/>
  </r>
  <r>
    <x v="1294"/>
    <x v="2"/>
    <x v="0"/>
    <x v="582"/>
    <x v="0"/>
    <n v="0"/>
    <x v="0"/>
    <s v="Basic"/>
  </r>
  <r>
    <x v="1295"/>
    <x v="1"/>
    <x v="0"/>
    <x v="269"/>
    <x v="0"/>
    <n v="0"/>
    <x v="0"/>
    <s v="Basic"/>
  </r>
  <r>
    <x v="1296"/>
    <x v="3"/>
    <x v="0"/>
    <x v="355"/>
    <x v="0"/>
    <n v="0"/>
    <x v="0"/>
    <s v="Basic"/>
  </r>
  <r>
    <x v="1297"/>
    <x v="3"/>
    <x v="0"/>
    <x v="264"/>
    <x v="0"/>
    <n v="0"/>
    <x v="0"/>
    <s v="Basic"/>
  </r>
  <r>
    <x v="1298"/>
    <x v="2"/>
    <x v="1"/>
    <x v="16"/>
    <x v="1"/>
    <n v="0"/>
    <x v="0"/>
    <s v="Elite"/>
  </r>
  <r>
    <x v="1299"/>
    <x v="3"/>
    <x v="0"/>
    <x v="320"/>
    <x v="0"/>
    <n v="0"/>
    <x v="0"/>
    <s v="Basic"/>
  </r>
  <r>
    <x v="1300"/>
    <x v="0"/>
    <x v="2"/>
    <x v="358"/>
    <x v="2"/>
    <n v="0"/>
    <x v="0"/>
    <s v="Premium"/>
  </r>
  <r>
    <x v="1301"/>
    <x v="0"/>
    <x v="0"/>
    <x v="284"/>
    <x v="0"/>
    <n v="0"/>
    <x v="0"/>
    <s v="Basic"/>
  </r>
  <r>
    <x v="1302"/>
    <x v="3"/>
    <x v="1"/>
    <x v="376"/>
    <x v="1"/>
    <n v="0"/>
    <x v="0"/>
    <s v="Elite"/>
  </r>
  <r>
    <x v="1303"/>
    <x v="1"/>
    <x v="2"/>
    <x v="384"/>
    <x v="2"/>
    <n v="0"/>
    <x v="0"/>
    <s v="Premium"/>
  </r>
  <r>
    <x v="1304"/>
    <x v="1"/>
    <x v="1"/>
    <x v="409"/>
    <x v="1"/>
    <n v="0"/>
    <x v="0"/>
    <s v="Elite"/>
  </r>
  <r>
    <x v="1305"/>
    <x v="0"/>
    <x v="0"/>
    <x v="73"/>
    <x v="0"/>
    <n v="0"/>
    <x v="0"/>
    <s v="Basic"/>
  </r>
  <r>
    <x v="1306"/>
    <x v="2"/>
    <x v="1"/>
    <x v="235"/>
    <x v="1"/>
    <n v="1"/>
    <x v="1"/>
    <s v="Inactive"/>
  </r>
  <r>
    <x v="1307"/>
    <x v="0"/>
    <x v="1"/>
    <x v="583"/>
    <x v="1"/>
    <n v="0"/>
    <x v="0"/>
    <s v="Elite"/>
  </r>
  <r>
    <x v="1308"/>
    <x v="0"/>
    <x v="0"/>
    <x v="416"/>
    <x v="0"/>
    <n v="0"/>
    <x v="0"/>
    <s v="Basic"/>
  </r>
  <r>
    <x v="1309"/>
    <x v="3"/>
    <x v="0"/>
    <x v="238"/>
    <x v="0"/>
    <n v="0"/>
    <x v="0"/>
    <s v="Basic"/>
  </r>
  <r>
    <x v="1310"/>
    <x v="1"/>
    <x v="2"/>
    <x v="584"/>
    <x v="2"/>
    <n v="0"/>
    <x v="0"/>
    <s v="Premium"/>
  </r>
  <r>
    <x v="1311"/>
    <x v="2"/>
    <x v="0"/>
    <x v="199"/>
    <x v="0"/>
    <n v="0"/>
    <x v="0"/>
    <s v="Basic"/>
  </r>
  <r>
    <x v="1312"/>
    <x v="1"/>
    <x v="0"/>
    <x v="70"/>
    <x v="0"/>
    <n v="1"/>
    <x v="1"/>
    <s v="Inactive"/>
  </r>
  <r>
    <x v="1313"/>
    <x v="1"/>
    <x v="0"/>
    <x v="585"/>
    <x v="0"/>
    <n v="0"/>
    <x v="0"/>
    <s v="Basic"/>
  </r>
  <r>
    <x v="1314"/>
    <x v="3"/>
    <x v="0"/>
    <x v="23"/>
    <x v="0"/>
    <n v="0"/>
    <x v="0"/>
    <s v="Basic"/>
  </r>
  <r>
    <x v="1315"/>
    <x v="1"/>
    <x v="0"/>
    <x v="496"/>
    <x v="0"/>
    <n v="0"/>
    <x v="0"/>
    <s v="Basic"/>
  </r>
  <r>
    <x v="1316"/>
    <x v="1"/>
    <x v="0"/>
    <x v="25"/>
    <x v="0"/>
    <n v="0"/>
    <x v="0"/>
    <s v="Basic"/>
  </r>
  <r>
    <x v="1317"/>
    <x v="3"/>
    <x v="1"/>
    <x v="312"/>
    <x v="1"/>
    <n v="0"/>
    <x v="0"/>
    <s v="Elite"/>
  </r>
  <r>
    <x v="1318"/>
    <x v="2"/>
    <x v="2"/>
    <x v="586"/>
    <x v="2"/>
    <n v="0"/>
    <x v="0"/>
    <s v="Premium"/>
  </r>
  <r>
    <x v="1319"/>
    <x v="3"/>
    <x v="0"/>
    <x v="158"/>
    <x v="0"/>
    <n v="0"/>
    <x v="0"/>
    <s v="Basic"/>
  </r>
  <r>
    <x v="1320"/>
    <x v="1"/>
    <x v="2"/>
    <x v="198"/>
    <x v="2"/>
    <n v="0"/>
    <x v="0"/>
    <s v="Premium"/>
  </r>
  <r>
    <x v="1321"/>
    <x v="3"/>
    <x v="1"/>
    <x v="41"/>
    <x v="1"/>
    <n v="0"/>
    <x v="0"/>
    <s v="Elite"/>
  </r>
  <r>
    <x v="1322"/>
    <x v="0"/>
    <x v="0"/>
    <x v="84"/>
    <x v="0"/>
    <n v="0"/>
    <x v="0"/>
    <s v="Basic"/>
  </r>
  <r>
    <x v="1323"/>
    <x v="0"/>
    <x v="0"/>
    <x v="204"/>
    <x v="0"/>
    <n v="0"/>
    <x v="0"/>
    <s v="Basic"/>
  </r>
  <r>
    <x v="1324"/>
    <x v="3"/>
    <x v="1"/>
    <x v="324"/>
    <x v="1"/>
    <n v="0"/>
    <x v="0"/>
    <s v="Elite"/>
  </r>
  <r>
    <x v="1325"/>
    <x v="2"/>
    <x v="2"/>
    <x v="587"/>
    <x v="2"/>
    <n v="0"/>
    <x v="0"/>
    <s v="Premium"/>
  </r>
  <r>
    <x v="1326"/>
    <x v="2"/>
    <x v="2"/>
    <x v="80"/>
    <x v="2"/>
    <n v="0"/>
    <x v="0"/>
    <s v="Premium"/>
  </r>
  <r>
    <x v="1327"/>
    <x v="0"/>
    <x v="0"/>
    <x v="251"/>
    <x v="0"/>
    <n v="0"/>
    <x v="0"/>
    <s v="Basic"/>
  </r>
  <r>
    <x v="1328"/>
    <x v="0"/>
    <x v="0"/>
    <x v="23"/>
    <x v="0"/>
    <n v="0"/>
    <x v="0"/>
    <s v="Basic"/>
  </r>
  <r>
    <x v="1329"/>
    <x v="3"/>
    <x v="1"/>
    <x v="542"/>
    <x v="1"/>
    <n v="1"/>
    <x v="1"/>
    <s v="Inactive"/>
  </r>
  <r>
    <x v="1330"/>
    <x v="2"/>
    <x v="0"/>
    <x v="477"/>
    <x v="0"/>
    <n v="0"/>
    <x v="0"/>
    <s v="Basic"/>
  </r>
  <r>
    <x v="1331"/>
    <x v="1"/>
    <x v="1"/>
    <x v="452"/>
    <x v="1"/>
    <n v="0"/>
    <x v="0"/>
    <s v="Elite"/>
  </r>
  <r>
    <x v="1332"/>
    <x v="0"/>
    <x v="0"/>
    <x v="193"/>
    <x v="0"/>
    <n v="0"/>
    <x v="0"/>
    <s v="Basic"/>
  </r>
  <r>
    <x v="1333"/>
    <x v="0"/>
    <x v="0"/>
    <x v="494"/>
    <x v="0"/>
    <n v="0"/>
    <x v="0"/>
    <s v="Basic"/>
  </r>
  <r>
    <x v="1334"/>
    <x v="3"/>
    <x v="0"/>
    <x v="237"/>
    <x v="0"/>
    <n v="0"/>
    <x v="0"/>
    <s v="Basic"/>
  </r>
  <r>
    <x v="1335"/>
    <x v="2"/>
    <x v="1"/>
    <x v="528"/>
    <x v="1"/>
    <n v="0"/>
    <x v="0"/>
    <s v="Elite"/>
  </r>
  <r>
    <x v="1336"/>
    <x v="1"/>
    <x v="2"/>
    <x v="41"/>
    <x v="2"/>
    <n v="0"/>
    <x v="0"/>
    <s v="Premium"/>
  </r>
  <r>
    <x v="1337"/>
    <x v="1"/>
    <x v="0"/>
    <x v="588"/>
    <x v="0"/>
    <n v="0"/>
    <x v="0"/>
    <s v="Basic"/>
  </r>
  <r>
    <x v="1338"/>
    <x v="3"/>
    <x v="1"/>
    <x v="589"/>
    <x v="1"/>
    <n v="0"/>
    <x v="0"/>
    <s v="Elite"/>
  </r>
  <r>
    <x v="1339"/>
    <x v="3"/>
    <x v="1"/>
    <x v="590"/>
    <x v="1"/>
    <n v="1"/>
    <x v="1"/>
    <s v="Inactive"/>
  </r>
  <r>
    <x v="1340"/>
    <x v="2"/>
    <x v="2"/>
    <x v="435"/>
    <x v="2"/>
    <n v="0"/>
    <x v="0"/>
    <s v="Premium"/>
  </r>
  <r>
    <x v="1341"/>
    <x v="1"/>
    <x v="0"/>
    <x v="277"/>
    <x v="0"/>
    <n v="0"/>
    <x v="0"/>
    <s v="Basic"/>
  </r>
  <r>
    <x v="1342"/>
    <x v="2"/>
    <x v="2"/>
    <x v="145"/>
    <x v="2"/>
    <n v="0"/>
    <x v="0"/>
    <s v="Premium"/>
  </r>
  <r>
    <x v="1343"/>
    <x v="3"/>
    <x v="2"/>
    <x v="325"/>
    <x v="2"/>
    <n v="0"/>
    <x v="0"/>
    <s v="Premium"/>
  </r>
  <r>
    <x v="1344"/>
    <x v="3"/>
    <x v="0"/>
    <x v="138"/>
    <x v="0"/>
    <n v="0"/>
    <x v="0"/>
    <s v="Basic"/>
  </r>
  <r>
    <x v="1345"/>
    <x v="0"/>
    <x v="0"/>
    <x v="474"/>
    <x v="0"/>
    <n v="1"/>
    <x v="1"/>
    <s v="Inactive"/>
  </r>
  <r>
    <x v="1346"/>
    <x v="1"/>
    <x v="0"/>
    <x v="451"/>
    <x v="0"/>
    <n v="0"/>
    <x v="0"/>
    <s v="Basic"/>
  </r>
  <r>
    <x v="1347"/>
    <x v="1"/>
    <x v="2"/>
    <x v="591"/>
    <x v="2"/>
    <n v="0"/>
    <x v="0"/>
    <s v="Premium"/>
  </r>
  <r>
    <x v="1348"/>
    <x v="2"/>
    <x v="0"/>
    <x v="592"/>
    <x v="0"/>
    <n v="0"/>
    <x v="0"/>
    <s v="Basic"/>
  </r>
  <r>
    <x v="1349"/>
    <x v="3"/>
    <x v="1"/>
    <x v="593"/>
    <x v="1"/>
    <n v="0"/>
    <x v="0"/>
    <s v="Elite"/>
  </r>
  <r>
    <x v="1350"/>
    <x v="1"/>
    <x v="2"/>
    <x v="52"/>
    <x v="2"/>
    <n v="0"/>
    <x v="0"/>
    <s v="Premium"/>
  </r>
  <r>
    <x v="1351"/>
    <x v="2"/>
    <x v="2"/>
    <x v="507"/>
    <x v="2"/>
    <n v="0"/>
    <x v="0"/>
    <s v="Premium"/>
  </r>
  <r>
    <x v="1352"/>
    <x v="1"/>
    <x v="0"/>
    <x v="594"/>
    <x v="0"/>
    <n v="1"/>
    <x v="1"/>
    <s v="Inactive"/>
  </r>
  <r>
    <x v="1353"/>
    <x v="1"/>
    <x v="0"/>
    <x v="179"/>
    <x v="0"/>
    <n v="0"/>
    <x v="0"/>
    <s v="Basic"/>
  </r>
  <r>
    <x v="1354"/>
    <x v="2"/>
    <x v="2"/>
    <x v="201"/>
    <x v="2"/>
    <n v="0"/>
    <x v="0"/>
    <s v="Premium"/>
  </r>
  <r>
    <x v="1355"/>
    <x v="1"/>
    <x v="1"/>
    <x v="595"/>
    <x v="1"/>
    <n v="1"/>
    <x v="1"/>
    <s v="Inactive"/>
  </r>
  <r>
    <x v="1356"/>
    <x v="1"/>
    <x v="0"/>
    <x v="558"/>
    <x v="0"/>
    <n v="1"/>
    <x v="1"/>
    <s v="Inactive"/>
  </r>
  <r>
    <x v="1357"/>
    <x v="3"/>
    <x v="0"/>
    <x v="106"/>
    <x v="0"/>
    <n v="1"/>
    <x v="1"/>
    <s v="Inactive"/>
  </r>
  <r>
    <x v="1358"/>
    <x v="3"/>
    <x v="2"/>
    <x v="267"/>
    <x v="2"/>
    <n v="0"/>
    <x v="0"/>
    <s v="Premium"/>
  </r>
  <r>
    <x v="1359"/>
    <x v="1"/>
    <x v="2"/>
    <x v="32"/>
    <x v="2"/>
    <n v="0"/>
    <x v="0"/>
    <s v="Premium"/>
  </r>
  <r>
    <x v="1360"/>
    <x v="3"/>
    <x v="0"/>
    <x v="207"/>
    <x v="0"/>
    <n v="0"/>
    <x v="0"/>
    <s v="Basic"/>
  </r>
  <r>
    <x v="1361"/>
    <x v="0"/>
    <x v="1"/>
    <x v="283"/>
    <x v="1"/>
    <n v="0"/>
    <x v="0"/>
    <s v="Elite"/>
  </r>
  <r>
    <x v="1362"/>
    <x v="1"/>
    <x v="0"/>
    <x v="143"/>
    <x v="0"/>
    <n v="0"/>
    <x v="0"/>
    <s v="Basic"/>
  </r>
  <r>
    <x v="1363"/>
    <x v="3"/>
    <x v="2"/>
    <x v="479"/>
    <x v="2"/>
    <n v="0"/>
    <x v="0"/>
    <s v="Premium"/>
  </r>
  <r>
    <x v="1364"/>
    <x v="0"/>
    <x v="0"/>
    <x v="445"/>
    <x v="0"/>
    <n v="0"/>
    <x v="0"/>
    <s v="Basic"/>
  </r>
  <r>
    <x v="1365"/>
    <x v="3"/>
    <x v="0"/>
    <x v="276"/>
    <x v="0"/>
    <n v="0"/>
    <x v="0"/>
    <s v="Basic"/>
  </r>
  <r>
    <x v="1366"/>
    <x v="1"/>
    <x v="0"/>
    <x v="596"/>
    <x v="0"/>
    <n v="0"/>
    <x v="0"/>
    <s v="Basic"/>
  </r>
  <r>
    <x v="1367"/>
    <x v="1"/>
    <x v="2"/>
    <x v="597"/>
    <x v="2"/>
    <n v="0"/>
    <x v="0"/>
    <s v="Premium"/>
  </r>
  <r>
    <x v="1368"/>
    <x v="0"/>
    <x v="0"/>
    <x v="33"/>
    <x v="0"/>
    <n v="0"/>
    <x v="0"/>
    <s v="Basic"/>
  </r>
  <r>
    <x v="1369"/>
    <x v="1"/>
    <x v="0"/>
    <x v="381"/>
    <x v="0"/>
    <n v="0"/>
    <x v="0"/>
    <s v="Basic"/>
  </r>
  <r>
    <x v="1370"/>
    <x v="1"/>
    <x v="2"/>
    <x v="598"/>
    <x v="2"/>
    <n v="0"/>
    <x v="0"/>
    <s v="Premium"/>
  </r>
  <r>
    <x v="1371"/>
    <x v="2"/>
    <x v="0"/>
    <x v="403"/>
    <x v="0"/>
    <n v="0"/>
    <x v="0"/>
    <s v="Basic"/>
  </r>
  <r>
    <x v="1372"/>
    <x v="1"/>
    <x v="0"/>
    <x v="599"/>
    <x v="0"/>
    <n v="0"/>
    <x v="0"/>
    <s v="Basic"/>
  </r>
  <r>
    <x v="1373"/>
    <x v="3"/>
    <x v="1"/>
    <x v="313"/>
    <x v="1"/>
    <n v="1"/>
    <x v="1"/>
    <s v="Inactive"/>
  </r>
  <r>
    <x v="1374"/>
    <x v="3"/>
    <x v="0"/>
    <x v="574"/>
    <x v="0"/>
    <n v="0"/>
    <x v="0"/>
    <s v="Basic"/>
  </r>
  <r>
    <x v="1375"/>
    <x v="1"/>
    <x v="1"/>
    <x v="522"/>
    <x v="1"/>
    <n v="0"/>
    <x v="0"/>
    <s v="Elite"/>
  </r>
  <r>
    <x v="1376"/>
    <x v="3"/>
    <x v="2"/>
    <x v="600"/>
    <x v="2"/>
    <n v="0"/>
    <x v="0"/>
    <s v="Premium"/>
  </r>
  <r>
    <x v="1377"/>
    <x v="1"/>
    <x v="2"/>
    <x v="122"/>
    <x v="2"/>
    <n v="0"/>
    <x v="0"/>
    <s v="Premium"/>
  </r>
  <r>
    <x v="1378"/>
    <x v="3"/>
    <x v="0"/>
    <x v="570"/>
    <x v="0"/>
    <n v="0"/>
    <x v="0"/>
    <s v="Basic"/>
  </r>
  <r>
    <x v="1379"/>
    <x v="0"/>
    <x v="0"/>
    <x v="92"/>
    <x v="0"/>
    <n v="0"/>
    <x v="0"/>
    <s v="Basic"/>
  </r>
  <r>
    <x v="1380"/>
    <x v="1"/>
    <x v="0"/>
    <x v="142"/>
    <x v="0"/>
    <n v="0"/>
    <x v="0"/>
    <s v="Basic"/>
  </r>
  <r>
    <x v="1381"/>
    <x v="0"/>
    <x v="1"/>
    <x v="214"/>
    <x v="1"/>
    <n v="0"/>
    <x v="0"/>
    <s v="Elite"/>
  </r>
  <r>
    <x v="1382"/>
    <x v="1"/>
    <x v="0"/>
    <x v="213"/>
    <x v="0"/>
    <n v="0"/>
    <x v="0"/>
    <s v="Basic"/>
  </r>
  <r>
    <x v="1383"/>
    <x v="1"/>
    <x v="1"/>
    <x v="129"/>
    <x v="1"/>
    <n v="0"/>
    <x v="0"/>
    <s v="Elite"/>
  </r>
  <r>
    <x v="1384"/>
    <x v="2"/>
    <x v="0"/>
    <x v="601"/>
    <x v="0"/>
    <n v="0"/>
    <x v="0"/>
    <s v="Basic"/>
  </r>
  <r>
    <x v="1385"/>
    <x v="1"/>
    <x v="0"/>
    <x v="591"/>
    <x v="0"/>
    <n v="0"/>
    <x v="0"/>
    <s v="Basic"/>
  </r>
  <r>
    <x v="1386"/>
    <x v="1"/>
    <x v="0"/>
    <x v="425"/>
    <x v="0"/>
    <n v="0"/>
    <x v="0"/>
    <s v="Basic"/>
  </r>
  <r>
    <x v="1387"/>
    <x v="3"/>
    <x v="1"/>
    <x v="478"/>
    <x v="1"/>
    <n v="0"/>
    <x v="0"/>
    <s v="Elite"/>
  </r>
  <r>
    <x v="1388"/>
    <x v="1"/>
    <x v="0"/>
    <x v="369"/>
    <x v="0"/>
    <n v="1"/>
    <x v="1"/>
    <s v="Inactive"/>
  </r>
  <r>
    <x v="1389"/>
    <x v="3"/>
    <x v="2"/>
    <x v="297"/>
    <x v="2"/>
    <n v="0"/>
    <x v="0"/>
    <s v="Premium"/>
  </r>
  <r>
    <x v="1390"/>
    <x v="1"/>
    <x v="0"/>
    <x v="341"/>
    <x v="0"/>
    <n v="0"/>
    <x v="0"/>
    <s v="Basic"/>
  </r>
  <r>
    <x v="1391"/>
    <x v="0"/>
    <x v="2"/>
    <x v="472"/>
    <x v="2"/>
    <n v="0"/>
    <x v="0"/>
    <s v="Premium"/>
  </r>
  <r>
    <x v="1392"/>
    <x v="1"/>
    <x v="0"/>
    <x v="566"/>
    <x v="0"/>
    <n v="1"/>
    <x v="1"/>
    <s v="Inactive"/>
  </r>
  <r>
    <x v="1393"/>
    <x v="3"/>
    <x v="2"/>
    <x v="320"/>
    <x v="2"/>
    <n v="0"/>
    <x v="0"/>
    <s v="Premium"/>
  </r>
  <r>
    <x v="1394"/>
    <x v="1"/>
    <x v="0"/>
    <x v="140"/>
    <x v="0"/>
    <n v="1"/>
    <x v="1"/>
    <s v="Inactive"/>
  </r>
  <r>
    <x v="1395"/>
    <x v="3"/>
    <x v="2"/>
    <x v="575"/>
    <x v="2"/>
    <n v="0"/>
    <x v="0"/>
    <s v="Premium"/>
  </r>
  <r>
    <x v="1396"/>
    <x v="3"/>
    <x v="1"/>
    <x v="467"/>
    <x v="1"/>
    <n v="0"/>
    <x v="0"/>
    <s v="Elite"/>
  </r>
  <r>
    <x v="1397"/>
    <x v="1"/>
    <x v="2"/>
    <x v="259"/>
    <x v="2"/>
    <n v="0"/>
    <x v="0"/>
    <s v="Premium"/>
  </r>
  <r>
    <x v="1398"/>
    <x v="3"/>
    <x v="0"/>
    <x v="10"/>
    <x v="0"/>
    <n v="0"/>
    <x v="0"/>
    <s v="Basic"/>
  </r>
  <r>
    <x v="1399"/>
    <x v="3"/>
    <x v="1"/>
    <x v="117"/>
    <x v="1"/>
    <n v="0"/>
    <x v="0"/>
    <s v="Elite"/>
  </r>
  <r>
    <x v="1400"/>
    <x v="2"/>
    <x v="2"/>
    <x v="506"/>
    <x v="2"/>
    <n v="1"/>
    <x v="1"/>
    <s v="Inactive"/>
  </r>
  <r>
    <x v="1401"/>
    <x v="1"/>
    <x v="0"/>
    <x v="163"/>
    <x v="0"/>
    <n v="0"/>
    <x v="0"/>
    <s v="Basic"/>
  </r>
  <r>
    <x v="1402"/>
    <x v="2"/>
    <x v="0"/>
    <x v="314"/>
    <x v="0"/>
    <n v="0"/>
    <x v="0"/>
    <s v="Basic"/>
  </r>
  <r>
    <x v="1403"/>
    <x v="1"/>
    <x v="2"/>
    <x v="602"/>
    <x v="2"/>
    <n v="0"/>
    <x v="0"/>
    <s v="Premium"/>
  </r>
  <r>
    <x v="1404"/>
    <x v="1"/>
    <x v="2"/>
    <x v="469"/>
    <x v="2"/>
    <n v="0"/>
    <x v="0"/>
    <s v="Premium"/>
  </r>
  <r>
    <x v="1405"/>
    <x v="1"/>
    <x v="2"/>
    <x v="401"/>
    <x v="2"/>
    <n v="1"/>
    <x v="1"/>
    <s v="Inactive"/>
  </r>
  <r>
    <x v="1406"/>
    <x v="3"/>
    <x v="0"/>
    <x v="114"/>
    <x v="0"/>
    <n v="0"/>
    <x v="0"/>
    <s v="Basic"/>
  </r>
  <r>
    <x v="1407"/>
    <x v="2"/>
    <x v="2"/>
    <x v="347"/>
    <x v="2"/>
    <n v="0"/>
    <x v="0"/>
    <s v="Premium"/>
  </r>
  <r>
    <x v="1408"/>
    <x v="1"/>
    <x v="2"/>
    <x v="603"/>
    <x v="2"/>
    <n v="0"/>
    <x v="0"/>
    <s v="Premium"/>
  </r>
  <r>
    <x v="1409"/>
    <x v="3"/>
    <x v="0"/>
    <x v="580"/>
    <x v="0"/>
    <n v="0"/>
    <x v="0"/>
    <s v="Basic"/>
  </r>
  <r>
    <x v="1410"/>
    <x v="1"/>
    <x v="0"/>
    <x v="535"/>
    <x v="0"/>
    <n v="0"/>
    <x v="0"/>
    <s v="Basic"/>
  </r>
  <r>
    <x v="1411"/>
    <x v="1"/>
    <x v="2"/>
    <x v="397"/>
    <x v="2"/>
    <n v="0"/>
    <x v="0"/>
    <s v="Premium"/>
  </r>
  <r>
    <x v="1412"/>
    <x v="1"/>
    <x v="2"/>
    <x v="593"/>
    <x v="2"/>
    <n v="0"/>
    <x v="0"/>
    <s v="Premium"/>
  </r>
  <r>
    <x v="1413"/>
    <x v="1"/>
    <x v="0"/>
    <x v="604"/>
    <x v="0"/>
    <n v="0"/>
    <x v="0"/>
    <s v="Basic"/>
  </r>
  <r>
    <x v="1414"/>
    <x v="1"/>
    <x v="2"/>
    <x v="185"/>
    <x v="2"/>
    <n v="0"/>
    <x v="0"/>
    <s v="Premium"/>
  </r>
  <r>
    <x v="1415"/>
    <x v="3"/>
    <x v="2"/>
    <x v="170"/>
    <x v="2"/>
    <n v="0"/>
    <x v="0"/>
    <s v="Premium"/>
  </r>
  <r>
    <x v="1416"/>
    <x v="2"/>
    <x v="1"/>
    <x v="251"/>
    <x v="1"/>
    <n v="0"/>
    <x v="0"/>
    <s v="Elite"/>
  </r>
  <r>
    <x v="1417"/>
    <x v="1"/>
    <x v="2"/>
    <x v="605"/>
    <x v="2"/>
    <n v="0"/>
    <x v="0"/>
    <s v="Premium"/>
  </r>
  <r>
    <x v="1418"/>
    <x v="3"/>
    <x v="0"/>
    <x v="174"/>
    <x v="0"/>
    <n v="1"/>
    <x v="1"/>
    <s v="Inactive"/>
  </r>
  <r>
    <x v="1419"/>
    <x v="0"/>
    <x v="0"/>
    <x v="89"/>
    <x v="0"/>
    <n v="0"/>
    <x v="0"/>
    <s v="Basic"/>
  </r>
  <r>
    <x v="1420"/>
    <x v="3"/>
    <x v="2"/>
    <x v="241"/>
    <x v="2"/>
    <n v="0"/>
    <x v="0"/>
    <s v="Premium"/>
  </r>
  <r>
    <x v="1421"/>
    <x v="3"/>
    <x v="2"/>
    <x v="335"/>
    <x v="2"/>
    <n v="0"/>
    <x v="0"/>
    <s v="Premium"/>
  </r>
  <r>
    <x v="1422"/>
    <x v="0"/>
    <x v="2"/>
    <x v="502"/>
    <x v="2"/>
    <n v="0"/>
    <x v="0"/>
    <s v="Premium"/>
  </r>
  <r>
    <x v="1423"/>
    <x v="2"/>
    <x v="2"/>
    <x v="505"/>
    <x v="2"/>
    <n v="0"/>
    <x v="0"/>
    <s v="Premium"/>
  </r>
  <r>
    <x v="1424"/>
    <x v="3"/>
    <x v="0"/>
    <x v="270"/>
    <x v="0"/>
    <n v="0"/>
    <x v="0"/>
    <s v="Basic"/>
  </r>
  <r>
    <x v="1425"/>
    <x v="0"/>
    <x v="0"/>
    <x v="385"/>
    <x v="0"/>
    <n v="0"/>
    <x v="0"/>
    <s v="Basic"/>
  </r>
  <r>
    <x v="1426"/>
    <x v="1"/>
    <x v="0"/>
    <x v="61"/>
    <x v="0"/>
    <n v="0"/>
    <x v="0"/>
    <s v="Basic"/>
  </r>
  <r>
    <x v="1427"/>
    <x v="1"/>
    <x v="0"/>
    <x v="112"/>
    <x v="0"/>
    <n v="1"/>
    <x v="1"/>
    <s v="Inactive"/>
  </r>
  <r>
    <x v="1428"/>
    <x v="2"/>
    <x v="0"/>
    <x v="268"/>
    <x v="0"/>
    <n v="0"/>
    <x v="0"/>
    <s v="Basic"/>
  </r>
  <r>
    <x v="1429"/>
    <x v="0"/>
    <x v="1"/>
    <x v="602"/>
    <x v="1"/>
    <n v="0"/>
    <x v="0"/>
    <s v="Elite"/>
  </r>
  <r>
    <x v="1430"/>
    <x v="1"/>
    <x v="1"/>
    <x v="434"/>
    <x v="1"/>
    <n v="0"/>
    <x v="0"/>
    <s v="Elite"/>
  </r>
  <r>
    <x v="1431"/>
    <x v="0"/>
    <x v="2"/>
    <x v="517"/>
    <x v="2"/>
    <n v="0"/>
    <x v="0"/>
    <s v="Premium"/>
  </r>
  <r>
    <x v="1432"/>
    <x v="0"/>
    <x v="2"/>
    <x v="606"/>
    <x v="2"/>
    <n v="1"/>
    <x v="1"/>
    <s v="Inactive"/>
  </r>
  <r>
    <x v="1433"/>
    <x v="0"/>
    <x v="0"/>
    <x v="323"/>
    <x v="0"/>
    <n v="0"/>
    <x v="0"/>
    <s v="Basic"/>
  </r>
  <r>
    <x v="1434"/>
    <x v="3"/>
    <x v="2"/>
    <x v="364"/>
    <x v="2"/>
    <n v="0"/>
    <x v="0"/>
    <s v="Premium"/>
  </r>
  <r>
    <x v="1435"/>
    <x v="2"/>
    <x v="0"/>
    <x v="125"/>
    <x v="0"/>
    <n v="0"/>
    <x v="0"/>
    <s v="Basic"/>
  </r>
  <r>
    <x v="1436"/>
    <x v="1"/>
    <x v="1"/>
    <x v="571"/>
    <x v="1"/>
    <n v="1"/>
    <x v="1"/>
    <s v="Inactive"/>
  </r>
  <r>
    <x v="1437"/>
    <x v="0"/>
    <x v="2"/>
    <x v="431"/>
    <x v="2"/>
    <n v="0"/>
    <x v="0"/>
    <s v="Premium"/>
  </r>
  <r>
    <x v="1438"/>
    <x v="1"/>
    <x v="2"/>
    <x v="426"/>
    <x v="2"/>
    <n v="0"/>
    <x v="0"/>
    <s v="Premium"/>
  </r>
  <r>
    <x v="1439"/>
    <x v="1"/>
    <x v="2"/>
    <x v="401"/>
    <x v="2"/>
    <n v="0"/>
    <x v="0"/>
    <s v="Premium"/>
  </r>
  <r>
    <x v="1440"/>
    <x v="2"/>
    <x v="2"/>
    <x v="590"/>
    <x v="2"/>
    <n v="0"/>
    <x v="0"/>
    <s v="Premium"/>
  </r>
  <r>
    <x v="1441"/>
    <x v="1"/>
    <x v="2"/>
    <x v="389"/>
    <x v="2"/>
    <n v="0"/>
    <x v="0"/>
    <s v="Premium"/>
  </r>
  <r>
    <x v="1442"/>
    <x v="0"/>
    <x v="2"/>
    <x v="591"/>
    <x v="2"/>
    <n v="0"/>
    <x v="0"/>
    <s v="Premium"/>
  </r>
  <r>
    <x v="1443"/>
    <x v="3"/>
    <x v="0"/>
    <x v="238"/>
    <x v="0"/>
    <n v="0"/>
    <x v="0"/>
    <s v="Basic"/>
  </r>
  <r>
    <x v="1444"/>
    <x v="3"/>
    <x v="1"/>
    <x v="279"/>
    <x v="1"/>
    <n v="0"/>
    <x v="0"/>
    <s v="Elite"/>
  </r>
  <r>
    <x v="1445"/>
    <x v="2"/>
    <x v="0"/>
    <x v="607"/>
    <x v="0"/>
    <n v="0"/>
    <x v="0"/>
    <s v="Basic"/>
  </r>
  <r>
    <x v="1446"/>
    <x v="2"/>
    <x v="1"/>
    <x v="594"/>
    <x v="1"/>
    <n v="1"/>
    <x v="1"/>
    <s v="Inactive"/>
  </r>
  <r>
    <x v="1447"/>
    <x v="0"/>
    <x v="0"/>
    <x v="230"/>
    <x v="0"/>
    <n v="0"/>
    <x v="0"/>
    <s v="Basic"/>
  </r>
  <r>
    <x v="1448"/>
    <x v="2"/>
    <x v="2"/>
    <x v="547"/>
    <x v="2"/>
    <n v="0"/>
    <x v="0"/>
    <s v="Premium"/>
  </r>
  <r>
    <x v="1449"/>
    <x v="0"/>
    <x v="2"/>
    <x v="302"/>
    <x v="2"/>
    <n v="0"/>
    <x v="0"/>
    <s v="Premium"/>
  </r>
  <r>
    <x v="1450"/>
    <x v="0"/>
    <x v="0"/>
    <x v="300"/>
    <x v="0"/>
    <n v="0"/>
    <x v="0"/>
    <s v="Basic"/>
  </r>
  <r>
    <x v="1451"/>
    <x v="3"/>
    <x v="1"/>
    <x v="274"/>
    <x v="1"/>
    <n v="1"/>
    <x v="1"/>
    <s v="Inactive"/>
  </r>
  <r>
    <x v="1452"/>
    <x v="2"/>
    <x v="2"/>
    <x v="343"/>
    <x v="2"/>
    <n v="0"/>
    <x v="0"/>
    <s v="Premium"/>
  </r>
  <r>
    <x v="1453"/>
    <x v="3"/>
    <x v="0"/>
    <x v="416"/>
    <x v="0"/>
    <n v="0"/>
    <x v="0"/>
    <s v="Basic"/>
  </r>
  <r>
    <x v="1454"/>
    <x v="1"/>
    <x v="2"/>
    <x v="608"/>
    <x v="2"/>
    <n v="0"/>
    <x v="0"/>
    <s v="Premium"/>
  </r>
  <r>
    <x v="1455"/>
    <x v="0"/>
    <x v="2"/>
    <x v="303"/>
    <x v="2"/>
    <n v="0"/>
    <x v="0"/>
    <s v="Premium"/>
  </r>
  <r>
    <x v="1456"/>
    <x v="1"/>
    <x v="0"/>
    <x v="292"/>
    <x v="0"/>
    <n v="0"/>
    <x v="0"/>
    <s v="Basic"/>
  </r>
  <r>
    <x v="1457"/>
    <x v="1"/>
    <x v="0"/>
    <x v="456"/>
    <x v="0"/>
    <n v="0"/>
    <x v="0"/>
    <s v="Basic"/>
  </r>
  <r>
    <x v="1458"/>
    <x v="1"/>
    <x v="0"/>
    <x v="246"/>
    <x v="0"/>
    <n v="0"/>
    <x v="0"/>
    <s v="Basic"/>
  </r>
  <r>
    <x v="1459"/>
    <x v="1"/>
    <x v="0"/>
    <x v="609"/>
    <x v="0"/>
    <n v="0"/>
    <x v="0"/>
    <s v="Basic"/>
  </r>
  <r>
    <x v="1460"/>
    <x v="3"/>
    <x v="0"/>
    <x v="175"/>
    <x v="0"/>
    <n v="0"/>
    <x v="0"/>
    <s v="Basic"/>
  </r>
  <r>
    <x v="1461"/>
    <x v="2"/>
    <x v="0"/>
    <x v="269"/>
    <x v="0"/>
    <n v="1"/>
    <x v="1"/>
    <s v="Inactive"/>
  </r>
  <r>
    <x v="1462"/>
    <x v="3"/>
    <x v="1"/>
    <x v="260"/>
    <x v="1"/>
    <n v="0"/>
    <x v="0"/>
    <s v="Elite"/>
  </r>
  <r>
    <x v="1463"/>
    <x v="1"/>
    <x v="2"/>
    <x v="606"/>
    <x v="2"/>
    <n v="0"/>
    <x v="0"/>
    <s v="Premium"/>
  </r>
  <r>
    <x v="1464"/>
    <x v="2"/>
    <x v="2"/>
    <x v="295"/>
    <x v="2"/>
    <n v="0"/>
    <x v="0"/>
    <s v="Premium"/>
  </r>
  <r>
    <x v="1465"/>
    <x v="2"/>
    <x v="0"/>
    <x v="202"/>
    <x v="0"/>
    <n v="0"/>
    <x v="0"/>
    <s v="Basic"/>
  </r>
  <r>
    <x v="1466"/>
    <x v="1"/>
    <x v="0"/>
    <x v="221"/>
    <x v="0"/>
    <n v="0"/>
    <x v="0"/>
    <s v="Basic"/>
  </r>
  <r>
    <x v="1467"/>
    <x v="1"/>
    <x v="2"/>
    <x v="610"/>
    <x v="2"/>
    <n v="0"/>
    <x v="0"/>
    <s v="Premium"/>
  </r>
  <r>
    <x v="1468"/>
    <x v="3"/>
    <x v="2"/>
    <x v="603"/>
    <x v="2"/>
    <n v="1"/>
    <x v="1"/>
    <s v="Inactive"/>
  </r>
  <r>
    <x v="1469"/>
    <x v="1"/>
    <x v="0"/>
    <x v="340"/>
    <x v="0"/>
    <n v="0"/>
    <x v="0"/>
    <s v="Basic"/>
  </r>
  <r>
    <x v="1470"/>
    <x v="2"/>
    <x v="2"/>
    <x v="611"/>
    <x v="2"/>
    <n v="1"/>
    <x v="1"/>
    <s v="Inactive"/>
  </r>
  <r>
    <x v="1471"/>
    <x v="1"/>
    <x v="2"/>
    <x v="501"/>
    <x v="2"/>
    <n v="0"/>
    <x v="0"/>
    <s v="Premium"/>
  </r>
  <r>
    <x v="1472"/>
    <x v="3"/>
    <x v="0"/>
    <x v="220"/>
    <x v="0"/>
    <n v="0"/>
    <x v="0"/>
    <s v="Basic"/>
  </r>
  <r>
    <x v="1473"/>
    <x v="0"/>
    <x v="1"/>
    <x v="56"/>
    <x v="1"/>
    <n v="0"/>
    <x v="0"/>
    <s v="Elite"/>
  </r>
  <r>
    <x v="1474"/>
    <x v="1"/>
    <x v="0"/>
    <x v="502"/>
    <x v="0"/>
    <n v="0"/>
    <x v="0"/>
    <s v="Basic"/>
  </r>
  <r>
    <x v="1475"/>
    <x v="3"/>
    <x v="1"/>
    <x v="465"/>
    <x v="1"/>
    <n v="0"/>
    <x v="0"/>
    <s v="Elite"/>
  </r>
  <r>
    <x v="1476"/>
    <x v="0"/>
    <x v="0"/>
    <x v="52"/>
    <x v="0"/>
    <n v="0"/>
    <x v="0"/>
    <s v="Basic"/>
  </r>
  <r>
    <x v="1477"/>
    <x v="1"/>
    <x v="2"/>
    <x v="311"/>
    <x v="2"/>
    <n v="1"/>
    <x v="1"/>
    <s v="Inactive"/>
  </r>
  <r>
    <x v="1478"/>
    <x v="3"/>
    <x v="1"/>
    <x v="266"/>
    <x v="1"/>
    <n v="0"/>
    <x v="0"/>
    <s v="Elite"/>
  </r>
  <r>
    <x v="1479"/>
    <x v="2"/>
    <x v="2"/>
    <x v="25"/>
    <x v="2"/>
    <n v="0"/>
    <x v="0"/>
    <s v="Premium"/>
  </r>
  <r>
    <x v="1480"/>
    <x v="1"/>
    <x v="0"/>
    <x v="336"/>
    <x v="0"/>
    <n v="0"/>
    <x v="0"/>
    <s v="Basic"/>
  </r>
  <r>
    <x v="1481"/>
    <x v="0"/>
    <x v="1"/>
    <x v="331"/>
    <x v="1"/>
    <n v="1"/>
    <x v="1"/>
    <s v="Inactive"/>
  </r>
  <r>
    <x v="1482"/>
    <x v="0"/>
    <x v="0"/>
    <x v="156"/>
    <x v="0"/>
    <n v="0"/>
    <x v="0"/>
    <s v="Basic"/>
  </r>
  <r>
    <x v="1483"/>
    <x v="3"/>
    <x v="0"/>
    <x v="252"/>
    <x v="0"/>
    <n v="0"/>
    <x v="0"/>
    <s v="Basic"/>
  </r>
  <r>
    <x v="1484"/>
    <x v="1"/>
    <x v="2"/>
    <x v="461"/>
    <x v="2"/>
    <n v="0"/>
    <x v="0"/>
    <s v="Premium"/>
  </r>
  <r>
    <x v="1485"/>
    <x v="3"/>
    <x v="0"/>
    <x v="435"/>
    <x v="0"/>
    <n v="0"/>
    <x v="0"/>
    <s v="Basic"/>
  </r>
  <r>
    <x v="1486"/>
    <x v="1"/>
    <x v="2"/>
    <x v="59"/>
    <x v="2"/>
    <n v="1"/>
    <x v="1"/>
    <s v="Inactive"/>
  </r>
  <r>
    <x v="1487"/>
    <x v="0"/>
    <x v="0"/>
    <x v="314"/>
    <x v="0"/>
    <n v="0"/>
    <x v="0"/>
    <s v="Basic"/>
  </r>
  <r>
    <x v="1488"/>
    <x v="1"/>
    <x v="0"/>
    <x v="413"/>
    <x v="0"/>
    <n v="1"/>
    <x v="1"/>
    <s v="Inactive"/>
  </r>
  <r>
    <x v="1489"/>
    <x v="3"/>
    <x v="0"/>
    <x v="447"/>
    <x v="0"/>
    <n v="0"/>
    <x v="0"/>
    <s v="Basic"/>
  </r>
  <r>
    <x v="1490"/>
    <x v="2"/>
    <x v="0"/>
    <x v="104"/>
    <x v="0"/>
    <n v="1"/>
    <x v="1"/>
    <s v="Inactive"/>
  </r>
  <r>
    <x v="1491"/>
    <x v="1"/>
    <x v="1"/>
    <x v="294"/>
    <x v="1"/>
    <n v="1"/>
    <x v="1"/>
    <s v="Inactive"/>
  </r>
  <r>
    <x v="1492"/>
    <x v="1"/>
    <x v="2"/>
    <x v="68"/>
    <x v="2"/>
    <n v="1"/>
    <x v="1"/>
    <s v="Inactive"/>
  </r>
  <r>
    <x v="1493"/>
    <x v="3"/>
    <x v="0"/>
    <x v="156"/>
    <x v="0"/>
    <n v="0"/>
    <x v="0"/>
    <s v="Basic"/>
  </r>
  <r>
    <x v="1494"/>
    <x v="3"/>
    <x v="0"/>
    <x v="338"/>
    <x v="0"/>
    <n v="0"/>
    <x v="0"/>
    <s v="Basic"/>
  </r>
  <r>
    <x v="1495"/>
    <x v="2"/>
    <x v="0"/>
    <x v="423"/>
    <x v="0"/>
    <n v="0"/>
    <x v="0"/>
    <s v="Basic"/>
  </r>
  <r>
    <x v="1496"/>
    <x v="2"/>
    <x v="2"/>
    <x v="593"/>
    <x v="2"/>
    <n v="0"/>
    <x v="0"/>
    <s v="Premium"/>
  </r>
  <r>
    <x v="1497"/>
    <x v="2"/>
    <x v="2"/>
    <x v="403"/>
    <x v="2"/>
    <n v="0"/>
    <x v="0"/>
    <s v="Premium"/>
  </r>
  <r>
    <x v="1498"/>
    <x v="1"/>
    <x v="2"/>
    <x v="349"/>
    <x v="2"/>
    <n v="0"/>
    <x v="0"/>
    <s v="Premium"/>
  </r>
  <r>
    <x v="1499"/>
    <x v="1"/>
    <x v="0"/>
    <x v="529"/>
    <x v="0"/>
    <n v="0"/>
    <x v="0"/>
    <s v="Basic"/>
  </r>
  <r>
    <x v="1500"/>
    <x v="1"/>
    <x v="2"/>
    <x v="247"/>
    <x v="2"/>
    <n v="1"/>
    <x v="1"/>
    <s v="Inactive"/>
  </r>
  <r>
    <x v="1501"/>
    <x v="0"/>
    <x v="1"/>
    <x v="469"/>
    <x v="1"/>
    <n v="0"/>
    <x v="0"/>
    <s v="Elite"/>
  </r>
  <r>
    <x v="1502"/>
    <x v="1"/>
    <x v="0"/>
    <x v="33"/>
    <x v="0"/>
    <n v="0"/>
    <x v="0"/>
    <s v="Basic"/>
  </r>
  <r>
    <x v="1503"/>
    <x v="0"/>
    <x v="1"/>
    <x v="612"/>
    <x v="1"/>
    <n v="0"/>
    <x v="0"/>
    <s v="Elite"/>
  </r>
  <r>
    <x v="1504"/>
    <x v="3"/>
    <x v="0"/>
    <x v="477"/>
    <x v="0"/>
    <n v="0"/>
    <x v="0"/>
    <s v="Basic"/>
  </r>
  <r>
    <x v="1505"/>
    <x v="2"/>
    <x v="0"/>
    <x v="484"/>
    <x v="0"/>
    <n v="0"/>
    <x v="0"/>
    <s v="Basic"/>
  </r>
  <r>
    <x v="1506"/>
    <x v="3"/>
    <x v="0"/>
    <x v="236"/>
    <x v="0"/>
    <n v="0"/>
    <x v="0"/>
    <s v="Basic"/>
  </r>
  <r>
    <x v="1507"/>
    <x v="1"/>
    <x v="0"/>
    <x v="568"/>
    <x v="0"/>
    <n v="0"/>
    <x v="0"/>
    <s v="Basic"/>
  </r>
  <r>
    <x v="1508"/>
    <x v="1"/>
    <x v="0"/>
    <x v="564"/>
    <x v="0"/>
    <n v="0"/>
    <x v="0"/>
    <s v="Basic"/>
  </r>
  <r>
    <x v="1509"/>
    <x v="3"/>
    <x v="1"/>
    <x v="20"/>
    <x v="1"/>
    <n v="1"/>
    <x v="1"/>
    <s v="Inactive"/>
  </r>
  <r>
    <x v="1510"/>
    <x v="2"/>
    <x v="2"/>
    <x v="30"/>
    <x v="2"/>
    <n v="0"/>
    <x v="0"/>
    <s v="Premium"/>
  </r>
  <r>
    <x v="1511"/>
    <x v="1"/>
    <x v="0"/>
    <x v="613"/>
    <x v="0"/>
    <n v="0"/>
    <x v="0"/>
    <s v="Basic"/>
  </r>
  <r>
    <x v="1512"/>
    <x v="2"/>
    <x v="0"/>
    <x v="522"/>
    <x v="0"/>
    <n v="1"/>
    <x v="1"/>
    <s v="Inactive"/>
  </r>
  <r>
    <x v="1513"/>
    <x v="1"/>
    <x v="0"/>
    <x v="262"/>
    <x v="0"/>
    <n v="1"/>
    <x v="1"/>
    <s v="Inactive"/>
  </r>
  <r>
    <x v="1514"/>
    <x v="0"/>
    <x v="0"/>
    <x v="291"/>
    <x v="0"/>
    <n v="1"/>
    <x v="1"/>
    <s v="Inactive"/>
  </r>
  <r>
    <x v="1515"/>
    <x v="1"/>
    <x v="2"/>
    <x v="158"/>
    <x v="2"/>
    <n v="0"/>
    <x v="0"/>
    <s v="Premium"/>
  </r>
  <r>
    <x v="1516"/>
    <x v="3"/>
    <x v="0"/>
    <x v="574"/>
    <x v="0"/>
    <n v="0"/>
    <x v="0"/>
    <s v="Basic"/>
  </r>
  <r>
    <x v="1517"/>
    <x v="1"/>
    <x v="1"/>
    <x v="614"/>
    <x v="1"/>
    <n v="0"/>
    <x v="0"/>
    <s v="Elite"/>
  </r>
  <r>
    <x v="1518"/>
    <x v="3"/>
    <x v="2"/>
    <x v="615"/>
    <x v="2"/>
    <n v="0"/>
    <x v="0"/>
    <s v="Premium"/>
  </r>
  <r>
    <x v="1519"/>
    <x v="0"/>
    <x v="2"/>
    <x v="203"/>
    <x v="2"/>
    <n v="1"/>
    <x v="1"/>
    <s v="Inactive"/>
  </r>
  <r>
    <x v="1520"/>
    <x v="2"/>
    <x v="0"/>
    <x v="302"/>
    <x v="0"/>
    <n v="0"/>
    <x v="0"/>
    <s v="Basic"/>
  </r>
  <r>
    <x v="1521"/>
    <x v="3"/>
    <x v="2"/>
    <x v="514"/>
    <x v="2"/>
    <n v="0"/>
    <x v="0"/>
    <s v="Premium"/>
  </r>
  <r>
    <x v="1522"/>
    <x v="3"/>
    <x v="2"/>
    <x v="328"/>
    <x v="2"/>
    <n v="0"/>
    <x v="0"/>
    <s v="Premium"/>
  </r>
  <r>
    <x v="1523"/>
    <x v="2"/>
    <x v="0"/>
    <x v="187"/>
    <x v="0"/>
    <n v="1"/>
    <x v="1"/>
    <s v="Inactive"/>
  </r>
  <r>
    <x v="1524"/>
    <x v="3"/>
    <x v="2"/>
    <x v="365"/>
    <x v="2"/>
    <n v="0"/>
    <x v="0"/>
    <s v="Premium"/>
  </r>
  <r>
    <x v="1525"/>
    <x v="1"/>
    <x v="0"/>
    <x v="205"/>
    <x v="0"/>
    <n v="0"/>
    <x v="0"/>
    <s v="Basic"/>
  </r>
  <r>
    <x v="1526"/>
    <x v="3"/>
    <x v="0"/>
    <x v="463"/>
    <x v="0"/>
    <n v="1"/>
    <x v="1"/>
    <s v="Inactive"/>
  </r>
  <r>
    <x v="1527"/>
    <x v="2"/>
    <x v="2"/>
    <x v="346"/>
    <x v="2"/>
    <n v="0"/>
    <x v="0"/>
    <s v="Premium"/>
  </r>
  <r>
    <x v="1528"/>
    <x v="2"/>
    <x v="0"/>
    <x v="54"/>
    <x v="0"/>
    <n v="0"/>
    <x v="0"/>
    <s v="Basic"/>
  </r>
  <r>
    <x v="1529"/>
    <x v="0"/>
    <x v="0"/>
    <x v="69"/>
    <x v="0"/>
    <n v="0"/>
    <x v="0"/>
    <s v="Basic"/>
  </r>
  <r>
    <x v="1530"/>
    <x v="1"/>
    <x v="1"/>
    <x v="616"/>
    <x v="1"/>
    <n v="0"/>
    <x v="0"/>
    <s v="Elite"/>
  </r>
  <r>
    <x v="1531"/>
    <x v="0"/>
    <x v="1"/>
    <x v="617"/>
    <x v="1"/>
    <n v="0"/>
    <x v="0"/>
    <s v="Elite"/>
  </r>
  <r>
    <x v="1532"/>
    <x v="1"/>
    <x v="1"/>
    <x v="598"/>
    <x v="1"/>
    <n v="0"/>
    <x v="0"/>
    <s v="Elite"/>
  </r>
  <r>
    <x v="1533"/>
    <x v="2"/>
    <x v="1"/>
    <x v="517"/>
    <x v="1"/>
    <n v="0"/>
    <x v="0"/>
    <s v="Elite"/>
  </r>
  <r>
    <x v="1534"/>
    <x v="1"/>
    <x v="1"/>
    <x v="146"/>
    <x v="1"/>
    <n v="0"/>
    <x v="0"/>
    <s v="Elite"/>
  </r>
  <r>
    <x v="1535"/>
    <x v="0"/>
    <x v="2"/>
    <x v="261"/>
    <x v="2"/>
    <n v="0"/>
    <x v="0"/>
    <s v="Premium"/>
  </r>
  <r>
    <x v="1536"/>
    <x v="1"/>
    <x v="2"/>
    <x v="295"/>
    <x v="2"/>
    <n v="0"/>
    <x v="0"/>
    <s v="Premium"/>
  </r>
  <r>
    <x v="1537"/>
    <x v="1"/>
    <x v="0"/>
    <x v="169"/>
    <x v="0"/>
    <n v="0"/>
    <x v="0"/>
    <s v="Basic"/>
  </r>
  <r>
    <x v="1538"/>
    <x v="2"/>
    <x v="0"/>
    <x v="261"/>
    <x v="0"/>
    <n v="0"/>
    <x v="0"/>
    <s v="Basic"/>
  </r>
  <r>
    <x v="1539"/>
    <x v="2"/>
    <x v="2"/>
    <x v="209"/>
    <x v="2"/>
    <n v="0"/>
    <x v="0"/>
    <s v="Premium"/>
  </r>
  <r>
    <x v="1540"/>
    <x v="0"/>
    <x v="2"/>
    <x v="171"/>
    <x v="2"/>
    <n v="0"/>
    <x v="0"/>
    <s v="Premium"/>
  </r>
  <r>
    <x v="1541"/>
    <x v="2"/>
    <x v="0"/>
    <x v="383"/>
    <x v="0"/>
    <n v="0"/>
    <x v="0"/>
    <s v="Basic"/>
  </r>
  <r>
    <x v="1542"/>
    <x v="1"/>
    <x v="0"/>
    <x v="98"/>
    <x v="0"/>
    <n v="0"/>
    <x v="0"/>
    <s v="Basic"/>
  </r>
  <r>
    <x v="1543"/>
    <x v="1"/>
    <x v="0"/>
    <x v="529"/>
    <x v="0"/>
    <n v="0"/>
    <x v="0"/>
    <s v="Basic"/>
  </r>
  <r>
    <x v="1544"/>
    <x v="3"/>
    <x v="0"/>
    <x v="465"/>
    <x v="0"/>
    <n v="1"/>
    <x v="1"/>
    <s v="Inactive"/>
  </r>
  <r>
    <x v="1545"/>
    <x v="0"/>
    <x v="2"/>
    <x v="336"/>
    <x v="2"/>
    <n v="1"/>
    <x v="1"/>
    <s v="Inactive"/>
  </r>
  <r>
    <x v="1546"/>
    <x v="1"/>
    <x v="1"/>
    <x v="228"/>
    <x v="1"/>
    <n v="0"/>
    <x v="0"/>
    <s v="Elite"/>
  </r>
  <r>
    <x v="1547"/>
    <x v="2"/>
    <x v="0"/>
    <x v="360"/>
    <x v="0"/>
    <n v="0"/>
    <x v="0"/>
    <s v="Basic"/>
  </r>
  <r>
    <x v="1548"/>
    <x v="0"/>
    <x v="2"/>
    <x v="85"/>
    <x v="2"/>
    <n v="0"/>
    <x v="0"/>
    <s v="Premium"/>
  </r>
  <r>
    <x v="1549"/>
    <x v="2"/>
    <x v="2"/>
    <x v="49"/>
    <x v="2"/>
    <n v="0"/>
    <x v="0"/>
    <s v="Premium"/>
  </r>
  <r>
    <x v="1550"/>
    <x v="3"/>
    <x v="1"/>
    <x v="185"/>
    <x v="1"/>
    <n v="0"/>
    <x v="0"/>
    <s v="Elite"/>
  </r>
  <r>
    <x v="1551"/>
    <x v="0"/>
    <x v="0"/>
    <x v="119"/>
    <x v="0"/>
    <n v="0"/>
    <x v="0"/>
    <s v="Basic"/>
  </r>
  <r>
    <x v="1552"/>
    <x v="3"/>
    <x v="1"/>
    <x v="366"/>
    <x v="1"/>
    <n v="0"/>
    <x v="0"/>
    <s v="Elite"/>
  </r>
  <r>
    <x v="1553"/>
    <x v="3"/>
    <x v="2"/>
    <x v="618"/>
    <x v="2"/>
    <n v="0"/>
    <x v="0"/>
    <s v="Premium"/>
  </r>
  <r>
    <x v="1554"/>
    <x v="2"/>
    <x v="1"/>
    <x v="120"/>
    <x v="1"/>
    <n v="0"/>
    <x v="0"/>
    <s v="Elite"/>
  </r>
  <r>
    <x v="1555"/>
    <x v="2"/>
    <x v="0"/>
    <x v="555"/>
    <x v="0"/>
    <n v="0"/>
    <x v="0"/>
    <s v="Basic"/>
  </r>
  <r>
    <x v="1556"/>
    <x v="1"/>
    <x v="2"/>
    <x v="326"/>
    <x v="2"/>
    <n v="1"/>
    <x v="1"/>
    <s v="Inactive"/>
  </r>
  <r>
    <x v="1557"/>
    <x v="3"/>
    <x v="0"/>
    <x v="496"/>
    <x v="0"/>
    <n v="0"/>
    <x v="0"/>
    <s v="Basic"/>
  </r>
  <r>
    <x v="1558"/>
    <x v="3"/>
    <x v="0"/>
    <x v="430"/>
    <x v="0"/>
    <n v="1"/>
    <x v="1"/>
    <s v="Inactive"/>
  </r>
  <r>
    <x v="1559"/>
    <x v="3"/>
    <x v="2"/>
    <x v="619"/>
    <x v="2"/>
    <n v="0"/>
    <x v="0"/>
    <s v="Premium"/>
  </r>
  <r>
    <x v="1560"/>
    <x v="3"/>
    <x v="0"/>
    <x v="620"/>
    <x v="0"/>
    <n v="0"/>
    <x v="0"/>
    <s v="Basic"/>
  </r>
  <r>
    <x v="1561"/>
    <x v="0"/>
    <x v="1"/>
    <x v="10"/>
    <x v="1"/>
    <n v="0"/>
    <x v="0"/>
    <s v="Elite"/>
  </r>
  <r>
    <x v="1562"/>
    <x v="2"/>
    <x v="0"/>
    <x v="191"/>
    <x v="0"/>
    <n v="0"/>
    <x v="0"/>
    <s v="Basic"/>
  </r>
  <r>
    <x v="1563"/>
    <x v="1"/>
    <x v="0"/>
    <x v="142"/>
    <x v="0"/>
    <n v="0"/>
    <x v="0"/>
    <s v="Basic"/>
  </r>
  <r>
    <x v="1564"/>
    <x v="1"/>
    <x v="0"/>
    <x v="17"/>
    <x v="0"/>
    <n v="0"/>
    <x v="0"/>
    <s v="Basic"/>
  </r>
  <r>
    <x v="1565"/>
    <x v="2"/>
    <x v="0"/>
    <x v="486"/>
    <x v="0"/>
    <n v="0"/>
    <x v="0"/>
    <s v="Basic"/>
  </r>
  <r>
    <x v="1566"/>
    <x v="1"/>
    <x v="0"/>
    <x v="228"/>
    <x v="0"/>
    <n v="0"/>
    <x v="0"/>
    <s v="Basic"/>
  </r>
  <r>
    <x v="1567"/>
    <x v="0"/>
    <x v="0"/>
    <x v="206"/>
    <x v="0"/>
    <n v="0"/>
    <x v="0"/>
    <s v="Basic"/>
  </r>
  <r>
    <x v="1568"/>
    <x v="2"/>
    <x v="2"/>
    <x v="38"/>
    <x v="2"/>
    <n v="0"/>
    <x v="0"/>
    <s v="Premium"/>
  </r>
  <r>
    <x v="1569"/>
    <x v="3"/>
    <x v="2"/>
    <x v="522"/>
    <x v="2"/>
    <n v="0"/>
    <x v="0"/>
    <s v="Premium"/>
  </r>
  <r>
    <x v="1570"/>
    <x v="1"/>
    <x v="2"/>
    <x v="11"/>
    <x v="2"/>
    <n v="1"/>
    <x v="1"/>
    <s v="Inactive"/>
  </r>
  <r>
    <x v="1571"/>
    <x v="0"/>
    <x v="1"/>
    <x v="90"/>
    <x v="1"/>
    <n v="0"/>
    <x v="0"/>
    <s v="Elite"/>
  </r>
  <r>
    <x v="1572"/>
    <x v="1"/>
    <x v="0"/>
    <x v="480"/>
    <x v="0"/>
    <n v="0"/>
    <x v="0"/>
    <s v="Basic"/>
  </r>
  <r>
    <x v="1573"/>
    <x v="1"/>
    <x v="0"/>
    <x v="245"/>
    <x v="0"/>
    <n v="1"/>
    <x v="1"/>
    <s v="Inactive"/>
  </r>
  <r>
    <x v="1574"/>
    <x v="3"/>
    <x v="1"/>
    <x v="621"/>
    <x v="1"/>
    <n v="1"/>
    <x v="1"/>
    <s v="Inactive"/>
  </r>
  <r>
    <x v="1575"/>
    <x v="2"/>
    <x v="1"/>
    <x v="117"/>
    <x v="1"/>
    <n v="1"/>
    <x v="1"/>
    <s v="Inactive"/>
  </r>
  <r>
    <x v="1576"/>
    <x v="3"/>
    <x v="1"/>
    <x v="491"/>
    <x v="1"/>
    <n v="0"/>
    <x v="0"/>
    <s v="Elite"/>
  </r>
  <r>
    <x v="1577"/>
    <x v="1"/>
    <x v="2"/>
    <x v="50"/>
    <x v="2"/>
    <n v="1"/>
    <x v="1"/>
    <s v="Inactive"/>
  </r>
  <r>
    <x v="1578"/>
    <x v="0"/>
    <x v="1"/>
    <x v="79"/>
    <x v="1"/>
    <n v="1"/>
    <x v="1"/>
    <s v="Inactive"/>
  </r>
  <r>
    <x v="1579"/>
    <x v="1"/>
    <x v="2"/>
    <x v="414"/>
    <x v="2"/>
    <n v="0"/>
    <x v="0"/>
    <s v="Premium"/>
  </r>
  <r>
    <x v="1580"/>
    <x v="2"/>
    <x v="0"/>
    <x v="259"/>
    <x v="0"/>
    <n v="0"/>
    <x v="0"/>
    <s v="Basic"/>
  </r>
  <r>
    <x v="1581"/>
    <x v="1"/>
    <x v="2"/>
    <x v="475"/>
    <x v="2"/>
    <n v="0"/>
    <x v="0"/>
    <s v="Premium"/>
  </r>
  <r>
    <x v="1582"/>
    <x v="3"/>
    <x v="0"/>
    <x v="222"/>
    <x v="0"/>
    <n v="1"/>
    <x v="1"/>
    <s v="Inactive"/>
  </r>
  <r>
    <x v="1583"/>
    <x v="1"/>
    <x v="2"/>
    <x v="149"/>
    <x v="2"/>
    <n v="1"/>
    <x v="1"/>
    <s v="Inactive"/>
  </r>
  <r>
    <x v="1584"/>
    <x v="0"/>
    <x v="0"/>
    <x v="582"/>
    <x v="0"/>
    <n v="0"/>
    <x v="0"/>
    <s v="Basic"/>
  </r>
  <r>
    <x v="1585"/>
    <x v="1"/>
    <x v="2"/>
    <x v="8"/>
    <x v="2"/>
    <n v="0"/>
    <x v="0"/>
    <s v="Premium"/>
  </r>
  <r>
    <x v="1586"/>
    <x v="3"/>
    <x v="0"/>
    <x v="622"/>
    <x v="0"/>
    <n v="1"/>
    <x v="1"/>
    <s v="Inactive"/>
  </r>
  <r>
    <x v="1587"/>
    <x v="1"/>
    <x v="0"/>
    <x v="177"/>
    <x v="0"/>
    <n v="0"/>
    <x v="0"/>
    <s v="Basic"/>
  </r>
  <r>
    <x v="1588"/>
    <x v="3"/>
    <x v="0"/>
    <x v="623"/>
    <x v="0"/>
    <n v="0"/>
    <x v="0"/>
    <s v="Basic"/>
  </r>
  <r>
    <x v="1589"/>
    <x v="3"/>
    <x v="0"/>
    <x v="333"/>
    <x v="0"/>
    <n v="0"/>
    <x v="0"/>
    <s v="Basic"/>
  </r>
  <r>
    <x v="1590"/>
    <x v="1"/>
    <x v="0"/>
    <x v="353"/>
    <x v="0"/>
    <n v="0"/>
    <x v="0"/>
    <s v="Basic"/>
  </r>
  <r>
    <x v="1591"/>
    <x v="2"/>
    <x v="0"/>
    <x v="373"/>
    <x v="0"/>
    <n v="0"/>
    <x v="0"/>
    <s v="Basic"/>
  </r>
  <r>
    <x v="1592"/>
    <x v="1"/>
    <x v="0"/>
    <x v="108"/>
    <x v="0"/>
    <n v="0"/>
    <x v="0"/>
    <s v="Basic"/>
  </r>
  <r>
    <x v="1593"/>
    <x v="1"/>
    <x v="0"/>
    <x v="76"/>
    <x v="0"/>
    <n v="1"/>
    <x v="1"/>
    <s v="Inactive"/>
  </r>
  <r>
    <x v="1594"/>
    <x v="1"/>
    <x v="0"/>
    <x v="145"/>
    <x v="0"/>
    <n v="0"/>
    <x v="0"/>
    <s v="Basic"/>
  </r>
  <r>
    <x v="1595"/>
    <x v="3"/>
    <x v="2"/>
    <x v="624"/>
    <x v="2"/>
    <n v="0"/>
    <x v="0"/>
    <s v="Premium"/>
  </r>
  <r>
    <x v="1596"/>
    <x v="3"/>
    <x v="0"/>
    <x v="625"/>
    <x v="0"/>
    <n v="0"/>
    <x v="0"/>
    <s v="Basic"/>
  </r>
  <r>
    <x v="1597"/>
    <x v="1"/>
    <x v="1"/>
    <x v="598"/>
    <x v="1"/>
    <n v="1"/>
    <x v="1"/>
    <s v="Inactive"/>
  </r>
  <r>
    <x v="1598"/>
    <x v="1"/>
    <x v="2"/>
    <x v="140"/>
    <x v="2"/>
    <n v="0"/>
    <x v="0"/>
    <s v="Premium"/>
  </r>
  <r>
    <x v="1599"/>
    <x v="3"/>
    <x v="2"/>
    <x v="483"/>
    <x v="2"/>
    <n v="0"/>
    <x v="0"/>
    <s v="Premium"/>
  </r>
  <r>
    <x v="1600"/>
    <x v="2"/>
    <x v="2"/>
    <x v="460"/>
    <x v="2"/>
    <n v="0"/>
    <x v="0"/>
    <s v="Premium"/>
  </r>
  <r>
    <x v="1601"/>
    <x v="2"/>
    <x v="0"/>
    <x v="626"/>
    <x v="0"/>
    <n v="0"/>
    <x v="0"/>
    <s v="Basic"/>
  </r>
  <r>
    <x v="1602"/>
    <x v="2"/>
    <x v="1"/>
    <x v="203"/>
    <x v="1"/>
    <n v="0"/>
    <x v="0"/>
    <s v="Elite"/>
  </r>
  <r>
    <x v="1603"/>
    <x v="1"/>
    <x v="2"/>
    <x v="610"/>
    <x v="2"/>
    <n v="1"/>
    <x v="1"/>
    <s v="Inactive"/>
  </r>
  <r>
    <x v="1604"/>
    <x v="3"/>
    <x v="0"/>
    <x v="265"/>
    <x v="0"/>
    <n v="0"/>
    <x v="0"/>
    <s v="Basic"/>
  </r>
  <r>
    <x v="1605"/>
    <x v="2"/>
    <x v="0"/>
    <x v="627"/>
    <x v="0"/>
    <n v="1"/>
    <x v="1"/>
    <s v="Inactive"/>
  </r>
  <r>
    <x v="1606"/>
    <x v="3"/>
    <x v="2"/>
    <x v="54"/>
    <x v="2"/>
    <n v="0"/>
    <x v="0"/>
    <s v="Premium"/>
  </r>
  <r>
    <x v="1607"/>
    <x v="0"/>
    <x v="1"/>
    <x v="628"/>
    <x v="1"/>
    <n v="1"/>
    <x v="1"/>
    <s v="Inactive"/>
  </r>
  <r>
    <x v="1608"/>
    <x v="1"/>
    <x v="1"/>
    <x v="239"/>
    <x v="1"/>
    <n v="0"/>
    <x v="0"/>
    <s v="Elite"/>
  </r>
  <r>
    <x v="1609"/>
    <x v="3"/>
    <x v="0"/>
    <x v="514"/>
    <x v="0"/>
    <n v="0"/>
    <x v="0"/>
    <s v="Basic"/>
  </r>
  <r>
    <x v="1610"/>
    <x v="3"/>
    <x v="0"/>
    <x v="629"/>
    <x v="0"/>
    <n v="0"/>
    <x v="0"/>
    <s v="Basic"/>
  </r>
  <r>
    <x v="1611"/>
    <x v="3"/>
    <x v="2"/>
    <x v="67"/>
    <x v="2"/>
    <n v="0"/>
    <x v="0"/>
    <s v="Premium"/>
  </r>
  <r>
    <x v="1612"/>
    <x v="1"/>
    <x v="2"/>
    <x v="540"/>
    <x v="2"/>
    <n v="1"/>
    <x v="1"/>
    <s v="Inactive"/>
  </r>
  <r>
    <x v="1613"/>
    <x v="0"/>
    <x v="0"/>
    <x v="66"/>
    <x v="0"/>
    <n v="1"/>
    <x v="1"/>
    <s v="Inactive"/>
  </r>
  <r>
    <x v="1614"/>
    <x v="2"/>
    <x v="0"/>
    <x v="186"/>
    <x v="0"/>
    <n v="0"/>
    <x v="0"/>
    <s v="Basic"/>
  </r>
  <r>
    <x v="1615"/>
    <x v="2"/>
    <x v="0"/>
    <x v="174"/>
    <x v="0"/>
    <n v="0"/>
    <x v="0"/>
    <s v="Basic"/>
  </r>
  <r>
    <x v="1616"/>
    <x v="0"/>
    <x v="1"/>
    <x v="528"/>
    <x v="1"/>
    <n v="0"/>
    <x v="0"/>
    <s v="Elite"/>
  </r>
  <r>
    <x v="1617"/>
    <x v="2"/>
    <x v="0"/>
    <x v="278"/>
    <x v="0"/>
    <n v="1"/>
    <x v="1"/>
    <s v="Inactive"/>
  </r>
  <r>
    <x v="1618"/>
    <x v="2"/>
    <x v="2"/>
    <x v="587"/>
    <x v="2"/>
    <n v="0"/>
    <x v="0"/>
    <s v="Premium"/>
  </r>
  <r>
    <x v="1619"/>
    <x v="0"/>
    <x v="2"/>
    <x v="0"/>
    <x v="2"/>
    <n v="0"/>
    <x v="0"/>
    <s v="Premium"/>
  </r>
  <r>
    <x v="1620"/>
    <x v="1"/>
    <x v="0"/>
    <x v="385"/>
    <x v="0"/>
    <n v="0"/>
    <x v="0"/>
    <s v="Basic"/>
  </r>
  <r>
    <x v="1621"/>
    <x v="0"/>
    <x v="0"/>
    <x v="170"/>
    <x v="0"/>
    <n v="0"/>
    <x v="0"/>
    <s v="Basic"/>
  </r>
  <r>
    <x v="1622"/>
    <x v="0"/>
    <x v="1"/>
    <x v="333"/>
    <x v="1"/>
    <n v="0"/>
    <x v="0"/>
    <s v="Elite"/>
  </r>
  <r>
    <x v="1623"/>
    <x v="1"/>
    <x v="2"/>
    <x v="564"/>
    <x v="2"/>
    <n v="1"/>
    <x v="1"/>
    <s v="Inactive"/>
  </r>
  <r>
    <x v="1624"/>
    <x v="0"/>
    <x v="1"/>
    <x v="492"/>
    <x v="1"/>
    <n v="0"/>
    <x v="0"/>
    <s v="Elite"/>
  </r>
  <r>
    <x v="1625"/>
    <x v="2"/>
    <x v="2"/>
    <x v="335"/>
    <x v="2"/>
    <n v="0"/>
    <x v="0"/>
    <s v="Premium"/>
  </r>
  <r>
    <x v="1626"/>
    <x v="3"/>
    <x v="1"/>
    <x v="169"/>
    <x v="1"/>
    <n v="0"/>
    <x v="0"/>
    <s v="Elite"/>
  </r>
  <r>
    <x v="1627"/>
    <x v="1"/>
    <x v="1"/>
    <x v="225"/>
    <x v="1"/>
    <n v="0"/>
    <x v="0"/>
    <s v="Elite"/>
  </r>
  <r>
    <x v="1628"/>
    <x v="1"/>
    <x v="0"/>
    <x v="453"/>
    <x v="0"/>
    <n v="0"/>
    <x v="0"/>
    <s v="Basic"/>
  </r>
  <r>
    <x v="1629"/>
    <x v="1"/>
    <x v="0"/>
    <x v="451"/>
    <x v="0"/>
    <n v="0"/>
    <x v="0"/>
    <s v="Basic"/>
  </r>
  <r>
    <x v="1630"/>
    <x v="1"/>
    <x v="2"/>
    <x v="630"/>
    <x v="2"/>
    <n v="0"/>
    <x v="0"/>
    <s v="Premium"/>
  </r>
  <r>
    <x v="1631"/>
    <x v="1"/>
    <x v="0"/>
    <x v="320"/>
    <x v="0"/>
    <n v="0"/>
    <x v="0"/>
    <s v="Basic"/>
  </r>
  <r>
    <x v="1632"/>
    <x v="3"/>
    <x v="1"/>
    <x v="631"/>
    <x v="1"/>
    <n v="1"/>
    <x v="1"/>
    <s v="Inactive"/>
  </r>
  <r>
    <x v="1633"/>
    <x v="1"/>
    <x v="1"/>
    <x v="361"/>
    <x v="1"/>
    <n v="0"/>
    <x v="0"/>
    <s v="Elite"/>
  </r>
  <r>
    <x v="1634"/>
    <x v="2"/>
    <x v="0"/>
    <x v="189"/>
    <x v="0"/>
    <n v="0"/>
    <x v="0"/>
    <s v="Basic"/>
  </r>
  <r>
    <x v="1635"/>
    <x v="2"/>
    <x v="1"/>
    <x v="35"/>
    <x v="1"/>
    <n v="1"/>
    <x v="1"/>
    <s v="Inactive"/>
  </r>
  <r>
    <x v="1636"/>
    <x v="1"/>
    <x v="0"/>
    <x v="478"/>
    <x v="0"/>
    <n v="0"/>
    <x v="0"/>
    <s v="Basic"/>
  </r>
  <r>
    <x v="1637"/>
    <x v="1"/>
    <x v="2"/>
    <x v="11"/>
    <x v="2"/>
    <n v="0"/>
    <x v="0"/>
    <s v="Premium"/>
  </r>
  <r>
    <x v="1638"/>
    <x v="0"/>
    <x v="0"/>
    <x v="584"/>
    <x v="0"/>
    <n v="0"/>
    <x v="0"/>
    <s v="Basic"/>
  </r>
  <r>
    <x v="1639"/>
    <x v="0"/>
    <x v="0"/>
    <x v="72"/>
    <x v="0"/>
    <n v="0"/>
    <x v="0"/>
    <s v="Basic"/>
  </r>
  <r>
    <x v="1640"/>
    <x v="1"/>
    <x v="0"/>
    <x v="348"/>
    <x v="0"/>
    <n v="0"/>
    <x v="0"/>
    <s v="Basic"/>
  </r>
  <r>
    <x v="1641"/>
    <x v="2"/>
    <x v="0"/>
    <x v="188"/>
    <x v="0"/>
    <n v="0"/>
    <x v="0"/>
    <s v="Basic"/>
  </r>
  <r>
    <x v="1642"/>
    <x v="3"/>
    <x v="0"/>
    <x v="632"/>
    <x v="0"/>
    <n v="0"/>
    <x v="0"/>
    <s v="Basic"/>
  </r>
  <r>
    <x v="1643"/>
    <x v="1"/>
    <x v="1"/>
    <x v="428"/>
    <x v="1"/>
    <n v="0"/>
    <x v="0"/>
    <s v="Elite"/>
  </r>
  <r>
    <x v="1644"/>
    <x v="3"/>
    <x v="0"/>
    <x v="321"/>
    <x v="0"/>
    <n v="0"/>
    <x v="0"/>
    <s v="Basic"/>
  </r>
  <r>
    <x v="1645"/>
    <x v="1"/>
    <x v="0"/>
    <x v="623"/>
    <x v="0"/>
    <n v="0"/>
    <x v="0"/>
    <s v="Basic"/>
  </r>
  <r>
    <x v="1646"/>
    <x v="1"/>
    <x v="2"/>
    <x v="112"/>
    <x v="2"/>
    <n v="1"/>
    <x v="1"/>
    <s v="Inactive"/>
  </r>
  <r>
    <x v="1647"/>
    <x v="0"/>
    <x v="2"/>
    <x v="530"/>
    <x v="2"/>
    <n v="1"/>
    <x v="1"/>
    <s v="Inactive"/>
  </r>
  <r>
    <x v="1648"/>
    <x v="3"/>
    <x v="2"/>
    <x v="441"/>
    <x v="2"/>
    <n v="0"/>
    <x v="0"/>
    <s v="Premium"/>
  </r>
  <r>
    <x v="1649"/>
    <x v="1"/>
    <x v="2"/>
    <x v="585"/>
    <x v="2"/>
    <n v="0"/>
    <x v="0"/>
    <s v="Premium"/>
  </r>
  <r>
    <x v="1650"/>
    <x v="2"/>
    <x v="2"/>
    <x v="365"/>
    <x v="2"/>
    <n v="0"/>
    <x v="0"/>
    <s v="Premium"/>
  </r>
  <r>
    <x v="1651"/>
    <x v="1"/>
    <x v="2"/>
    <x v="47"/>
    <x v="2"/>
    <n v="0"/>
    <x v="0"/>
    <s v="Premium"/>
  </r>
  <r>
    <x v="1652"/>
    <x v="1"/>
    <x v="0"/>
    <x v="633"/>
    <x v="0"/>
    <n v="1"/>
    <x v="1"/>
    <s v="Inactive"/>
  </r>
  <r>
    <x v="1653"/>
    <x v="0"/>
    <x v="2"/>
    <x v="587"/>
    <x v="2"/>
    <n v="0"/>
    <x v="0"/>
    <s v="Premium"/>
  </r>
  <r>
    <x v="1654"/>
    <x v="1"/>
    <x v="1"/>
    <x v="30"/>
    <x v="1"/>
    <n v="1"/>
    <x v="1"/>
    <s v="Inactive"/>
  </r>
  <r>
    <x v="1655"/>
    <x v="2"/>
    <x v="0"/>
    <x v="39"/>
    <x v="0"/>
    <n v="0"/>
    <x v="0"/>
    <s v="Basic"/>
  </r>
  <r>
    <x v="1656"/>
    <x v="3"/>
    <x v="1"/>
    <x v="50"/>
    <x v="1"/>
    <n v="0"/>
    <x v="0"/>
    <s v="Elite"/>
  </r>
  <r>
    <x v="1657"/>
    <x v="3"/>
    <x v="2"/>
    <x v="343"/>
    <x v="2"/>
    <n v="0"/>
    <x v="0"/>
    <s v="Premium"/>
  </r>
  <r>
    <x v="1658"/>
    <x v="3"/>
    <x v="2"/>
    <x v="602"/>
    <x v="2"/>
    <n v="0"/>
    <x v="0"/>
    <s v="Premium"/>
  </r>
  <r>
    <x v="1659"/>
    <x v="0"/>
    <x v="0"/>
    <x v="316"/>
    <x v="0"/>
    <n v="0"/>
    <x v="0"/>
    <s v="Basic"/>
  </r>
  <r>
    <x v="1660"/>
    <x v="3"/>
    <x v="0"/>
    <x v="633"/>
    <x v="0"/>
    <n v="0"/>
    <x v="0"/>
    <s v="Basic"/>
  </r>
  <r>
    <x v="1661"/>
    <x v="0"/>
    <x v="2"/>
    <x v="133"/>
    <x v="2"/>
    <n v="0"/>
    <x v="0"/>
    <s v="Premium"/>
  </r>
  <r>
    <x v="1662"/>
    <x v="2"/>
    <x v="1"/>
    <x v="389"/>
    <x v="1"/>
    <n v="0"/>
    <x v="0"/>
    <s v="Elite"/>
  </r>
  <r>
    <x v="1663"/>
    <x v="2"/>
    <x v="0"/>
    <x v="220"/>
    <x v="0"/>
    <n v="0"/>
    <x v="0"/>
    <s v="Basic"/>
  </r>
  <r>
    <x v="1664"/>
    <x v="3"/>
    <x v="0"/>
    <x v="115"/>
    <x v="0"/>
    <n v="0"/>
    <x v="0"/>
    <s v="Basic"/>
  </r>
  <r>
    <x v="1665"/>
    <x v="1"/>
    <x v="2"/>
    <x v="634"/>
    <x v="2"/>
    <n v="0"/>
    <x v="0"/>
    <s v="Premium"/>
  </r>
  <r>
    <x v="1666"/>
    <x v="2"/>
    <x v="0"/>
    <x v="227"/>
    <x v="0"/>
    <n v="0"/>
    <x v="0"/>
    <s v="Basic"/>
  </r>
  <r>
    <x v="1667"/>
    <x v="1"/>
    <x v="0"/>
    <x v="497"/>
    <x v="0"/>
    <n v="0"/>
    <x v="0"/>
    <s v="Basic"/>
  </r>
  <r>
    <x v="1668"/>
    <x v="1"/>
    <x v="0"/>
    <x v="143"/>
    <x v="0"/>
    <n v="0"/>
    <x v="0"/>
    <s v="Basic"/>
  </r>
  <r>
    <x v="1669"/>
    <x v="2"/>
    <x v="0"/>
    <x v="69"/>
    <x v="0"/>
    <n v="0"/>
    <x v="0"/>
    <s v="Basic"/>
  </r>
  <r>
    <x v="1670"/>
    <x v="1"/>
    <x v="2"/>
    <x v="232"/>
    <x v="2"/>
    <n v="0"/>
    <x v="0"/>
    <s v="Premium"/>
  </r>
  <r>
    <x v="1671"/>
    <x v="1"/>
    <x v="1"/>
    <x v="187"/>
    <x v="1"/>
    <n v="0"/>
    <x v="0"/>
    <s v="Elite"/>
  </r>
  <r>
    <x v="1672"/>
    <x v="2"/>
    <x v="0"/>
    <x v="635"/>
    <x v="0"/>
    <n v="0"/>
    <x v="0"/>
    <s v="Basic"/>
  </r>
  <r>
    <x v="1673"/>
    <x v="1"/>
    <x v="1"/>
    <x v="229"/>
    <x v="1"/>
    <n v="1"/>
    <x v="1"/>
    <s v="Inactive"/>
  </r>
  <r>
    <x v="1674"/>
    <x v="3"/>
    <x v="0"/>
    <x v="482"/>
    <x v="0"/>
    <n v="0"/>
    <x v="0"/>
    <s v="Basic"/>
  </r>
  <r>
    <x v="1675"/>
    <x v="1"/>
    <x v="2"/>
    <x v="284"/>
    <x v="2"/>
    <n v="1"/>
    <x v="1"/>
    <s v="Inactive"/>
  </r>
  <r>
    <x v="1676"/>
    <x v="0"/>
    <x v="2"/>
    <x v="40"/>
    <x v="2"/>
    <n v="0"/>
    <x v="0"/>
    <s v="Premium"/>
  </r>
  <r>
    <x v="1677"/>
    <x v="1"/>
    <x v="0"/>
    <x v="75"/>
    <x v="0"/>
    <n v="1"/>
    <x v="1"/>
    <s v="Inactive"/>
  </r>
  <r>
    <x v="1678"/>
    <x v="1"/>
    <x v="2"/>
    <x v="636"/>
    <x v="2"/>
    <n v="1"/>
    <x v="1"/>
    <s v="Inactive"/>
  </r>
  <r>
    <x v="1679"/>
    <x v="0"/>
    <x v="2"/>
    <x v="453"/>
    <x v="2"/>
    <n v="0"/>
    <x v="0"/>
    <s v="Premium"/>
  </r>
  <r>
    <x v="1680"/>
    <x v="2"/>
    <x v="1"/>
    <x v="216"/>
    <x v="1"/>
    <n v="0"/>
    <x v="0"/>
    <s v="Elite"/>
  </r>
  <r>
    <x v="1681"/>
    <x v="0"/>
    <x v="2"/>
    <x v="106"/>
    <x v="2"/>
    <n v="0"/>
    <x v="0"/>
    <s v="Premium"/>
  </r>
  <r>
    <x v="1682"/>
    <x v="1"/>
    <x v="2"/>
    <x v="328"/>
    <x v="2"/>
    <n v="0"/>
    <x v="0"/>
    <s v="Premium"/>
  </r>
  <r>
    <x v="1683"/>
    <x v="1"/>
    <x v="1"/>
    <x v="347"/>
    <x v="1"/>
    <n v="0"/>
    <x v="0"/>
    <s v="Elite"/>
  </r>
  <r>
    <x v="1684"/>
    <x v="1"/>
    <x v="0"/>
    <x v="546"/>
    <x v="0"/>
    <n v="0"/>
    <x v="0"/>
    <s v="Basic"/>
  </r>
  <r>
    <x v="1685"/>
    <x v="3"/>
    <x v="1"/>
    <x v="497"/>
    <x v="1"/>
    <n v="0"/>
    <x v="0"/>
    <s v="Elite"/>
  </r>
  <r>
    <x v="1686"/>
    <x v="3"/>
    <x v="1"/>
    <x v="218"/>
    <x v="1"/>
    <n v="1"/>
    <x v="1"/>
    <s v="Inactive"/>
  </r>
  <r>
    <x v="1687"/>
    <x v="1"/>
    <x v="2"/>
    <x v="449"/>
    <x v="2"/>
    <n v="0"/>
    <x v="0"/>
    <s v="Premium"/>
  </r>
  <r>
    <x v="1688"/>
    <x v="3"/>
    <x v="2"/>
    <x v="54"/>
    <x v="2"/>
    <n v="1"/>
    <x v="1"/>
    <s v="Inactive"/>
  </r>
  <r>
    <x v="1689"/>
    <x v="2"/>
    <x v="1"/>
    <x v="453"/>
    <x v="1"/>
    <n v="0"/>
    <x v="0"/>
    <s v="Elite"/>
  </r>
  <r>
    <x v="1690"/>
    <x v="1"/>
    <x v="0"/>
    <x v="584"/>
    <x v="0"/>
    <n v="0"/>
    <x v="0"/>
    <s v="Basic"/>
  </r>
  <r>
    <x v="1691"/>
    <x v="3"/>
    <x v="2"/>
    <x v="121"/>
    <x v="2"/>
    <n v="0"/>
    <x v="0"/>
    <s v="Premium"/>
  </r>
  <r>
    <x v="1692"/>
    <x v="1"/>
    <x v="0"/>
    <x v="353"/>
    <x v="0"/>
    <n v="0"/>
    <x v="0"/>
    <s v="Basic"/>
  </r>
  <r>
    <x v="1693"/>
    <x v="0"/>
    <x v="2"/>
    <x v="111"/>
    <x v="2"/>
    <n v="0"/>
    <x v="0"/>
    <s v="Premium"/>
  </r>
  <r>
    <x v="1694"/>
    <x v="1"/>
    <x v="0"/>
    <x v="197"/>
    <x v="0"/>
    <n v="0"/>
    <x v="0"/>
    <s v="Basic"/>
  </r>
  <r>
    <x v="1695"/>
    <x v="0"/>
    <x v="2"/>
    <x v="48"/>
    <x v="2"/>
    <n v="0"/>
    <x v="0"/>
    <s v="Premium"/>
  </r>
  <r>
    <x v="1696"/>
    <x v="0"/>
    <x v="0"/>
    <x v="533"/>
    <x v="0"/>
    <n v="0"/>
    <x v="0"/>
    <s v="Basic"/>
  </r>
  <r>
    <x v="1697"/>
    <x v="1"/>
    <x v="0"/>
    <x v="11"/>
    <x v="0"/>
    <n v="0"/>
    <x v="0"/>
    <s v="Basic"/>
  </r>
  <r>
    <x v="1698"/>
    <x v="2"/>
    <x v="0"/>
    <x v="464"/>
    <x v="0"/>
    <n v="0"/>
    <x v="0"/>
    <s v="Basic"/>
  </r>
  <r>
    <x v="1699"/>
    <x v="1"/>
    <x v="2"/>
    <x v="258"/>
    <x v="2"/>
    <n v="1"/>
    <x v="1"/>
    <s v="Inactive"/>
  </r>
  <r>
    <x v="1700"/>
    <x v="1"/>
    <x v="0"/>
    <x v="163"/>
    <x v="0"/>
    <n v="0"/>
    <x v="0"/>
    <s v="Basic"/>
  </r>
  <r>
    <x v="1701"/>
    <x v="1"/>
    <x v="0"/>
    <x v="637"/>
    <x v="0"/>
    <n v="0"/>
    <x v="0"/>
    <s v="Basic"/>
  </r>
  <r>
    <x v="1702"/>
    <x v="2"/>
    <x v="1"/>
    <x v="462"/>
    <x v="1"/>
    <n v="0"/>
    <x v="0"/>
    <s v="Elite"/>
  </r>
  <r>
    <x v="1703"/>
    <x v="3"/>
    <x v="2"/>
    <x v="149"/>
    <x v="2"/>
    <n v="0"/>
    <x v="0"/>
    <s v="Premium"/>
  </r>
  <r>
    <x v="1704"/>
    <x v="3"/>
    <x v="0"/>
    <x v="245"/>
    <x v="0"/>
    <n v="0"/>
    <x v="0"/>
    <s v="Basic"/>
  </r>
  <r>
    <x v="1705"/>
    <x v="2"/>
    <x v="0"/>
    <x v="24"/>
    <x v="0"/>
    <n v="0"/>
    <x v="0"/>
    <s v="Basic"/>
  </r>
  <r>
    <x v="1706"/>
    <x v="1"/>
    <x v="0"/>
    <x v="441"/>
    <x v="0"/>
    <n v="0"/>
    <x v="0"/>
    <s v="Basic"/>
  </r>
  <r>
    <x v="1707"/>
    <x v="1"/>
    <x v="1"/>
    <x v="164"/>
    <x v="1"/>
    <n v="1"/>
    <x v="1"/>
    <s v="Inactive"/>
  </r>
  <r>
    <x v="1708"/>
    <x v="2"/>
    <x v="0"/>
    <x v="593"/>
    <x v="0"/>
    <n v="0"/>
    <x v="0"/>
    <s v="Basic"/>
  </r>
  <r>
    <x v="1709"/>
    <x v="2"/>
    <x v="1"/>
    <x v="334"/>
    <x v="1"/>
    <n v="0"/>
    <x v="0"/>
    <s v="Elite"/>
  </r>
  <r>
    <x v="1710"/>
    <x v="3"/>
    <x v="0"/>
    <x v="273"/>
    <x v="0"/>
    <n v="1"/>
    <x v="1"/>
    <s v="Inactive"/>
  </r>
  <r>
    <x v="1711"/>
    <x v="2"/>
    <x v="1"/>
    <x v="375"/>
    <x v="1"/>
    <n v="0"/>
    <x v="0"/>
    <s v="Elite"/>
  </r>
  <r>
    <x v="1712"/>
    <x v="0"/>
    <x v="2"/>
    <x v="638"/>
    <x v="2"/>
    <n v="0"/>
    <x v="0"/>
    <s v="Premium"/>
  </r>
  <r>
    <x v="1713"/>
    <x v="0"/>
    <x v="2"/>
    <x v="295"/>
    <x v="2"/>
    <n v="0"/>
    <x v="0"/>
    <s v="Premium"/>
  </r>
  <r>
    <x v="1714"/>
    <x v="3"/>
    <x v="2"/>
    <x v="635"/>
    <x v="2"/>
    <n v="0"/>
    <x v="0"/>
    <s v="Premium"/>
  </r>
  <r>
    <x v="1715"/>
    <x v="1"/>
    <x v="0"/>
    <x v="282"/>
    <x v="0"/>
    <n v="0"/>
    <x v="0"/>
    <s v="Basic"/>
  </r>
  <r>
    <x v="1716"/>
    <x v="0"/>
    <x v="0"/>
    <x v="375"/>
    <x v="0"/>
    <n v="0"/>
    <x v="0"/>
    <s v="Basic"/>
  </r>
  <r>
    <x v="1717"/>
    <x v="1"/>
    <x v="0"/>
    <x v="420"/>
    <x v="0"/>
    <n v="0"/>
    <x v="0"/>
    <s v="Basic"/>
  </r>
  <r>
    <x v="1718"/>
    <x v="1"/>
    <x v="0"/>
    <x v="320"/>
    <x v="0"/>
    <n v="0"/>
    <x v="0"/>
    <s v="Basic"/>
  </r>
  <r>
    <x v="1719"/>
    <x v="0"/>
    <x v="0"/>
    <x v="332"/>
    <x v="0"/>
    <n v="0"/>
    <x v="0"/>
    <s v="Basic"/>
  </r>
  <r>
    <x v="1720"/>
    <x v="3"/>
    <x v="2"/>
    <x v="69"/>
    <x v="2"/>
    <n v="0"/>
    <x v="0"/>
    <s v="Premium"/>
  </r>
  <r>
    <x v="1721"/>
    <x v="2"/>
    <x v="0"/>
    <x v="358"/>
    <x v="0"/>
    <n v="1"/>
    <x v="1"/>
    <s v="Inactive"/>
  </r>
  <r>
    <x v="1722"/>
    <x v="2"/>
    <x v="0"/>
    <x v="250"/>
    <x v="0"/>
    <n v="0"/>
    <x v="0"/>
    <s v="Basic"/>
  </r>
  <r>
    <x v="1723"/>
    <x v="1"/>
    <x v="0"/>
    <x v="562"/>
    <x v="0"/>
    <n v="1"/>
    <x v="1"/>
    <s v="Inactive"/>
  </r>
  <r>
    <x v="1724"/>
    <x v="2"/>
    <x v="0"/>
    <x v="197"/>
    <x v="0"/>
    <n v="0"/>
    <x v="0"/>
    <s v="Basic"/>
  </r>
  <r>
    <x v="1725"/>
    <x v="3"/>
    <x v="1"/>
    <x v="549"/>
    <x v="1"/>
    <n v="0"/>
    <x v="0"/>
    <s v="Elite"/>
  </r>
  <r>
    <x v="1726"/>
    <x v="3"/>
    <x v="0"/>
    <x v="89"/>
    <x v="0"/>
    <n v="0"/>
    <x v="0"/>
    <s v="Basic"/>
  </r>
  <r>
    <x v="1727"/>
    <x v="0"/>
    <x v="0"/>
    <x v="639"/>
    <x v="0"/>
    <n v="0"/>
    <x v="0"/>
    <s v="Basic"/>
  </r>
  <r>
    <x v="1728"/>
    <x v="3"/>
    <x v="0"/>
    <x v="355"/>
    <x v="0"/>
    <n v="0"/>
    <x v="0"/>
    <s v="Basic"/>
  </r>
  <r>
    <x v="1729"/>
    <x v="1"/>
    <x v="2"/>
    <x v="220"/>
    <x v="2"/>
    <n v="1"/>
    <x v="1"/>
    <s v="Inactive"/>
  </r>
  <r>
    <x v="1730"/>
    <x v="3"/>
    <x v="0"/>
    <x v="522"/>
    <x v="0"/>
    <n v="0"/>
    <x v="0"/>
    <s v="Basic"/>
  </r>
  <r>
    <x v="1731"/>
    <x v="3"/>
    <x v="0"/>
    <x v="280"/>
    <x v="0"/>
    <n v="0"/>
    <x v="0"/>
    <s v="Basic"/>
  </r>
  <r>
    <x v="1732"/>
    <x v="0"/>
    <x v="0"/>
    <x v="32"/>
    <x v="0"/>
    <n v="0"/>
    <x v="0"/>
    <s v="Basic"/>
  </r>
  <r>
    <x v="1733"/>
    <x v="1"/>
    <x v="1"/>
    <x v="168"/>
    <x v="1"/>
    <n v="1"/>
    <x v="1"/>
    <s v="Inactive"/>
  </r>
  <r>
    <x v="1734"/>
    <x v="0"/>
    <x v="0"/>
    <x v="388"/>
    <x v="0"/>
    <n v="0"/>
    <x v="0"/>
    <s v="Basic"/>
  </r>
  <r>
    <x v="1735"/>
    <x v="1"/>
    <x v="0"/>
    <x v="164"/>
    <x v="0"/>
    <n v="1"/>
    <x v="1"/>
    <s v="Inactive"/>
  </r>
  <r>
    <x v="1736"/>
    <x v="1"/>
    <x v="0"/>
    <x v="45"/>
    <x v="0"/>
    <n v="0"/>
    <x v="0"/>
    <s v="Basic"/>
  </r>
  <r>
    <x v="1737"/>
    <x v="0"/>
    <x v="1"/>
    <x v="609"/>
    <x v="1"/>
    <n v="0"/>
    <x v="0"/>
    <s v="Elite"/>
  </r>
  <r>
    <x v="1738"/>
    <x v="0"/>
    <x v="0"/>
    <x v="459"/>
    <x v="0"/>
    <n v="1"/>
    <x v="1"/>
    <s v="Inactive"/>
  </r>
  <r>
    <x v="1739"/>
    <x v="1"/>
    <x v="0"/>
    <x v="542"/>
    <x v="0"/>
    <n v="0"/>
    <x v="0"/>
    <s v="Basic"/>
  </r>
  <r>
    <x v="1740"/>
    <x v="3"/>
    <x v="2"/>
    <x v="471"/>
    <x v="2"/>
    <n v="0"/>
    <x v="0"/>
    <s v="Premium"/>
  </r>
  <r>
    <x v="1741"/>
    <x v="1"/>
    <x v="0"/>
    <x v="260"/>
    <x v="0"/>
    <n v="0"/>
    <x v="0"/>
    <s v="Basic"/>
  </r>
  <r>
    <x v="1742"/>
    <x v="1"/>
    <x v="0"/>
    <x v="93"/>
    <x v="0"/>
    <n v="0"/>
    <x v="0"/>
    <s v="Basic"/>
  </r>
  <r>
    <x v="1743"/>
    <x v="1"/>
    <x v="0"/>
    <x v="333"/>
    <x v="0"/>
    <n v="0"/>
    <x v="0"/>
    <s v="Basic"/>
  </r>
  <r>
    <x v="1744"/>
    <x v="3"/>
    <x v="2"/>
    <x v="244"/>
    <x v="2"/>
    <n v="0"/>
    <x v="0"/>
    <s v="Premium"/>
  </r>
  <r>
    <x v="1745"/>
    <x v="1"/>
    <x v="0"/>
    <x v="101"/>
    <x v="0"/>
    <n v="1"/>
    <x v="1"/>
    <s v="Inactive"/>
  </r>
  <r>
    <x v="1746"/>
    <x v="3"/>
    <x v="2"/>
    <x v="535"/>
    <x v="2"/>
    <n v="0"/>
    <x v="0"/>
    <s v="Premium"/>
  </r>
  <r>
    <x v="1747"/>
    <x v="3"/>
    <x v="1"/>
    <x v="504"/>
    <x v="1"/>
    <n v="0"/>
    <x v="0"/>
    <s v="Elite"/>
  </r>
  <r>
    <x v="1748"/>
    <x v="3"/>
    <x v="0"/>
    <x v="388"/>
    <x v="0"/>
    <n v="0"/>
    <x v="0"/>
    <s v="Basic"/>
  </r>
  <r>
    <x v="1749"/>
    <x v="1"/>
    <x v="2"/>
    <x v="535"/>
    <x v="2"/>
    <n v="1"/>
    <x v="1"/>
    <s v="Inactive"/>
  </r>
  <r>
    <x v="1750"/>
    <x v="1"/>
    <x v="0"/>
    <x v="475"/>
    <x v="0"/>
    <n v="0"/>
    <x v="0"/>
    <s v="Basic"/>
  </r>
  <r>
    <x v="1751"/>
    <x v="2"/>
    <x v="0"/>
    <x v="606"/>
    <x v="0"/>
    <n v="1"/>
    <x v="1"/>
    <s v="Inactive"/>
  </r>
  <r>
    <x v="1752"/>
    <x v="1"/>
    <x v="2"/>
    <x v="502"/>
    <x v="2"/>
    <n v="0"/>
    <x v="0"/>
    <s v="Premium"/>
  </r>
  <r>
    <x v="1753"/>
    <x v="3"/>
    <x v="0"/>
    <x v="16"/>
    <x v="0"/>
    <n v="0"/>
    <x v="0"/>
    <s v="Basic"/>
  </r>
  <r>
    <x v="1754"/>
    <x v="0"/>
    <x v="2"/>
    <x v="226"/>
    <x v="2"/>
    <n v="0"/>
    <x v="0"/>
    <s v="Premium"/>
  </r>
  <r>
    <x v="1755"/>
    <x v="1"/>
    <x v="2"/>
    <x v="547"/>
    <x v="2"/>
    <n v="0"/>
    <x v="0"/>
    <s v="Premium"/>
  </r>
  <r>
    <x v="1756"/>
    <x v="0"/>
    <x v="2"/>
    <x v="622"/>
    <x v="2"/>
    <n v="0"/>
    <x v="0"/>
    <s v="Premium"/>
  </r>
  <r>
    <x v="1757"/>
    <x v="1"/>
    <x v="0"/>
    <x v="75"/>
    <x v="0"/>
    <n v="0"/>
    <x v="0"/>
    <s v="Basic"/>
  </r>
  <r>
    <x v="1758"/>
    <x v="1"/>
    <x v="2"/>
    <x v="243"/>
    <x v="2"/>
    <n v="0"/>
    <x v="0"/>
    <s v="Premium"/>
  </r>
  <r>
    <x v="1759"/>
    <x v="3"/>
    <x v="2"/>
    <x v="374"/>
    <x v="2"/>
    <n v="0"/>
    <x v="0"/>
    <s v="Premium"/>
  </r>
  <r>
    <x v="1760"/>
    <x v="1"/>
    <x v="0"/>
    <x v="583"/>
    <x v="0"/>
    <n v="0"/>
    <x v="0"/>
    <s v="Basic"/>
  </r>
  <r>
    <x v="1761"/>
    <x v="1"/>
    <x v="2"/>
    <x v="495"/>
    <x v="2"/>
    <n v="0"/>
    <x v="0"/>
    <s v="Premium"/>
  </r>
  <r>
    <x v="1762"/>
    <x v="0"/>
    <x v="2"/>
    <x v="92"/>
    <x v="2"/>
    <n v="0"/>
    <x v="0"/>
    <s v="Premium"/>
  </r>
  <r>
    <x v="1763"/>
    <x v="1"/>
    <x v="0"/>
    <x v="406"/>
    <x v="0"/>
    <n v="0"/>
    <x v="0"/>
    <s v="Basic"/>
  </r>
  <r>
    <x v="1764"/>
    <x v="0"/>
    <x v="0"/>
    <x v="85"/>
    <x v="0"/>
    <n v="0"/>
    <x v="0"/>
    <s v="Basic"/>
  </r>
  <r>
    <x v="1765"/>
    <x v="0"/>
    <x v="1"/>
    <x v="207"/>
    <x v="1"/>
    <n v="0"/>
    <x v="0"/>
    <s v="Elite"/>
  </r>
  <r>
    <x v="1766"/>
    <x v="1"/>
    <x v="2"/>
    <x v="18"/>
    <x v="2"/>
    <n v="1"/>
    <x v="1"/>
    <s v="Inactive"/>
  </r>
  <r>
    <x v="1767"/>
    <x v="3"/>
    <x v="1"/>
    <x v="401"/>
    <x v="1"/>
    <n v="0"/>
    <x v="0"/>
    <s v="Elite"/>
  </r>
  <r>
    <x v="1768"/>
    <x v="1"/>
    <x v="0"/>
    <x v="502"/>
    <x v="0"/>
    <n v="1"/>
    <x v="1"/>
    <s v="Inactive"/>
  </r>
  <r>
    <x v="1769"/>
    <x v="0"/>
    <x v="2"/>
    <x v="640"/>
    <x v="2"/>
    <n v="1"/>
    <x v="1"/>
    <s v="Inactive"/>
  </r>
  <r>
    <x v="1770"/>
    <x v="0"/>
    <x v="0"/>
    <x v="641"/>
    <x v="0"/>
    <n v="1"/>
    <x v="1"/>
    <s v="Inactive"/>
  </r>
  <r>
    <x v="1771"/>
    <x v="3"/>
    <x v="1"/>
    <x v="341"/>
    <x v="1"/>
    <n v="0"/>
    <x v="0"/>
    <s v="Elite"/>
  </r>
  <r>
    <x v="1772"/>
    <x v="3"/>
    <x v="0"/>
    <x v="305"/>
    <x v="0"/>
    <n v="1"/>
    <x v="1"/>
    <s v="Inactive"/>
  </r>
  <r>
    <x v="1773"/>
    <x v="2"/>
    <x v="2"/>
    <x v="613"/>
    <x v="2"/>
    <n v="0"/>
    <x v="0"/>
    <s v="Premium"/>
  </r>
  <r>
    <x v="1774"/>
    <x v="3"/>
    <x v="0"/>
    <x v="296"/>
    <x v="0"/>
    <n v="0"/>
    <x v="0"/>
    <s v="Basic"/>
  </r>
  <r>
    <x v="1775"/>
    <x v="1"/>
    <x v="1"/>
    <x v="461"/>
    <x v="1"/>
    <n v="0"/>
    <x v="0"/>
    <s v="Elite"/>
  </r>
  <r>
    <x v="1776"/>
    <x v="3"/>
    <x v="1"/>
    <x v="281"/>
    <x v="1"/>
    <n v="0"/>
    <x v="0"/>
    <s v="Elite"/>
  </r>
  <r>
    <x v="1777"/>
    <x v="3"/>
    <x v="0"/>
    <x v="614"/>
    <x v="0"/>
    <n v="0"/>
    <x v="0"/>
    <s v="Basic"/>
  </r>
  <r>
    <x v="1778"/>
    <x v="0"/>
    <x v="1"/>
    <x v="342"/>
    <x v="1"/>
    <n v="0"/>
    <x v="0"/>
    <s v="Elite"/>
  </r>
  <r>
    <x v="1779"/>
    <x v="3"/>
    <x v="2"/>
    <x v="249"/>
    <x v="2"/>
    <n v="0"/>
    <x v="0"/>
    <s v="Premium"/>
  </r>
  <r>
    <x v="1780"/>
    <x v="3"/>
    <x v="0"/>
    <x v="24"/>
    <x v="0"/>
    <n v="1"/>
    <x v="1"/>
    <s v="Inactive"/>
  </r>
  <r>
    <x v="1781"/>
    <x v="1"/>
    <x v="2"/>
    <x v="423"/>
    <x v="2"/>
    <n v="0"/>
    <x v="0"/>
    <s v="Premium"/>
  </r>
  <r>
    <x v="1782"/>
    <x v="0"/>
    <x v="0"/>
    <x v="495"/>
    <x v="0"/>
    <n v="0"/>
    <x v="0"/>
    <s v="Basic"/>
  </r>
  <r>
    <x v="1783"/>
    <x v="1"/>
    <x v="0"/>
    <x v="642"/>
    <x v="0"/>
    <n v="0"/>
    <x v="0"/>
    <s v="Basic"/>
  </r>
  <r>
    <x v="1784"/>
    <x v="3"/>
    <x v="0"/>
    <x v="643"/>
    <x v="0"/>
    <n v="1"/>
    <x v="1"/>
    <s v="Inactive"/>
  </r>
  <r>
    <x v="1785"/>
    <x v="3"/>
    <x v="1"/>
    <x v="291"/>
    <x v="1"/>
    <n v="0"/>
    <x v="0"/>
    <s v="Elite"/>
  </r>
  <r>
    <x v="1786"/>
    <x v="2"/>
    <x v="0"/>
    <x v="644"/>
    <x v="0"/>
    <n v="0"/>
    <x v="0"/>
    <s v="Basic"/>
  </r>
  <r>
    <x v="1787"/>
    <x v="3"/>
    <x v="0"/>
    <x v="382"/>
    <x v="0"/>
    <n v="0"/>
    <x v="0"/>
    <s v="Basic"/>
  </r>
  <r>
    <x v="1788"/>
    <x v="1"/>
    <x v="1"/>
    <x v="419"/>
    <x v="1"/>
    <n v="0"/>
    <x v="0"/>
    <s v="Elite"/>
  </r>
  <r>
    <x v="1789"/>
    <x v="1"/>
    <x v="0"/>
    <x v="645"/>
    <x v="0"/>
    <n v="0"/>
    <x v="0"/>
    <s v="Basic"/>
  </r>
  <r>
    <x v="1790"/>
    <x v="3"/>
    <x v="1"/>
    <x v="280"/>
    <x v="1"/>
    <n v="1"/>
    <x v="1"/>
    <s v="Inactive"/>
  </r>
  <r>
    <x v="1791"/>
    <x v="2"/>
    <x v="2"/>
    <x v="279"/>
    <x v="2"/>
    <n v="0"/>
    <x v="0"/>
    <s v="Premium"/>
  </r>
  <r>
    <x v="1792"/>
    <x v="0"/>
    <x v="0"/>
    <x v="646"/>
    <x v="0"/>
    <n v="0"/>
    <x v="0"/>
    <s v="Basic"/>
  </r>
  <r>
    <x v="1793"/>
    <x v="2"/>
    <x v="1"/>
    <x v="603"/>
    <x v="1"/>
    <n v="0"/>
    <x v="0"/>
    <s v="Elite"/>
  </r>
  <r>
    <x v="1794"/>
    <x v="3"/>
    <x v="1"/>
    <x v="76"/>
    <x v="1"/>
    <n v="0"/>
    <x v="0"/>
    <s v="Elite"/>
  </r>
  <r>
    <x v="1795"/>
    <x v="1"/>
    <x v="0"/>
    <x v="593"/>
    <x v="0"/>
    <n v="0"/>
    <x v="0"/>
    <s v="Basic"/>
  </r>
  <r>
    <x v="1796"/>
    <x v="0"/>
    <x v="1"/>
    <x v="266"/>
    <x v="1"/>
    <n v="0"/>
    <x v="0"/>
    <s v="Elite"/>
  </r>
  <r>
    <x v="1797"/>
    <x v="1"/>
    <x v="2"/>
    <x v="40"/>
    <x v="2"/>
    <n v="0"/>
    <x v="0"/>
    <s v="Premium"/>
  </r>
  <r>
    <x v="1798"/>
    <x v="0"/>
    <x v="2"/>
    <x v="75"/>
    <x v="2"/>
    <n v="0"/>
    <x v="0"/>
    <s v="Premium"/>
  </r>
  <r>
    <x v="1799"/>
    <x v="1"/>
    <x v="1"/>
    <x v="271"/>
    <x v="1"/>
    <n v="0"/>
    <x v="0"/>
    <s v="Elite"/>
  </r>
  <r>
    <x v="1800"/>
    <x v="0"/>
    <x v="1"/>
    <x v="388"/>
    <x v="1"/>
    <n v="0"/>
    <x v="0"/>
    <s v="Elite"/>
  </r>
  <r>
    <x v="1801"/>
    <x v="3"/>
    <x v="0"/>
    <x v="172"/>
    <x v="0"/>
    <n v="0"/>
    <x v="0"/>
    <s v="Basic"/>
  </r>
  <r>
    <x v="1802"/>
    <x v="3"/>
    <x v="0"/>
    <x v="162"/>
    <x v="0"/>
    <n v="0"/>
    <x v="0"/>
    <s v="Basic"/>
  </r>
  <r>
    <x v="1803"/>
    <x v="0"/>
    <x v="0"/>
    <x v="232"/>
    <x v="0"/>
    <n v="0"/>
    <x v="0"/>
    <s v="Basic"/>
  </r>
  <r>
    <x v="1804"/>
    <x v="3"/>
    <x v="0"/>
    <x v="76"/>
    <x v="0"/>
    <n v="0"/>
    <x v="0"/>
    <s v="Basic"/>
  </r>
  <r>
    <x v="1805"/>
    <x v="2"/>
    <x v="2"/>
    <x v="345"/>
    <x v="2"/>
    <n v="1"/>
    <x v="1"/>
    <s v="Inactive"/>
  </r>
  <r>
    <x v="1806"/>
    <x v="1"/>
    <x v="1"/>
    <x v="646"/>
    <x v="1"/>
    <n v="0"/>
    <x v="0"/>
    <s v="Elite"/>
  </r>
  <r>
    <x v="1807"/>
    <x v="1"/>
    <x v="1"/>
    <x v="626"/>
    <x v="1"/>
    <n v="0"/>
    <x v="0"/>
    <s v="Elite"/>
  </r>
  <r>
    <x v="1808"/>
    <x v="0"/>
    <x v="1"/>
    <x v="428"/>
    <x v="1"/>
    <n v="0"/>
    <x v="0"/>
    <s v="Elite"/>
  </r>
  <r>
    <x v="1809"/>
    <x v="2"/>
    <x v="2"/>
    <x v="456"/>
    <x v="2"/>
    <n v="0"/>
    <x v="0"/>
    <s v="Premium"/>
  </r>
  <r>
    <x v="1810"/>
    <x v="1"/>
    <x v="1"/>
    <x v="632"/>
    <x v="1"/>
    <n v="0"/>
    <x v="0"/>
    <s v="Elite"/>
  </r>
  <r>
    <x v="1811"/>
    <x v="3"/>
    <x v="2"/>
    <x v="89"/>
    <x v="2"/>
    <n v="0"/>
    <x v="0"/>
    <s v="Premium"/>
  </r>
  <r>
    <x v="1812"/>
    <x v="3"/>
    <x v="2"/>
    <x v="442"/>
    <x v="2"/>
    <n v="0"/>
    <x v="0"/>
    <s v="Premium"/>
  </r>
  <r>
    <x v="1813"/>
    <x v="3"/>
    <x v="1"/>
    <x v="550"/>
    <x v="1"/>
    <n v="0"/>
    <x v="0"/>
    <s v="Elite"/>
  </r>
  <r>
    <x v="1814"/>
    <x v="3"/>
    <x v="0"/>
    <x v="270"/>
    <x v="0"/>
    <n v="0"/>
    <x v="0"/>
    <s v="Basic"/>
  </r>
  <r>
    <x v="1815"/>
    <x v="3"/>
    <x v="0"/>
    <x v="590"/>
    <x v="0"/>
    <n v="0"/>
    <x v="0"/>
    <s v="Basic"/>
  </r>
  <r>
    <x v="1816"/>
    <x v="3"/>
    <x v="1"/>
    <x v="382"/>
    <x v="1"/>
    <n v="0"/>
    <x v="0"/>
    <s v="Elite"/>
  </r>
  <r>
    <x v="1817"/>
    <x v="1"/>
    <x v="0"/>
    <x v="226"/>
    <x v="0"/>
    <n v="0"/>
    <x v="0"/>
    <s v="Basic"/>
  </r>
  <r>
    <x v="1818"/>
    <x v="1"/>
    <x v="1"/>
    <x v="133"/>
    <x v="1"/>
    <n v="0"/>
    <x v="0"/>
    <s v="Elite"/>
  </r>
  <r>
    <x v="1819"/>
    <x v="0"/>
    <x v="1"/>
    <x v="37"/>
    <x v="1"/>
    <n v="0"/>
    <x v="0"/>
    <s v="Elite"/>
  </r>
  <r>
    <x v="1820"/>
    <x v="3"/>
    <x v="1"/>
    <x v="451"/>
    <x v="1"/>
    <n v="0"/>
    <x v="0"/>
    <s v="Elite"/>
  </r>
  <r>
    <x v="1821"/>
    <x v="0"/>
    <x v="0"/>
    <x v="308"/>
    <x v="0"/>
    <n v="0"/>
    <x v="0"/>
    <s v="Basic"/>
  </r>
  <r>
    <x v="1822"/>
    <x v="3"/>
    <x v="0"/>
    <x v="124"/>
    <x v="0"/>
    <n v="0"/>
    <x v="0"/>
    <s v="Basic"/>
  </r>
  <r>
    <x v="1823"/>
    <x v="1"/>
    <x v="1"/>
    <x v="563"/>
    <x v="1"/>
    <n v="0"/>
    <x v="0"/>
    <s v="Elite"/>
  </r>
  <r>
    <x v="1824"/>
    <x v="0"/>
    <x v="2"/>
    <x v="384"/>
    <x v="2"/>
    <n v="0"/>
    <x v="0"/>
    <s v="Premium"/>
  </r>
  <r>
    <x v="1825"/>
    <x v="1"/>
    <x v="0"/>
    <x v="647"/>
    <x v="0"/>
    <n v="0"/>
    <x v="0"/>
    <s v="Basic"/>
  </r>
  <r>
    <x v="1826"/>
    <x v="2"/>
    <x v="2"/>
    <x v="405"/>
    <x v="2"/>
    <n v="0"/>
    <x v="0"/>
    <s v="Premium"/>
  </r>
  <r>
    <x v="1827"/>
    <x v="1"/>
    <x v="2"/>
    <x v="237"/>
    <x v="2"/>
    <n v="0"/>
    <x v="0"/>
    <s v="Premium"/>
  </r>
  <r>
    <x v="1828"/>
    <x v="0"/>
    <x v="2"/>
    <x v="587"/>
    <x v="2"/>
    <n v="0"/>
    <x v="0"/>
    <s v="Premium"/>
  </r>
  <r>
    <x v="1829"/>
    <x v="0"/>
    <x v="1"/>
    <x v="526"/>
    <x v="1"/>
    <n v="0"/>
    <x v="0"/>
    <s v="Elite"/>
  </r>
  <r>
    <x v="1830"/>
    <x v="1"/>
    <x v="0"/>
    <x v="469"/>
    <x v="0"/>
    <n v="0"/>
    <x v="0"/>
    <s v="Basic"/>
  </r>
  <r>
    <x v="1831"/>
    <x v="0"/>
    <x v="0"/>
    <x v="43"/>
    <x v="0"/>
    <n v="0"/>
    <x v="0"/>
    <s v="Basic"/>
  </r>
  <r>
    <x v="1832"/>
    <x v="3"/>
    <x v="0"/>
    <x v="427"/>
    <x v="0"/>
    <n v="0"/>
    <x v="0"/>
    <s v="Basic"/>
  </r>
  <r>
    <x v="1833"/>
    <x v="1"/>
    <x v="0"/>
    <x v="95"/>
    <x v="0"/>
    <n v="0"/>
    <x v="0"/>
    <s v="Basic"/>
  </r>
  <r>
    <x v="1834"/>
    <x v="3"/>
    <x v="2"/>
    <x v="534"/>
    <x v="2"/>
    <n v="1"/>
    <x v="1"/>
    <s v="Inactive"/>
  </r>
  <r>
    <x v="1835"/>
    <x v="2"/>
    <x v="0"/>
    <x v="158"/>
    <x v="0"/>
    <n v="0"/>
    <x v="0"/>
    <s v="Basic"/>
  </r>
  <r>
    <x v="1836"/>
    <x v="2"/>
    <x v="1"/>
    <x v="328"/>
    <x v="1"/>
    <n v="0"/>
    <x v="0"/>
    <s v="Elite"/>
  </r>
  <r>
    <x v="1837"/>
    <x v="2"/>
    <x v="0"/>
    <x v="196"/>
    <x v="0"/>
    <n v="0"/>
    <x v="0"/>
    <s v="Basic"/>
  </r>
  <r>
    <x v="1838"/>
    <x v="1"/>
    <x v="1"/>
    <x v="37"/>
    <x v="1"/>
    <n v="1"/>
    <x v="1"/>
    <s v="Inactive"/>
  </r>
  <r>
    <x v="1839"/>
    <x v="0"/>
    <x v="0"/>
    <x v="8"/>
    <x v="0"/>
    <n v="0"/>
    <x v="0"/>
    <s v="Basic"/>
  </r>
  <r>
    <x v="1840"/>
    <x v="0"/>
    <x v="2"/>
    <x v="190"/>
    <x v="2"/>
    <n v="0"/>
    <x v="0"/>
    <s v="Premium"/>
  </r>
  <r>
    <x v="1841"/>
    <x v="2"/>
    <x v="2"/>
    <x v="627"/>
    <x v="2"/>
    <n v="0"/>
    <x v="0"/>
    <s v="Premium"/>
  </r>
  <r>
    <x v="1842"/>
    <x v="1"/>
    <x v="0"/>
    <x v="557"/>
    <x v="0"/>
    <n v="0"/>
    <x v="0"/>
    <s v="Basic"/>
  </r>
  <r>
    <x v="1843"/>
    <x v="0"/>
    <x v="0"/>
    <x v="648"/>
    <x v="0"/>
    <n v="0"/>
    <x v="0"/>
    <s v="Basic"/>
  </r>
  <r>
    <x v="1844"/>
    <x v="1"/>
    <x v="0"/>
    <x v="330"/>
    <x v="0"/>
    <n v="0"/>
    <x v="0"/>
    <s v="Basic"/>
  </r>
  <r>
    <x v="1845"/>
    <x v="3"/>
    <x v="2"/>
    <x v="168"/>
    <x v="2"/>
    <n v="0"/>
    <x v="0"/>
    <s v="Premium"/>
  </r>
  <r>
    <x v="1846"/>
    <x v="2"/>
    <x v="0"/>
    <x v="598"/>
    <x v="0"/>
    <n v="0"/>
    <x v="0"/>
    <s v="Basic"/>
  </r>
  <r>
    <x v="1847"/>
    <x v="2"/>
    <x v="2"/>
    <x v="22"/>
    <x v="2"/>
    <n v="0"/>
    <x v="0"/>
    <s v="Premium"/>
  </r>
  <r>
    <x v="1848"/>
    <x v="2"/>
    <x v="2"/>
    <x v="382"/>
    <x v="2"/>
    <n v="1"/>
    <x v="1"/>
    <s v="Inactive"/>
  </r>
  <r>
    <x v="1849"/>
    <x v="0"/>
    <x v="0"/>
    <x v="634"/>
    <x v="0"/>
    <n v="0"/>
    <x v="0"/>
    <s v="Basic"/>
  </r>
  <r>
    <x v="1850"/>
    <x v="0"/>
    <x v="0"/>
    <x v="649"/>
    <x v="0"/>
    <n v="0"/>
    <x v="0"/>
    <s v="Basic"/>
  </r>
  <r>
    <x v="1851"/>
    <x v="3"/>
    <x v="2"/>
    <x v="407"/>
    <x v="2"/>
    <n v="0"/>
    <x v="0"/>
    <s v="Premium"/>
  </r>
  <r>
    <x v="1852"/>
    <x v="1"/>
    <x v="1"/>
    <x v="172"/>
    <x v="1"/>
    <n v="0"/>
    <x v="0"/>
    <s v="Elite"/>
  </r>
  <r>
    <x v="1853"/>
    <x v="0"/>
    <x v="2"/>
    <x v="433"/>
    <x v="2"/>
    <n v="0"/>
    <x v="0"/>
    <s v="Premium"/>
  </r>
  <r>
    <x v="1854"/>
    <x v="3"/>
    <x v="0"/>
    <x v="102"/>
    <x v="0"/>
    <n v="0"/>
    <x v="0"/>
    <s v="Basic"/>
  </r>
  <r>
    <x v="1855"/>
    <x v="2"/>
    <x v="0"/>
    <x v="22"/>
    <x v="0"/>
    <n v="0"/>
    <x v="0"/>
    <s v="Basic"/>
  </r>
  <r>
    <x v="1856"/>
    <x v="1"/>
    <x v="2"/>
    <x v="217"/>
    <x v="2"/>
    <n v="0"/>
    <x v="0"/>
    <s v="Premium"/>
  </r>
  <r>
    <x v="1857"/>
    <x v="0"/>
    <x v="2"/>
    <x v="119"/>
    <x v="2"/>
    <n v="0"/>
    <x v="0"/>
    <s v="Premium"/>
  </r>
  <r>
    <x v="1858"/>
    <x v="0"/>
    <x v="0"/>
    <x v="147"/>
    <x v="0"/>
    <n v="0"/>
    <x v="0"/>
    <s v="Basic"/>
  </r>
  <r>
    <x v="1859"/>
    <x v="2"/>
    <x v="0"/>
    <x v="650"/>
    <x v="0"/>
    <n v="0"/>
    <x v="0"/>
    <s v="Basic"/>
  </r>
  <r>
    <x v="1860"/>
    <x v="2"/>
    <x v="0"/>
    <x v="420"/>
    <x v="0"/>
    <n v="0"/>
    <x v="0"/>
    <s v="Basic"/>
  </r>
  <r>
    <x v="1861"/>
    <x v="0"/>
    <x v="1"/>
    <x v="280"/>
    <x v="1"/>
    <n v="0"/>
    <x v="0"/>
    <s v="Elite"/>
  </r>
  <r>
    <x v="1862"/>
    <x v="0"/>
    <x v="1"/>
    <x v="213"/>
    <x v="1"/>
    <n v="0"/>
    <x v="0"/>
    <s v="Elite"/>
  </r>
  <r>
    <x v="1863"/>
    <x v="3"/>
    <x v="2"/>
    <x v="357"/>
    <x v="2"/>
    <n v="0"/>
    <x v="0"/>
    <s v="Premium"/>
  </r>
  <r>
    <x v="1864"/>
    <x v="2"/>
    <x v="0"/>
    <x v="602"/>
    <x v="0"/>
    <n v="0"/>
    <x v="0"/>
    <s v="Basic"/>
  </r>
  <r>
    <x v="1865"/>
    <x v="2"/>
    <x v="2"/>
    <x v="651"/>
    <x v="2"/>
    <n v="1"/>
    <x v="1"/>
    <s v="Inactive"/>
  </r>
  <r>
    <x v="1866"/>
    <x v="1"/>
    <x v="2"/>
    <x v="97"/>
    <x v="2"/>
    <n v="0"/>
    <x v="0"/>
    <s v="Premium"/>
  </r>
  <r>
    <x v="1867"/>
    <x v="2"/>
    <x v="0"/>
    <x v="200"/>
    <x v="0"/>
    <n v="0"/>
    <x v="0"/>
    <s v="Basic"/>
  </r>
  <r>
    <x v="1868"/>
    <x v="3"/>
    <x v="0"/>
    <x v="547"/>
    <x v="0"/>
    <n v="0"/>
    <x v="0"/>
    <s v="Basic"/>
  </r>
  <r>
    <x v="1869"/>
    <x v="0"/>
    <x v="0"/>
    <x v="406"/>
    <x v="0"/>
    <n v="0"/>
    <x v="0"/>
    <s v="Basic"/>
  </r>
  <r>
    <x v="1870"/>
    <x v="1"/>
    <x v="0"/>
    <x v="236"/>
    <x v="0"/>
    <n v="0"/>
    <x v="0"/>
    <s v="Basic"/>
  </r>
  <r>
    <x v="1871"/>
    <x v="2"/>
    <x v="1"/>
    <x v="473"/>
    <x v="1"/>
    <n v="0"/>
    <x v="0"/>
    <s v="Elite"/>
  </r>
  <r>
    <x v="1872"/>
    <x v="2"/>
    <x v="2"/>
    <x v="492"/>
    <x v="2"/>
    <n v="0"/>
    <x v="0"/>
    <s v="Premium"/>
  </r>
  <r>
    <x v="1873"/>
    <x v="3"/>
    <x v="2"/>
    <x v="312"/>
    <x v="2"/>
    <n v="0"/>
    <x v="0"/>
    <s v="Premium"/>
  </r>
  <r>
    <x v="1874"/>
    <x v="0"/>
    <x v="2"/>
    <x v="229"/>
    <x v="2"/>
    <n v="1"/>
    <x v="1"/>
    <s v="Inactive"/>
  </r>
  <r>
    <x v="1875"/>
    <x v="1"/>
    <x v="0"/>
    <x v="309"/>
    <x v="0"/>
    <n v="0"/>
    <x v="0"/>
    <s v="Basic"/>
  </r>
  <r>
    <x v="1876"/>
    <x v="1"/>
    <x v="0"/>
    <x v="44"/>
    <x v="0"/>
    <n v="0"/>
    <x v="0"/>
    <s v="Basic"/>
  </r>
  <r>
    <x v="1877"/>
    <x v="1"/>
    <x v="1"/>
    <x v="558"/>
    <x v="1"/>
    <n v="0"/>
    <x v="0"/>
    <s v="Elite"/>
  </r>
  <r>
    <x v="1878"/>
    <x v="1"/>
    <x v="1"/>
    <x v="133"/>
    <x v="1"/>
    <n v="0"/>
    <x v="0"/>
    <s v="Elite"/>
  </r>
  <r>
    <x v="1879"/>
    <x v="1"/>
    <x v="2"/>
    <x v="12"/>
    <x v="2"/>
    <n v="1"/>
    <x v="1"/>
    <s v="Inactive"/>
  </r>
  <r>
    <x v="1880"/>
    <x v="1"/>
    <x v="0"/>
    <x v="297"/>
    <x v="0"/>
    <n v="0"/>
    <x v="0"/>
    <s v="Basic"/>
  </r>
  <r>
    <x v="1881"/>
    <x v="0"/>
    <x v="0"/>
    <x v="652"/>
    <x v="0"/>
    <n v="1"/>
    <x v="1"/>
    <s v="Inactive"/>
  </r>
  <r>
    <x v="1882"/>
    <x v="1"/>
    <x v="0"/>
    <x v="50"/>
    <x v="0"/>
    <n v="0"/>
    <x v="0"/>
    <s v="Basic"/>
  </r>
  <r>
    <x v="1883"/>
    <x v="1"/>
    <x v="0"/>
    <x v="25"/>
    <x v="0"/>
    <n v="1"/>
    <x v="1"/>
    <s v="Inactive"/>
  </r>
  <r>
    <x v="1884"/>
    <x v="0"/>
    <x v="0"/>
    <x v="218"/>
    <x v="0"/>
    <n v="0"/>
    <x v="0"/>
    <s v="Basic"/>
  </r>
  <r>
    <x v="1885"/>
    <x v="2"/>
    <x v="0"/>
    <x v="83"/>
    <x v="0"/>
    <n v="0"/>
    <x v="0"/>
    <s v="Basic"/>
  </r>
  <r>
    <x v="1886"/>
    <x v="3"/>
    <x v="0"/>
    <x v="101"/>
    <x v="0"/>
    <n v="0"/>
    <x v="0"/>
    <s v="Basic"/>
  </r>
  <r>
    <x v="1887"/>
    <x v="1"/>
    <x v="2"/>
    <x v="355"/>
    <x v="2"/>
    <n v="0"/>
    <x v="0"/>
    <s v="Premium"/>
  </r>
  <r>
    <x v="1888"/>
    <x v="1"/>
    <x v="2"/>
    <x v="297"/>
    <x v="2"/>
    <n v="0"/>
    <x v="0"/>
    <s v="Premium"/>
  </r>
  <r>
    <x v="1889"/>
    <x v="0"/>
    <x v="2"/>
    <x v="525"/>
    <x v="2"/>
    <n v="0"/>
    <x v="0"/>
    <s v="Premium"/>
  </r>
  <r>
    <x v="1890"/>
    <x v="2"/>
    <x v="2"/>
    <x v="276"/>
    <x v="2"/>
    <n v="0"/>
    <x v="0"/>
    <s v="Premium"/>
  </r>
  <r>
    <x v="1891"/>
    <x v="0"/>
    <x v="0"/>
    <x v="407"/>
    <x v="0"/>
    <n v="0"/>
    <x v="0"/>
    <s v="Basic"/>
  </r>
  <r>
    <x v="1892"/>
    <x v="1"/>
    <x v="0"/>
    <x v="108"/>
    <x v="0"/>
    <n v="0"/>
    <x v="0"/>
    <s v="Basic"/>
  </r>
  <r>
    <x v="1893"/>
    <x v="1"/>
    <x v="2"/>
    <x v="326"/>
    <x v="2"/>
    <n v="1"/>
    <x v="1"/>
    <s v="Inactive"/>
  </r>
  <r>
    <x v="1894"/>
    <x v="3"/>
    <x v="2"/>
    <x v="572"/>
    <x v="2"/>
    <n v="0"/>
    <x v="0"/>
    <s v="Premium"/>
  </r>
  <r>
    <x v="1895"/>
    <x v="1"/>
    <x v="2"/>
    <x v="398"/>
    <x v="2"/>
    <n v="1"/>
    <x v="1"/>
    <s v="Inactive"/>
  </r>
  <r>
    <x v="1896"/>
    <x v="0"/>
    <x v="0"/>
    <x v="349"/>
    <x v="0"/>
    <n v="1"/>
    <x v="1"/>
    <s v="Inactive"/>
  </r>
  <r>
    <x v="1897"/>
    <x v="1"/>
    <x v="2"/>
    <x v="164"/>
    <x v="2"/>
    <n v="0"/>
    <x v="0"/>
    <s v="Premium"/>
  </r>
  <r>
    <x v="1898"/>
    <x v="3"/>
    <x v="2"/>
    <x v="350"/>
    <x v="2"/>
    <n v="0"/>
    <x v="0"/>
    <s v="Premium"/>
  </r>
  <r>
    <x v="1899"/>
    <x v="1"/>
    <x v="1"/>
    <x v="171"/>
    <x v="1"/>
    <n v="0"/>
    <x v="0"/>
    <s v="Elite"/>
  </r>
  <r>
    <x v="1900"/>
    <x v="0"/>
    <x v="2"/>
    <x v="233"/>
    <x v="2"/>
    <n v="0"/>
    <x v="0"/>
    <s v="Premium"/>
  </r>
  <r>
    <x v="1901"/>
    <x v="0"/>
    <x v="1"/>
    <x v="342"/>
    <x v="1"/>
    <n v="0"/>
    <x v="0"/>
    <s v="Elite"/>
  </r>
  <r>
    <x v="1902"/>
    <x v="0"/>
    <x v="0"/>
    <x v="211"/>
    <x v="0"/>
    <n v="0"/>
    <x v="0"/>
    <s v="Basic"/>
  </r>
  <r>
    <x v="1903"/>
    <x v="2"/>
    <x v="2"/>
    <x v="597"/>
    <x v="2"/>
    <n v="0"/>
    <x v="0"/>
    <s v="Premium"/>
  </r>
  <r>
    <x v="1904"/>
    <x v="1"/>
    <x v="0"/>
    <x v="10"/>
    <x v="0"/>
    <n v="0"/>
    <x v="0"/>
    <s v="Basic"/>
  </r>
  <r>
    <x v="1905"/>
    <x v="0"/>
    <x v="0"/>
    <x v="553"/>
    <x v="0"/>
    <n v="0"/>
    <x v="0"/>
    <s v="Basic"/>
  </r>
  <r>
    <x v="1906"/>
    <x v="1"/>
    <x v="0"/>
    <x v="138"/>
    <x v="0"/>
    <n v="0"/>
    <x v="0"/>
    <s v="Basic"/>
  </r>
  <r>
    <x v="1907"/>
    <x v="3"/>
    <x v="1"/>
    <x v="196"/>
    <x v="1"/>
    <n v="0"/>
    <x v="0"/>
    <s v="Elite"/>
  </r>
  <r>
    <x v="1908"/>
    <x v="1"/>
    <x v="1"/>
    <x v="531"/>
    <x v="1"/>
    <n v="0"/>
    <x v="0"/>
    <s v="Elite"/>
  </r>
  <r>
    <x v="1909"/>
    <x v="0"/>
    <x v="0"/>
    <x v="653"/>
    <x v="0"/>
    <n v="0"/>
    <x v="0"/>
    <s v="Basic"/>
  </r>
  <r>
    <x v="1910"/>
    <x v="2"/>
    <x v="0"/>
    <x v="219"/>
    <x v="0"/>
    <n v="0"/>
    <x v="0"/>
    <s v="Basic"/>
  </r>
  <r>
    <x v="1911"/>
    <x v="1"/>
    <x v="0"/>
    <x v="322"/>
    <x v="0"/>
    <n v="1"/>
    <x v="1"/>
    <s v="Inactive"/>
  </r>
  <r>
    <x v="1912"/>
    <x v="2"/>
    <x v="1"/>
    <x v="516"/>
    <x v="1"/>
    <n v="1"/>
    <x v="1"/>
    <s v="Inactive"/>
  </r>
  <r>
    <x v="1913"/>
    <x v="3"/>
    <x v="2"/>
    <x v="343"/>
    <x v="2"/>
    <n v="0"/>
    <x v="0"/>
    <s v="Premium"/>
  </r>
  <r>
    <x v="1914"/>
    <x v="0"/>
    <x v="1"/>
    <x v="11"/>
    <x v="1"/>
    <n v="0"/>
    <x v="0"/>
    <s v="Elite"/>
  </r>
  <r>
    <x v="1915"/>
    <x v="1"/>
    <x v="2"/>
    <x v="624"/>
    <x v="2"/>
    <n v="0"/>
    <x v="0"/>
    <s v="Premium"/>
  </r>
  <r>
    <x v="1916"/>
    <x v="0"/>
    <x v="2"/>
    <x v="29"/>
    <x v="2"/>
    <n v="0"/>
    <x v="0"/>
    <s v="Premium"/>
  </r>
  <r>
    <x v="1917"/>
    <x v="0"/>
    <x v="0"/>
    <x v="258"/>
    <x v="0"/>
    <n v="0"/>
    <x v="0"/>
    <s v="Basic"/>
  </r>
  <r>
    <x v="1918"/>
    <x v="0"/>
    <x v="0"/>
    <x v="654"/>
    <x v="0"/>
    <n v="0"/>
    <x v="0"/>
    <s v="Basic"/>
  </r>
  <r>
    <x v="1919"/>
    <x v="3"/>
    <x v="0"/>
    <x v="645"/>
    <x v="0"/>
    <n v="0"/>
    <x v="0"/>
    <s v="Basic"/>
  </r>
  <r>
    <x v="1920"/>
    <x v="0"/>
    <x v="2"/>
    <x v="275"/>
    <x v="2"/>
    <n v="0"/>
    <x v="0"/>
    <s v="Premium"/>
  </r>
  <r>
    <x v="1921"/>
    <x v="0"/>
    <x v="2"/>
    <x v="0"/>
    <x v="2"/>
    <n v="1"/>
    <x v="1"/>
    <s v="Inactive"/>
  </r>
  <r>
    <x v="1922"/>
    <x v="3"/>
    <x v="0"/>
    <x v="481"/>
    <x v="0"/>
    <n v="0"/>
    <x v="0"/>
    <s v="Basic"/>
  </r>
  <r>
    <x v="1923"/>
    <x v="3"/>
    <x v="2"/>
    <x v="273"/>
    <x v="2"/>
    <n v="0"/>
    <x v="0"/>
    <s v="Premium"/>
  </r>
  <r>
    <x v="1924"/>
    <x v="1"/>
    <x v="0"/>
    <x v="626"/>
    <x v="0"/>
    <n v="0"/>
    <x v="0"/>
    <s v="Basic"/>
  </r>
  <r>
    <x v="1925"/>
    <x v="0"/>
    <x v="0"/>
    <x v="537"/>
    <x v="0"/>
    <n v="0"/>
    <x v="0"/>
    <s v="Basic"/>
  </r>
  <r>
    <x v="1926"/>
    <x v="1"/>
    <x v="2"/>
    <x v="655"/>
    <x v="2"/>
    <n v="0"/>
    <x v="0"/>
    <s v="Premium"/>
  </r>
  <r>
    <x v="1927"/>
    <x v="0"/>
    <x v="0"/>
    <x v="225"/>
    <x v="0"/>
    <n v="0"/>
    <x v="0"/>
    <s v="Basic"/>
  </r>
  <r>
    <x v="1928"/>
    <x v="2"/>
    <x v="2"/>
    <x v="91"/>
    <x v="2"/>
    <n v="0"/>
    <x v="0"/>
    <s v="Premium"/>
  </r>
  <r>
    <x v="1929"/>
    <x v="1"/>
    <x v="0"/>
    <x v="649"/>
    <x v="0"/>
    <n v="0"/>
    <x v="0"/>
    <s v="Basic"/>
  </r>
  <r>
    <x v="1930"/>
    <x v="0"/>
    <x v="2"/>
    <x v="7"/>
    <x v="2"/>
    <n v="0"/>
    <x v="0"/>
    <s v="Premium"/>
  </r>
  <r>
    <x v="1931"/>
    <x v="1"/>
    <x v="0"/>
    <x v="446"/>
    <x v="0"/>
    <n v="0"/>
    <x v="0"/>
    <s v="Basic"/>
  </r>
  <r>
    <x v="1932"/>
    <x v="0"/>
    <x v="0"/>
    <x v="655"/>
    <x v="0"/>
    <n v="0"/>
    <x v="0"/>
    <s v="Basic"/>
  </r>
  <r>
    <x v="1933"/>
    <x v="2"/>
    <x v="2"/>
    <x v="63"/>
    <x v="2"/>
    <n v="0"/>
    <x v="0"/>
    <s v="Premium"/>
  </r>
  <r>
    <x v="1934"/>
    <x v="1"/>
    <x v="2"/>
    <x v="562"/>
    <x v="2"/>
    <n v="0"/>
    <x v="0"/>
    <s v="Premium"/>
  </r>
  <r>
    <x v="1935"/>
    <x v="3"/>
    <x v="1"/>
    <x v="350"/>
    <x v="1"/>
    <n v="0"/>
    <x v="0"/>
    <s v="Elite"/>
  </r>
  <r>
    <x v="1936"/>
    <x v="1"/>
    <x v="0"/>
    <x v="656"/>
    <x v="0"/>
    <n v="0"/>
    <x v="0"/>
    <s v="Basic"/>
  </r>
  <r>
    <x v="1937"/>
    <x v="2"/>
    <x v="1"/>
    <x v="32"/>
    <x v="1"/>
    <n v="0"/>
    <x v="0"/>
    <s v="Elite"/>
  </r>
  <r>
    <x v="1938"/>
    <x v="0"/>
    <x v="0"/>
    <x v="65"/>
    <x v="0"/>
    <n v="0"/>
    <x v="0"/>
    <s v="Basic"/>
  </r>
  <r>
    <x v="1939"/>
    <x v="3"/>
    <x v="2"/>
    <x v="236"/>
    <x v="2"/>
    <n v="0"/>
    <x v="0"/>
    <s v="Premium"/>
  </r>
  <r>
    <x v="1940"/>
    <x v="1"/>
    <x v="1"/>
    <x v="179"/>
    <x v="1"/>
    <n v="0"/>
    <x v="0"/>
    <s v="Elite"/>
  </r>
  <r>
    <x v="1941"/>
    <x v="3"/>
    <x v="0"/>
    <x v="568"/>
    <x v="0"/>
    <n v="1"/>
    <x v="1"/>
    <s v="Inactive"/>
  </r>
  <r>
    <x v="1942"/>
    <x v="1"/>
    <x v="0"/>
    <x v="68"/>
    <x v="0"/>
    <n v="0"/>
    <x v="0"/>
    <s v="Basic"/>
  </r>
  <r>
    <x v="1943"/>
    <x v="1"/>
    <x v="2"/>
    <x v="272"/>
    <x v="2"/>
    <n v="0"/>
    <x v="0"/>
    <s v="Premium"/>
  </r>
  <r>
    <x v="1944"/>
    <x v="2"/>
    <x v="1"/>
    <x v="397"/>
    <x v="1"/>
    <n v="0"/>
    <x v="0"/>
    <s v="Elite"/>
  </r>
  <r>
    <x v="1945"/>
    <x v="1"/>
    <x v="2"/>
    <x v="637"/>
    <x v="2"/>
    <n v="0"/>
    <x v="0"/>
    <s v="Premium"/>
  </r>
  <r>
    <x v="1946"/>
    <x v="0"/>
    <x v="2"/>
    <x v="489"/>
    <x v="2"/>
    <n v="0"/>
    <x v="0"/>
    <s v="Premium"/>
  </r>
  <r>
    <x v="1947"/>
    <x v="1"/>
    <x v="0"/>
    <x v="635"/>
    <x v="0"/>
    <n v="0"/>
    <x v="0"/>
    <s v="Basic"/>
  </r>
  <r>
    <x v="1948"/>
    <x v="0"/>
    <x v="0"/>
    <x v="627"/>
    <x v="0"/>
    <n v="0"/>
    <x v="0"/>
    <s v="Basic"/>
  </r>
  <r>
    <x v="1949"/>
    <x v="3"/>
    <x v="2"/>
    <x v="404"/>
    <x v="2"/>
    <n v="0"/>
    <x v="0"/>
    <s v="Premium"/>
  </r>
  <r>
    <x v="1950"/>
    <x v="2"/>
    <x v="1"/>
    <x v="56"/>
    <x v="1"/>
    <n v="1"/>
    <x v="1"/>
    <s v="Inactive"/>
  </r>
  <r>
    <x v="1951"/>
    <x v="2"/>
    <x v="0"/>
    <x v="158"/>
    <x v="0"/>
    <n v="0"/>
    <x v="0"/>
    <s v="Basic"/>
  </r>
  <r>
    <x v="1952"/>
    <x v="2"/>
    <x v="0"/>
    <x v="147"/>
    <x v="0"/>
    <n v="1"/>
    <x v="1"/>
    <s v="Inactive"/>
  </r>
  <r>
    <x v="1953"/>
    <x v="0"/>
    <x v="1"/>
    <x v="72"/>
    <x v="1"/>
    <n v="0"/>
    <x v="0"/>
    <s v="Elite"/>
  </r>
  <r>
    <x v="1954"/>
    <x v="2"/>
    <x v="1"/>
    <x v="64"/>
    <x v="1"/>
    <n v="0"/>
    <x v="0"/>
    <s v="Elite"/>
  </r>
  <r>
    <x v="1955"/>
    <x v="1"/>
    <x v="0"/>
    <x v="190"/>
    <x v="0"/>
    <n v="0"/>
    <x v="0"/>
    <s v="Basic"/>
  </r>
  <r>
    <x v="1956"/>
    <x v="3"/>
    <x v="2"/>
    <x v="396"/>
    <x v="2"/>
    <n v="0"/>
    <x v="0"/>
    <s v="Premium"/>
  </r>
  <r>
    <x v="1957"/>
    <x v="2"/>
    <x v="1"/>
    <x v="372"/>
    <x v="1"/>
    <n v="1"/>
    <x v="1"/>
    <s v="Inactive"/>
  </r>
  <r>
    <x v="1958"/>
    <x v="1"/>
    <x v="2"/>
    <x v="300"/>
    <x v="2"/>
    <n v="0"/>
    <x v="0"/>
    <s v="Premium"/>
  </r>
  <r>
    <x v="1959"/>
    <x v="1"/>
    <x v="1"/>
    <x v="597"/>
    <x v="1"/>
    <n v="1"/>
    <x v="1"/>
    <s v="Inactive"/>
  </r>
  <r>
    <x v="1960"/>
    <x v="2"/>
    <x v="0"/>
    <x v="336"/>
    <x v="0"/>
    <n v="0"/>
    <x v="0"/>
    <s v="Basic"/>
  </r>
  <r>
    <x v="1961"/>
    <x v="1"/>
    <x v="2"/>
    <x v="191"/>
    <x v="2"/>
    <n v="0"/>
    <x v="0"/>
    <s v="Premium"/>
  </r>
  <r>
    <x v="1962"/>
    <x v="1"/>
    <x v="0"/>
    <x v="359"/>
    <x v="0"/>
    <n v="0"/>
    <x v="0"/>
    <s v="Basic"/>
  </r>
  <r>
    <x v="1963"/>
    <x v="2"/>
    <x v="1"/>
    <x v="657"/>
    <x v="1"/>
    <n v="0"/>
    <x v="0"/>
    <s v="Elite"/>
  </r>
  <r>
    <x v="1964"/>
    <x v="0"/>
    <x v="0"/>
    <x v="228"/>
    <x v="0"/>
    <n v="0"/>
    <x v="0"/>
    <s v="Basic"/>
  </r>
  <r>
    <x v="1965"/>
    <x v="1"/>
    <x v="0"/>
    <x v="41"/>
    <x v="0"/>
    <n v="1"/>
    <x v="1"/>
    <s v="Inactive"/>
  </r>
  <r>
    <x v="1966"/>
    <x v="1"/>
    <x v="0"/>
    <x v="217"/>
    <x v="0"/>
    <n v="0"/>
    <x v="0"/>
    <s v="Basic"/>
  </r>
  <r>
    <x v="1967"/>
    <x v="2"/>
    <x v="1"/>
    <x v="658"/>
    <x v="1"/>
    <n v="0"/>
    <x v="0"/>
    <s v="Elite"/>
  </r>
  <r>
    <x v="1968"/>
    <x v="1"/>
    <x v="2"/>
    <x v="40"/>
    <x v="2"/>
    <n v="0"/>
    <x v="0"/>
    <s v="Premium"/>
  </r>
  <r>
    <x v="1969"/>
    <x v="1"/>
    <x v="1"/>
    <x v="192"/>
    <x v="1"/>
    <n v="0"/>
    <x v="0"/>
    <s v="Elite"/>
  </r>
  <r>
    <x v="1970"/>
    <x v="0"/>
    <x v="0"/>
    <x v="568"/>
    <x v="0"/>
    <n v="0"/>
    <x v="0"/>
    <s v="Basic"/>
  </r>
  <r>
    <x v="1971"/>
    <x v="1"/>
    <x v="0"/>
    <x v="109"/>
    <x v="0"/>
    <n v="0"/>
    <x v="0"/>
    <s v="Basic"/>
  </r>
  <r>
    <x v="1972"/>
    <x v="3"/>
    <x v="0"/>
    <x v="199"/>
    <x v="0"/>
    <n v="0"/>
    <x v="0"/>
    <s v="Basic"/>
  </r>
  <r>
    <x v="1973"/>
    <x v="1"/>
    <x v="0"/>
    <x v="476"/>
    <x v="0"/>
    <n v="0"/>
    <x v="0"/>
    <s v="Basic"/>
  </r>
  <r>
    <x v="1974"/>
    <x v="0"/>
    <x v="0"/>
    <x v="232"/>
    <x v="0"/>
    <n v="0"/>
    <x v="0"/>
    <s v="Basic"/>
  </r>
  <r>
    <x v="1975"/>
    <x v="3"/>
    <x v="2"/>
    <x v="551"/>
    <x v="2"/>
    <n v="0"/>
    <x v="0"/>
    <s v="Premium"/>
  </r>
  <r>
    <x v="1976"/>
    <x v="0"/>
    <x v="2"/>
    <x v="564"/>
    <x v="2"/>
    <n v="0"/>
    <x v="0"/>
    <s v="Premium"/>
  </r>
  <r>
    <x v="1977"/>
    <x v="2"/>
    <x v="0"/>
    <x v="398"/>
    <x v="0"/>
    <n v="0"/>
    <x v="0"/>
    <s v="Basic"/>
  </r>
  <r>
    <x v="1978"/>
    <x v="0"/>
    <x v="0"/>
    <x v="474"/>
    <x v="0"/>
    <n v="0"/>
    <x v="0"/>
    <s v="Basic"/>
  </r>
  <r>
    <x v="1979"/>
    <x v="2"/>
    <x v="1"/>
    <x v="324"/>
    <x v="1"/>
    <n v="0"/>
    <x v="0"/>
    <s v="Elite"/>
  </r>
  <r>
    <x v="1980"/>
    <x v="2"/>
    <x v="1"/>
    <x v="153"/>
    <x v="1"/>
    <n v="0"/>
    <x v="0"/>
    <s v="Elite"/>
  </r>
  <r>
    <x v="1981"/>
    <x v="1"/>
    <x v="2"/>
    <x v="215"/>
    <x v="2"/>
    <n v="0"/>
    <x v="0"/>
    <s v="Premium"/>
  </r>
  <r>
    <x v="1982"/>
    <x v="1"/>
    <x v="2"/>
    <x v="144"/>
    <x v="2"/>
    <n v="0"/>
    <x v="0"/>
    <s v="Premium"/>
  </r>
  <r>
    <x v="1983"/>
    <x v="1"/>
    <x v="2"/>
    <x v="0"/>
    <x v="2"/>
    <n v="1"/>
    <x v="1"/>
    <s v="Inactive"/>
  </r>
  <r>
    <x v="1984"/>
    <x v="3"/>
    <x v="0"/>
    <x v="366"/>
    <x v="0"/>
    <n v="0"/>
    <x v="0"/>
    <s v="Basic"/>
  </r>
  <r>
    <x v="1985"/>
    <x v="1"/>
    <x v="2"/>
    <x v="323"/>
    <x v="2"/>
    <n v="1"/>
    <x v="1"/>
    <s v="Inactive"/>
  </r>
  <r>
    <x v="1986"/>
    <x v="0"/>
    <x v="0"/>
    <x v="128"/>
    <x v="0"/>
    <n v="0"/>
    <x v="0"/>
    <s v="Basic"/>
  </r>
  <r>
    <x v="1987"/>
    <x v="2"/>
    <x v="2"/>
    <x v="320"/>
    <x v="2"/>
    <n v="0"/>
    <x v="0"/>
    <s v="Premium"/>
  </r>
  <r>
    <x v="1988"/>
    <x v="0"/>
    <x v="0"/>
    <x v="564"/>
    <x v="0"/>
    <n v="0"/>
    <x v="0"/>
    <s v="Basic"/>
  </r>
  <r>
    <x v="1989"/>
    <x v="2"/>
    <x v="1"/>
    <x v="101"/>
    <x v="1"/>
    <n v="0"/>
    <x v="0"/>
    <s v="Elite"/>
  </r>
  <r>
    <x v="1990"/>
    <x v="2"/>
    <x v="2"/>
    <x v="257"/>
    <x v="2"/>
    <n v="0"/>
    <x v="0"/>
    <s v="Premium"/>
  </r>
  <r>
    <x v="1991"/>
    <x v="0"/>
    <x v="2"/>
    <x v="220"/>
    <x v="2"/>
    <n v="0"/>
    <x v="0"/>
    <s v="Premium"/>
  </r>
  <r>
    <x v="1992"/>
    <x v="1"/>
    <x v="0"/>
    <x v="280"/>
    <x v="0"/>
    <n v="0"/>
    <x v="0"/>
    <s v="Basic"/>
  </r>
  <r>
    <x v="1993"/>
    <x v="2"/>
    <x v="2"/>
    <x v="184"/>
    <x v="2"/>
    <n v="0"/>
    <x v="0"/>
    <s v="Premium"/>
  </r>
  <r>
    <x v="1994"/>
    <x v="0"/>
    <x v="1"/>
    <x v="302"/>
    <x v="1"/>
    <n v="0"/>
    <x v="0"/>
    <s v="Elite"/>
  </r>
  <r>
    <x v="1995"/>
    <x v="1"/>
    <x v="2"/>
    <x v="258"/>
    <x v="2"/>
    <n v="0"/>
    <x v="0"/>
    <s v="Premium"/>
  </r>
  <r>
    <x v="1996"/>
    <x v="1"/>
    <x v="0"/>
    <x v="46"/>
    <x v="0"/>
    <n v="0"/>
    <x v="0"/>
    <s v="Basic"/>
  </r>
  <r>
    <x v="1997"/>
    <x v="1"/>
    <x v="1"/>
    <x v="152"/>
    <x v="1"/>
    <n v="0"/>
    <x v="0"/>
    <s v="Elite"/>
  </r>
  <r>
    <x v="1998"/>
    <x v="1"/>
    <x v="2"/>
    <x v="466"/>
    <x v="2"/>
    <n v="0"/>
    <x v="0"/>
    <s v="Premium"/>
  </r>
  <r>
    <x v="1999"/>
    <x v="0"/>
    <x v="0"/>
    <x v="65"/>
    <x v="0"/>
    <n v="1"/>
    <x v="1"/>
    <s v="Inactive"/>
  </r>
  <r>
    <x v="2000"/>
    <x v="0"/>
    <x v="0"/>
    <x v="596"/>
    <x v="0"/>
    <n v="0"/>
    <x v="0"/>
    <s v="Basic"/>
  </r>
  <r>
    <x v="2001"/>
    <x v="3"/>
    <x v="0"/>
    <x v="33"/>
    <x v="0"/>
    <n v="0"/>
    <x v="0"/>
    <s v="Basic"/>
  </r>
  <r>
    <x v="2002"/>
    <x v="2"/>
    <x v="1"/>
    <x v="659"/>
    <x v="1"/>
    <n v="0"/>
    <x v="0"/>
    <s v="Elite"/>
  </r>
  <r>
    <x v="2003"/>
    <x v="0"/>
    <x v="0"/>
    <x v="606"/>
    <x v="0"/>
    <n v="0"/>
    <x v="0"/>
    <s v="Basic"/>
  </r>
  <r>
    <x v="2004"/>
    <x v="0"/>
    <x v="2"/>
    <x v="51"/>
    <x v="2"/>
    <n v="0"/>
    <x v="0"/>
    <s v="Premium"/>
  </r>
  <r>
    <x v="2005"/>
    <x v="2"/>
    <x v="0"/>
    <x v="273"/>
    <x v="0"/>
    <n v="0"/>
    <x v="0"/>
    <s v="Basic"/>
  </r>
  <r>
    <x v="2006"/>
    <x v="2"/>
    <x v="0"/>
    <x v="22"/>
    <x v="0"/>
    <n v="0"/>
    <x v="0"/>
    <s v="Basic"/>
  </r>
  <r>
    <x v="2007"/>
    <x v="0"/>
    <x v="0"/>
    <x v="603"/>
    <x v="0"/>
    <n v="1"/>
    <x v="1"/>
    <s v="Inactive"/>
  </r>
  <r>
    <x v="2008"/>
    <x v="1"/>
    <x v="0"/>
    <x v="260"/>
    <x v="0"/>
    <n v="1"/>
    <x v="1"/>
    <s v="Inactive"/>
  </r>
  <r>
    <x v="2009"/>
    <x v="3"/>
    <x v="0"/>
    <x v="191"/>
    <x v="0"/>
    <n v="0"/>
    <x v="0"/>
    <s v="Basic"/>
  </r>
  <r>
    <x v="2010"/>
    <x v="1"/>
    <x v="2"/>
    <x v="117"/>
    <x v="2"/>
    <n v="0"/>
    <x v="0"/>
    <s v="Premium"/>
  </r>
  <r>
    <x v="2011"/>
    <x v="1"/>
    <x v="0"/>
    <x v="188"/>
    <x v="0"/>
    <n v="0"/>
    <x v="0"/>
    <s v="Basic"/>
  </r>
  <r>
    <x v="2012"/>
    <x v="3"/>
    <x v="0"/>
    <x v="405"/>
    <x v="0"/>
    <n v="0"/>
    <x v="0"/>
    <s v="Basic"/>
  </r>
  <r>
    <x v="2013"/>
    <x v="2"/>
    <x v="2"/>
    <x v="433"/>
    <x v="2"/>
    <n v="1"/>
    <x v="1"/>
    <s v="Inactive"/>
  </r>
  <r>
    <x v="2014"/>
    <x v="1"/>
    <x v="0"/>
    <x v="200"/>
    <x v="0"/>
    <n v="1"/>
    <x v="1"/>
    <s v="Inactive"/>
  </r>
  <r>
    <x v="2015"/>
    <x v="0"/>
    <x v="0"/>
    <x v="499"/>
    <x v="0"/>
    <n v="0"/>
    <x v="0"/>
    <s v="Basic"/>
  </r>
  <r>
    <x v="2016"/>
    <x v="1"/>
    <x v="0"/>
    <x v="610"/>
    <x v="0"/>
    <n v="0"/>
    <x v="0"/>
    <s v="Basic"/>
  </r>
  <r>
    <x v="2017"/>
    <x v="2"/>
    <x v="0"/>
    <x v="138"/>
    <x v="0"/>
    <n v="0"/>
    <x v="0"/>
    <s v="Basic"/>
  </r>
  <r>
    <x v="2018"/>
    <x v="2"/>
    <x v="2"/>
    <x v="374"/>
    <x v="2"/>
    <n v="0"/>
    <x v="0"/>
    <s v="Premium"/>
  </r>
  <r>
    <x v="2019"/>
    <x v="0"/>
    <x v="1"/>
    <x v="446"/>
    <x v="1"/>
    <n v="0"/>
    <x v="0"/>
    <s v="Elite"/>
  </r>
  <r>
    <x v="2020"/>
    <x v="3"/>
    <x v="0"/>
    <x v="584"/>
    <x v="0"/>
    <n v="0"/>
    <x v="0"/>
    <s v="Basic"/>
  </r>
  <r>
    <x v="2021"/>
    <x v="3"/>
    <x v="0"/>
    <x v="398"/>
    <x v="0"/>
    <n v="0"/>
    <x v="0"/>
    <s v="Basic"/>
  </r>
  <r>
    <x v="2022"/>
    <x v="3"/>
    <x v="1"/>
    <x v="660"/>
    <x v="1"/>
    <n v="0"/>
    <x v="0"/>
    <s v="Elite"/>
  </r>
  <r>
    <x v="2023"/>
    <x v="1"/>
    <x v="2"/>
    <x v="650"/>
    <x v="2"/>
    <n v="0"/>
    <x v="0"/>
    <s v="Premium"/>
  </r>
  <r>
    <x v="2024"/>
    <x v="0"/>
    <x v="2"/>
    <x v="52"/>
    <x v="2"/>
    <n v="0"/>
    <x v="0"/>
    <s v="Premium"/>
  </r>
  <r>
    <x v="2025"/>
    <x v="2"/>
    <x v="2"/>
    <x v="604"/>
    <x v="2"/>
    <n v="1"/>
    <x v="1"/>
    <s v="Inactive"/>
  </r>
  <r>
    <x v="2026"/>
    <x v="1"/>
    <x v="0"/>
    <x v="220"/>
    <x v="0"/>
    <n v="0"/>
    <x v="0"/>
    <s v="Basic"/>
  </r>
  <r>
    <x v="2027"/>
    <x v="3"/>
    <x v="0"/>
    <x v="274"/>
    <x v="0"/>
    <n v="0"/>
    <x v="0"/>
    <s v="Basic"/>
  </r>
  <r>
    <x v="2028"/>
    <x v="2"/>
    <x v="0"/>
    <x v="224"/>
    <x v="0"/>
    <n v="1"/>
    <x v="1"/>
    <s v="Inactive"/>
  </r>
  <r>
    <x v="2029"/>
    <x v="0"/>
    <x v="0"/>
    <x v="269"/>
    <x v="0"/>
    <n v="0"/>
    <x v="0"/>
    <s v="Basic"/>
  </r>
  <r>
    <x v="2030"/>
    <x v="1"/>
    <x v="2"/>
    <x v="191"/>
    <x v="2"/>
    <n v="0"/>
    <x v="0"/>
    <s v="Premium"/>
  </r>
  <r>
    <x v="2031"/>
    <x v="1"/>
    <x v="0"/>
    <x v="150"/>
    <x v="0"/>
    <n v="0"/>
    <x v="0"/>
    <s v="Basic"/>
  </r>
  <r>
    <x v="2032"/>
    <x v="1"/>
    <x v="2"/>
    <x v="40"/>
    <x v="2"/>
    <n v="0"/>
    <x v="0"/>
    <s v="Premium"/>
  </r>
  <r>
    <x v="2033"/>
    <x v="1"/>
    <x v="0"/>
    <x v="106"/>
    <x v="0"/>
    <n v="0"/>
    <x v="0"/>
    <s v="Basic"/>
  </r>
  <r>
    <x v="2034"/>
    <x v="1"/>
    <x v="0"/>
    <x v="277"/>
    <x v="0"/>
    <n v="0"/>
    <x v="0"/>
    <s v="Basic"/>
  </r>
  <r>
    <x v="2035"/>
    <x v="1"/>
    <x v="0"/>
    <x v="116"/>
    <x v="0"/>
    <n v="1"/>
    <x v="1"/>
    <s v="Inactive"/>
  </r>
  <r>
    <x v="2036"/>
    <x v="3"/>
    <x v="0"/>
    <x v="70"/>
    <x v="0"/>
    <n v="0"/>
    <x v="0"/>
    <s v="Basic"/>
  </r>
  <r>
    <x v="2037"/>
    <x v="1"/>
    <x v="0"/>
    <x v="439"/>
    <x v="0"/>
    <n v="0"/>
    <x v="0"/>
    <s v="Basic"/>
  </r>
  <r>
    <x v="2038"/>
    <x v="3"/>
    <x v="0"/>
    <x v="542"/>
    <x v="0"/>
    <n v="0"/>
    <x v="0"/>
    <s v="Basic"/>
  </r>
  <r>
    <x v="2039"/>
    <x v="1"/>
    <x v="1"/>
    <x v="85"/>
    <x v="1"/>
    <n v="0"/>
    <x v="0"/>
    <s v="Elite"/>
  </r>
  <r>
    <x v="2040"/>
    <x v="0"/>
    <x v="2"/>
    <x v="25"/>
    <x v="2"/>
    <n v="0"/>
    <x v="0"/>
    <s v="Premium"/>
  </r>
  <r>
    <x v="2041"/>
    <x v="1"/>
    <x v="0"/>
    <x v="647"/>
    <x v="0"/>
    <n v="0"/>
    <x v="0"/>
    <s v="Basic"/>
  </r>
  <r>
    <x v="2042"/>
    <x v="3"/>
    <x v="2"/>
    <x v="96"/>
    <x v="2"/>
    <n v="0"/>
    <x v="0"/>
    <s v="Premium"/>
  </r>
  <r>
    <x v="2043"/>
    <x v="2"/>
    <x v="0"/>
    <x v="412"/>
    <x v="0"/>
    <n v="0"/>
    <x v="0"/>
    <s v="Basic"/>
  </r>
  <r>
    <x v="2044"/>
    <x v="0"/>
    <x v="1"/>
    <x v="200"/>
    <x v="1"/>
    <n v="0"/>
    <x v="0"/>
    <s v="Elite"/>
  </r>
  <r>
    <x v="2045"/>
    <x v="2"/>
    <x v="0"/>
    <x v="573"/>
    <x v="0"/>
    <n v="0"/>
    <x v="0"/>
    <s v="Basic"/>
  </r>
  <r>
    <x v="2046"/>
    <x v="0"/>
    <x v="2"/>
    <x v="45"/>
    <x v="2"/>
    <n v="0"/>
    <x v="0"/>
    <s v="Premium"/>
  </r>
  <r>
    <x v="2047"/>
    <x v="1"/>
    <x v="2"/>
    <x v="185"/>
    <x v="2"/>
    <n v="0"/>
    <x v="0"/>
    <s v="Premium"/>
  </r>
  <r>
    <x v="2048"/>
    <x v="1"/>
    <x v="2"/>
    <x v="88"/>
    <x v="2"/>
    <n v="0"/>
    <x v="0"/>
    <s v="Premium"/>
  </r>
  <r>
    <x v="2049"/>
    <x v="3"/>
    <x v="2"/>
    <x v="74"/>
    <x v="2"/>
    <n v="0"/>
    <x v="0"/>
    <s v="Premium"/>
  </r>
  <r>
    <x v="2050"/>
    <x v="2"/>
    <x v="1"/>
    <x v="572"/>
    <x v="1"/>
    <n v="0"/>
    <x v="0"/>
    <s v="Elite"/>
  </r>
  <r>
    <x v="2051"/>
    <x v="2"/>
    <x v="0"/>
    <x v="333"/>
    <x v="0"/>
    <n v="0"/>
    <x v="0"/>
    <s v="Basic"/>
  </r>
  <r>
    <x v="2052"/>
    <x v="1"/>
    <x v="0"/>
    <x v="359"/>
    <x v="0"/>
    <n v="1"/>
    <x v="1"/>
    <s v="Inactive"/>
  </r>
  <r>
    <x v="2053"/>
    <x v="2"/>
    <x v="0"/>
    <x v="409"/>
    <x v="0"/>
    <n v="0"/>
    <x v="0"/>
    <s v="Basic"/>
  </r>
  <r>
    <x v="2054"/>
    <x v="2"/>
    <x v="0"/>
    <x v="628"/>
    <x v="0"/>
    <n v="0"/>
    <x v="0"/>
    <s v="Basic"/>
  </r>
  <r>
    <x v="2055"/>
    <x v="2"/>
    <x v="2"/>
    <x v="320"/>
    <x v="2"/>
    <n v="1"/>
    <x v="1"/>
    <s v="Inactive"/>
  </r>
  <r>
    <x v="2056"/>
    <x v="1"/>
    <x v="2"/>
    <x v="434"/>
    <x v="2"/>
    <n v="1"/>
    <x v="1"/>
    <s v="Inactive"/>
  </r>
  <r>
    <x v="2057"/>
    <x v="2"/>
    <x v="0"/>
    <x v="382"/>
    <x v="0"/>
    <n v="0"/>
    <x v="0"/>
    <s v="Basic"/>
  </r>
  <r>
    <x v="2058"/>
    <x v="1"/>
    <x v="2"/>
    <x v="362"/>
    <x v="2"/>
    <n v="0"/>
    <x v="0"/>
    <s v="Premium"/>
  </r>
  <r>
    <x v="2059"/>
    <x v="3"/>
    <x v="2"/>
    <x v="589"/>
    <x v="2"/>
    <n v="1"/>
    <x v="1"/>
    <s v="Inactive"/>
  </r>
  <r>
    <x v="2060"/>
    <x v="2"/>
    <x v="0"/>
    <x v="580"/>
    <x v="0"/>
    <n v="0"/>
    <x v="0"/>
    <s v="Basic"/>
  </r>
  <r>
    <x v="2061"/>
    <x v="1"/>
    <x v="1"/>
    <x v="326"/>
    <x v="1"/>
    <n v="1"/>
    <x v="1"/>
    <s v="Inactive"/>
  </r>
  <r>
    <x v="2062"/>
    <x v="3"/>
    <x v="2"/>
    <x v="58"/>
    <x v="2"/>
    <n v="0"/>
    <x v="0"/>
    <s v="Premium"/>
  </r>
  <r>
    <x v="2063"/>
    <x v="3"/>
    <x v="2"/>
    <x v="431"/>
    <x v="2"/>
    <n v="1"/>
    <x v="1"/>
    <s v="Inactive"/>
  </r>
  <r>
    <x v="2064"/>
    <x v="2"/>
    <x v="0"/>
    <x v="143"/>
    <x v="0"/>
    <n v="0"/>
    <x v="0"/>
    <s v="Basic"/>
  </r>
  <r>
    <x v="2065"/>
    <x v="0"/>
    <x v="2"/>
    <x v="221"/>
    <x v="2"/>
    <n v="1"/>
    <x v="1"/>
    <s v="Inactive"/>
  </r>
  <r>
    <x v="2066"/>
    <x v="3"/>
    <x v="0"/>
    <x v="214"/>
    <x v="0"/>
    <n v="0"/>
    <x v="0"/>
    <s v="Basic"/>
  </r>
  <r>
    <x v="2067"/>
    <x v="1"/>
    <x v="2"/>
    <x v="435"/>
    <x v="2"/>
    <n v="0"/>
    <x v="0"/>
    <s v="Premium"/>
  </r>
  <r>
    <x v="2068"/>
    <x v="1"/>
    <x v="1"/>
    <x v="447"/>
    <x v="1"/>
    <n v="1"/>
    <x v="1"/>
    <s v="Inactive"/>
  </r>
  <r>
    <x v="2069"/>
    <x v="0"/>
    <x v="0"/>
    <x v="285"/>
    <x v="0"/>
    <n v="0"/>
    <x v="0"/>
    <s v="Basic"/>
  </r>
  <r>
    <x v="2070"/>
    <x v="3"/>
    <x v="1"/>
    <x v="335"/>
    <x v="1"/>
    <n v="0"/>
    <x v="0"/>
    <s v="Elite"/>
  </r>
  <r>
    <x v="2071"/>
    <x v="2"/>
    <x v="0"/>
    <x v="286"/>
    <x v="0"/>
    <n v="0"/>
    <x v="0"/>
    <s v="Basic"/>
  </r>
  <r>
    <x v="2072"/>
    <x v="0"/>
    <x v="0"/>
    <x v="328"/>
    <x v="0"/>
    <n v="0"/>
    <x v="0"/>
    <s v="Basic"/>
  </r>
  <r>
    <x v="2073"/>
    <x v="3"/>
    <x v="2"/>
    <x v="541"/>
    <x v="2"/>
    <n v="0"/>
    <x v="0"/>
    <s v="Premium"/>
  </r>
  <r>
    <x v="2074"/>
    <x v="3"/>
    <x v="1"/>
    <x v="320"/>
    <x v="1"/>
    <n v="0"/>
    <x v="0"/>
    <s v="Elite"/>
  </r>
  <r>
    <x v="2075"/>
    <x v="3"/>
    <x v="0"/>
    <x v="43"/>
    <x v="0"/>
    <n v="0"/>
    <x v="0"/>
    <s v="Basic"/>
  </r>
  <r>
    <x v="2076"/>
    <x v="1"/>
    <x v="0"/>
    <x v="38"/>
    <x v="0"/>
    <n v="0"/>
    <x v="0"/>
    <s v="Basic"/>
  </r>
  <r>
    <x v="2077"/>
    <x v="0"/>
    <x v="0"/>
    <x v="458"/>
    <x v="0"/>
    <n v="0"/>
    <x v="0"/>
    <s v="Basic"/>
  </r>
  <r>
    <x v="2078"/>
    <x v="1"/>
    <x v="1"/>
    <x v="661"/>
    <x v="1"/>
    <n v="0"/>
    <x v="0"/>
    <s v="Elite"/>
  </r>
  <r>
    <x v="2079"/>
    <x v="3"/>
    <x v="0"/>
    <x v="474"/>
    <x v="0"/>
    <n v="0"/>
    <x v="0"/>
    <s v="Basic"/>
  </r>
  <r>
    <x v="2080"/>
    <x v="1"/>
    <x v="1"/>
    <x v="233"/>
    <x v="1"/>
    <n v="0"/>
    <x v="0"/>
    <s v="Elite"/>
  </r>
  <r>
    <x v="2081"/>
    <x v="1"/>
    <x v="0"/>
    <x v="106"/>
    <x v="0"/>
    <n v="0"/>
    <x v="0"/>
    <s v="Basic"/>
  </r>
  <r>
    <x v="2082"/>
    <x v="1"/>
    <x v="1"/>
    <x v="34"/>
    <x v="1"/>
    <n v="0"/>
    <x v="0"/>
    <s v="Elite"/>
  </r>
  <r>
    <x v="2083"/>
    <x v="2"/>
    <x v="1"/>
    <x v="324"/>
    <x v="1"/>
    <n v="0"/>
    <x v="0"/>
    <s v="Elite"/>
  </r>
  <r>
    <x v="2084"/>
    <x v="1"/>
    <x v="1"/>
    <x v="451"/>
    <x v="1"/>
    <n v="0"/>
    <x v="0"/>
    <s v="Elite"/>
  </r>
  <r>
    <x v="2085"/>
    <x v="1"/>
    <x v="1"/>
    <x v="662"/>
    <x v="1"/>
    <n v="0"/>
    <x v="0"/>
    <s v="Elite"/>
  </r>
  <r>
    <x v="2086"/>
    <x v="1"/>
    <x v="0"/>
    <x v="236"/>
    <x v="0"/>
    <n v="1"/>
    <x v="1"/>
    <s v="Inactive"/>
  </r>
  <r>
    <x v="2087"/>
    <x v="1"/>
    <x v="0"/>
    <x v="319"/>
    <x v="0"/>
    <n v="0"/>
    <x v="0"/>
    <s v="Basic"/>
  </r>
  <r>
    <x v="2088"/>
    <x v="2"/>
    <x v="0"/>
    <x v="73"/>
    <x v="0"/>
    <n v="0"/>
    <x v="0"/>
    <s v="Basic"/>
  </r>
  <r>
    <x v="2089"/>
    <x v="1"/>
    <x v="2"/>
    <x v="237"/>
    <x v="2"/>
    <n v="0"/>
    <x v="0"/>
    <s v="Premium"/>
  </r>
  <r>
    <x v="2090"/>
    <x v="2"/>
    <x v="1"/>
    <x v="644"/>
    <x v="1"/>
    <n v="0"/>
    <x v="0"/>
    <s v="Elite"/>
  </r>
  <r>
    <x v="2091"/>
    <x v="2"/>
    <x v="0"/>
    <x v="366"/>
    <x v="0"/>
    <n v="0"/>
    <x v="0"/>
    <s v="Basic"/>
  </r>
  <r>
    <x v="2092"/>
    <x v="3"/>
    <x v="0"/>
    <x v="663"/>
    <x v="0"/>
    <n v="0"/>
    <x v="0"/>
    <s v="Basic"/>
  </r>
  <r>
    <x v="2093"/>
    <x v="1"/>
    <x v="0"/>
    <x v="188"/>
    <x v="0"/>
    <n v="0"/>
    <x v="0"/>
    <s v="Basic"/>
  </r>
  <r>
    <x v="2094"/>
    <x v="1"/>
    <x v="0"/>
    <x v="104"/>
    <x v="0"/>
    <n v="0"/>
    <x v="0"/>
    <s v="Basic"/>
  </r>
  <r>
    <x v="2095"/>
    <x v="2"/>
    <x v="0"/>
    <x v="664"/>
    <x v="0"/>
    <n v="0"/>
    <x v="0"/>
    <s v="Basic"/>
  </r>
  <r>
    <x v="2096"/>
    <x v="1"/>
    <x v="0"/>
    <x v="162"/>
    <x v="0"/>
    <n v="0"/>
    <x v="0"/>
    <s v="Basic"/>
  </r>
  <r>
    <x v="2097"/>
    <x v="1"/>
    <x v="2"/>
    <x v="645"/>
    <x v="2"/>
    <n v="0"/>
    <x v="0"/>
    <s v="Premium"/>
  </r>
  <r>
    <x v="2098"/>
    <x v="2"/>
    <x v="1"/>
    <x v="290"/>
    <x v="1"/>
    <n v="0"/>
    <x v="0"/>
    <s v="Elite"/>
  </r>
  <r>
    <x v="2099"/>
    <x v="3"/>
    <x v="2"/>
    <x v="559"/>
    <x v="2"/>
    <n v="0"/>
    <x v="0"/>
    <s v="Premium"/>
  </r>
  <r>
    <x v="2100"/>
    <x v="3"/>
    <x v="2"/>
    <x v="95"/>
    <x v="2"/>
    <n v="0"/>
    <x v="0"/>
    <s v="Premium"/>
  </r>
  <r>
    <x v="2101"/>
    <x v="3"/>
    <x v="2"/>
    <x v="221"/>
    <x v="2"/>
    <n v="0"/>
    <x v="0"/>
    <s v="Premium"/>
  </r>
  <r>
    <x v="2102"/>
    <x v="2"/>
    <x v="1"/>
    <x v="284"/>
    <x v="1"/>
    <n v="0"/>
    <x v="0"/>
    <s v="Elite"/>
  </r>
  <r>
    <x v="2103"/>
    <x v="2"/>
    <x v="0"/>
    <x v="605"/>
    <x v="0"/>
    <n v="0"/>
    <x v="0"/>
    <s v="Basic"/>
  </r>
  <r>
    <x v="2104"/>
    <x v="3"/>
    <x v="0"/>
    <x v="443"/>
    <x v="0"/>
    <n v="0"/>
    <x v="0"/>
    <s v="Basic"/>
  </r>
  <r>
    <x v="2105"/>
    <x v="1"/>
    <x v="2"/>
    <x v="78"/>
    <x v="2"/>
    <n v="0"/>
    <x v="0"/>
    <s v="Premium"/>
  </r>
  <r>
    <x v="2106"/>
    <x v="2"/>
    <x v="2"/>
    <x v="420"/>
    <x v="2"/>
    <n v="0"/>
    <x v="0"/>
    <s v="Premium"/>
  </r>
  <r>
    <x v="2107"/>
    <x v="0"/>
    <x v="2"/>
    <x v="432"/>
    <x v="2"/>
    <n v="1"/>
    <x v="1"/>
    <s v="Inactive"/>
  </r>
  <r>
    <x v="2108"/>
    <x v="2"/>
    <x v="0"/>
    <x v="268"/>
    <x v="0"/>
    <n v="0"/>
    <x v="0"/>
    <s v="Basic"/>
  </r>
  <r>
    <x v="2109"/>
    <x v="3"/>
    <x v="1"/>
    <x v="154"/>
    <x v="1"/>
    <n v="0"/>
    <x v="0"/>
    <s v="Elite"/>
  </r>
  <r>
    <x v="2110"/>
    <x v="2"/>
    <x v="2"/>
    <x v="208"/>
    <x v="2"/>
    <n v="0"/>
    <x v="0"/>
    <s v="Premium"/>
  </r>
  <r>
    <x v="2111"/>
    <x v="0"/>
    <x v="0"/>
    <x v="461"/>
    <x v="0"/>
    <n v="0"/>
    <x v="0"/>
    <s v="Basic"/>
  </r>
  <r>
    <x v="2112"/>
    <x v="2"/>
    <x v="0"/>
    <x v="624"/>
    <x v="0"/>
    <n v="0"/>
    <x v="0"/>
    <s v="Basic"/>
  </r>
  <r>
    <x v="2113"/>
    <x v="0"/>
    <x v="2"/>
    <x v="414"/>
    <x v="2"/>
    <n v="0"/>
    <x v="0"/>
    <s v="Premium"/>
  </r>
  <r>
    <x v="2114"/>
    <x v="0"/>
    <x v="2"/>
    <x v="118"/>
    <x v="2"/>
    <n v="0"/>
    <x v="0"/>
    <s v="Premium"/>
  </r>
  <r>
    <x v="2115"/>
    <x v="2"/>
    <x v="2"/>
    <x v="375"/>
    <x v="2"/>
    <n v="0"/>
    <x v="0"/>
    <s v="Premium"/>
  </r>
  <r>
    <x v="2116"/>
    <x v="1"/>
    <x v="0"/>
    <x v="503"/>
    <x v="0"/>
    <n v="0"/>
    <x v="0"/>
    <s v="Basic"/>
  </r>
  <r>
    <x v="2117"/>
    <x v="1"/>
    <x v="0"/>
    <x v="569"/>
    <x v="0"/>
    <n v="0"/>
    <x v="0"/>
    <s v="Basic"/>
  </r>
  <r>
    <x v="2118"/>
    <x v="0"/>
    <x v="1"/>
    <x v="70"/>
    <x v="1"/>
    <n v="0"/>
    <x v="0"/>
    <s v="Elite"/>
  </r>
  <r>
    <x v="2119"/>
    <x v="3"/>
    <x v="0"/>
    <x v="98"/>
    <x v="0"/>
    <n v="1"/>
    <x v="1"/>
    <s v="Inactive"/>
  </r>
  <r>
    <x v="2120"/>
    <x v="3"/>
    <x v="2"/>
    <x v="32"/>
    <x v="2"/>
    <n v="1"/>
    <x v="1"/>
    <s v="Inactive"/>
  </r>
  <r>
    <x v="2121"/>
    <x v="1"/>
    <x v="2"/>
    <x v="102"/>
    <x v="2"/>
    <n v="1"/>
    <x v="1"/>
    <s v="Inactive"/>
  </r>
  <r>
    <x v="2122"/>
    <x v="3"/>
    <x v="0"/>
    <x v="108"/>
    <x v="0"/>
    <n v="0"/>
    <x v="0"/>
    <s v="Basic"/>
  </r>
  <r>
    <x v="2123"/>
    <x v="0"/>
    <x v="1"/>
    <x v="386"/>
    <x v="1"/>
    <n v="0"/>
    <x v="0"/>
    <s v="Elite"/>
  </r>
  <r>
    <x v="2124"/>
    <x v="3"/>
    <x v="0"/>
    <x v="391"/>
    <x v="0"/>
    <n v="0"/>
    <x v="0"/>
    <s v="Basic"/>
  </r>
  <r>
    <x v="2125"/>
    <x v="0"/>
    <x v="2"/>
    <x v="605"/>
    <x v="2"/>
    <n v="0"/>
    <x v="0"/>
    <s v="Premium"/>
  </r>
  <r>
    <x v="2126"/>
    <x v="1"/>
    <x v="0"/>
    <x v="665"/>
    <x v="0"/>
    <n v="0"/>
    <x v="0"/>
    <s v="Basic"/>
  </r>
  <r>
    <x v="2127"/>
    <x v="1"/>
    <x v="1"/>
    <x v="585"/>
    <x v="1"/>
    <n v="1"/>
    <x v="1"/>
    <s v="Inactive"/>
  </r>
  <r>
    <x v="2128"/>
    <x v="1"/>
    <x v="0"/>
    <x v="128"/>
    <x v="0"/>
    <n v="0"/>
    <x v="0"/>
    <s v="Basic"/>
  </r>
  <r>
    <x v="2129"/>
    <x v="3"/>
    <x v="1"/>
    <x v="666"/>
    <x v="1"/>
    <n v="1"/>
    <x v="1"/>
    <s v="Inactive"/>
  </r>
  <r>
    <x v="2130"/>
    <x v="3"/>
    <x v="1"/>
    <x v="159"/>
    <x v="1"/>
    <n v="1"/>
    <x v="1"/>
    <s v="Inactive"/>
  </r>
  <r>
    <x v="2131"/>
    <x v="1"/>
    <x v="1"/>
    <x v="158"/>
    <x v="1"/>
    <n v="0"/>
    <x v="0"/>
    <s v="Elite"/>
  </r>
  <r>
    <x v="2132"/>
    <x v="3"/>
    <x v="2"/>
    <x v="564"/>
    <x v="2"/>
    <n v="0"/>
    <x v="0"/>
    <s v="Premium"/>
  </r>
  <r>
    <x v="2133"/>
    <x v="0"/>
    <x v="2"/>
    <x v="242"/>
    <x v="2"/>
    <n v="1"/>
    <x v="1"/>
    <s v="Inactive"/>
  </r>
  <r>
    <x v="2134"/>
    <x v="1"/>
    <x v="0"/>
    <x v="273"/>
    <x v="0"/>
    <n v="0"/>
    <x v="0"/>
    <s v="Basic"/>
  </r>
  <r>
    <x v="2135"/>
    <x v="2"/>
    <x v="2"/>
    <x v="457"/>
    <x v="2"/>
    <n v="0"/>
    <x v="0"/>
    <s v="Premium"/>
  </r>
  <r>
    <x v="2136"/>
    <x v="2"/>
    <x v="2"/>
    <x v="172"/>
    <x v="2"/>
    <n v="0"/>
    <x v="0"/>
    <s v="Premium"/>
  </r>
  <r>
    <x v="2137"/>
    <x v="0"/>
    <x v="0"/>
    <x v="92"/>
    <x v="0"/>
    <n v="0"/>
    <x v="0"/>
    <s v="Basic"/>
  </r>
  <r>
    <x v="2138"/>
    <x v="1"/>
    <x v="2"/>
    <x v="435"/>
    <x v="2"/>
    <n v="0"/>
    <x v="0"/>
    <s v="Premium"/>
  </r>
  <r>
    <x v="2139"/>
    <x v="1"/>
    <x v="0"/>
    <x v="11"/>
    <x v="0"/>
    <n v="1"/>
    <x v="1"/>
    <s v="Inactive"/>
  </r>
  <r>
    <x v="2140"/>
    <x v="0"/>
    <x v="2"/>
    <x v="47"/>
    <x v="2"/>
    <n v="0"/>
    <x v="0"/>
    <s v="Premium"/>
  </r>
  <r>
    <x v="2141"/>
    <x v="2"/>
    <x v="1"/>
    <x v="271"/>
    <x v="1"/>
    <n v="1"/>
    <x v="1"/>
    <s v="Inactive"/>
  </r>
  <r>
    <x v="2142"/>
    <x v="2"/>
    <x v="0"/>
    <x v="556"/>
    <x v="0"/>
    <n v="0"/>
    <x v="0"/>
    <s v="Basic"/>
  </r>
  <r>
    <x v="2143"/>
    <x v="1"/>
    <x v="2"/>
    <x v="201"/>
    <x v="2"/>
    <n v="0"/>
    <x v="0"/>
    <s v="Premium"/>
  </r>
  <r>
    <x v="2144"/>
    <x v="1"/>
    <x v="1"/>
    <x v="566"/>
    <x v="1"/>
    <n v="0"/>
    <x v="0"/>
    <s v="Elite"/>
  </r>
  <r>
    <x v="2145"/>
    <x v="0"/>
    <x v="0"/>
    <x v="549"/>
    <x v="0"/>
    <n v="0"/>
    <x v="0"/>
    <s v="Basic"/>
  </r>
  <r>
    <x v="2146"/>
    <x v="3"/>
    <x v="1"/>
    <x v="158"/>
    <x v="1"/>
    <n v="0"/>
    <x v="0"/>
    <s v="Elite"/>
  </r>
  <r>
    <x v="2147"/>
    <x v="0"/>
    <x v="0"/>
    <x v="378"/>
    <x v="0"/>
    <n v="0"/>
    <x v="0"/>
    <s v="Basic"/>
  </r>
  <r>
    <x v="2148"/>
    <x v="2"/>
    <x v="0"/>
    <x v="93"/>
    <x v="0"/>
    <n v="0"/>
    <x v="0"/>
    <s v="Basic"/>
  </r>
  <r>
    <x v="2149"/>
    <x v="1"/>
    <x v="0"/>
    <x v="90"/>
    <x v="0"/>
    <n v="0"/>
    <x v="0"/>
    <s v="Basic"/>
  </r>
  <r>
    <x v="2150"/>
    <x v="0"/>
    <x v="1"/>
    <x v="455"/>
    <x v="1"/>
    <n v="0"/>
    <x v="0"/>
    <s v="Elite"/>
  </r>
  <r>
    <x v="2151"/>
    <x v="2"/>
    <x v="0"/>
    <x v="378"/>
    <x v="0"/>
    <n v="0"/>
    <x v="0"/>
    <s v="Basic"/>
  </r>
  <r>
    <x v="2152"/>
    <x v="3"/>
    <x v="0"/>
    <x v="98"/>
    <x v="0"/>
    <n v="0"/>
    <x v="0"/>
    <s v="Basic"/>
  </r>
  <r>
    <x v="2153"/>
    <x v="1"/>
    <x v="0"/>
    <x v="663"/>
    <x v="0"/>
    <n v="0"/>
    <x v="0"/>
    <s v="Basic"/>
  </r>
  <r>
    <x v="2154"/>
    <x v="1"/>
    <x v="2"/>
    <x v="510"/>
    <x v="2"/>
    <n v="0"/>
    <x v="0"/>
    <s v="Premium"/>
  </r>
  <r>
    <x v="2155"/>
    <x v="2"/>
    <x v="2"/>
    <x v="224"/>
    <x v="2"/>
    <n v="0"/>
    <x v="0"/>
    <s v="Premium"/>
  </r>
  <r>
    <x v="2156"/>
    <x v="1"/>
    <x v="1"/>
    <x v="68"/>
    <x v="1"/>
    <n v="0"/>
    <x v="0"/>
    <s v="Elite"/>
  </r>
  <r>
    <x v="2157"/>
    <x v="1"/>
    <x v="1"/>
    <x v="536"/>
    <x v="1"/>
    <n v="1"/>
    <x v="1"/>
    <s v="Inactive"/>
  </r>
  <r>
    <x v="2158"/>
    <x v="1"/>
    <x v="2"/>
    <x v="78"/>
    <x v="2"/>
    <n v="0"/>
    <x v="0"/>
    <s v="Premium"/>
  </r>
  <r>
    <x v="2159"/>
    <x v="0"/>
    <x v="2"/>
    <x v="630"/>
    <x v="2"/>
    <n v="1"/>
    <x v="1"/>
    <s v="Inactive"/>
  </r>
  <r>
    <x v="2160"/>
    <x v="2"/>
    <x v="0"/>
    <x v="354"/>
    <x v="0"/>
    <n v="0"/>
    <x v="0"/>
    <s v="Basic"/>
  </r>
  <r>
    <x v="2161"/>
    <x v="0"/>
    <x v="1"/>
    <x v="548"/>
    <x v="1"/>
    <n v="0"/>
    <x v="0"/>
    <s v="Elite"/>
  </r>
  <r>
    <x v="2162"/>
    <x v="3"/>
    <x v="2"/>
    <x v="183"/>
    <x v="2"/>
    <n v="0"/>
    <x v="0"/>
    <s v="Premium"/>
  </r>
  <r>
    <x v="2163"/>
    <x v="0"/>
    <x v="2"/>
    <x v="178"/>
    <x v="2"/>
    <n v="0"/>
    <x v="0"/>
    <s v="Premium"/>
  </r>
  <r>
    <x v="2164"/>
    <x v="1"/>
    <x v="1"/>
    <x v="466"/>
    <x v="1"/>
    <n v="1"/>
    <x v="1"/>
    <s v="Inactive"/>
  </r>
  <r>
    <x v="2165"/>
    <x v="3"/>
    <x v="0"/>
    <x v="654"/>
    <x v="0"/>
    <n v="0"/>
    <x v="0"/>
    <s v="Basic"/>
  </r>
  <r>
    <x v="2166"/>
    <x v="1"/>
    <x v="1"/>
    <x v="502"/>
    <x v="1"/>
    <n v="0"/>
    <x v="0"/>
    <s v="Elite"/>
  </r>
  <r>
    <x v="2167"/>
    <x v="2"/>
    <x v="1"/>
    <x v="57"/>
    <x v="1"/>
    <n v="0"/>
    <x v="0"/>
    <s v="Elite"/>
  </r>
  <r>
    <x v="2168"/>
    <x v="3"/>
    <x v="2"/>
    <x v="583"/>
    <x v="2"/>
    <n v="0"/>
    <x v="0"/>
    <s v="Premium"/>
  </r>
  <r>
    <x v="2169"/>
    <x v="1"/>
    <x v="0"/>
    <x v="132"/>
    <x v="0"/>
    <n v="0"/>
    <x v="0"/>
    <s v="Basic"/>
  </r>
  <r>
    <x v="2170"/>
    <x v="1"/>
    <x v="0"/>
    <x v="354"/>
    <x v="0"/>
    <n v="0"/>
    <x v="0"/>
    <s v="Basic"/>
  </r>
  <r>
    <x v="2171"/>
    <x v="1"/>
    <x v="0"/>
    <x v="330"/>
    <x v="0"/>
    <n v="0"/>
    <x v="0"/>
    <s v="Basic"/>
  </r>
  <r>
    <x v="2172"/>
    <x v="1"/>
    <x v="1"/>
    <x v="602"/>
    <x v="1"/>
    <n v="0"/>
    <x v="0"/>
    <s v="Elite"/>
  </r>
  <r>
    <x v="2173"/>
    <x v="2"/>
    <x v="2"/>
    <x v="89"/>
    <x v="2"/>
    <n v="0"/>
    <x v="0"/>
    <s v="Premium"/>
  </r>
  <r>
    <x v="2174"/>
    <x v="1"/>
    <x v="2"/>
    <x v="30"/>
    <x v="2"/>
    <n v="1"/>
    <x v="1"/>
    <s v="Inactive"/>
  </r>
  <r>
    <x v="2175"/>
    <x v="1"/>
    <x v="0"/>
    <x v="578"/>
    <x v="0"/>
    <n v="0"/>
    <x v="0"/>
    <s v="Basic"/>
  </r>
  <r>
    <x v="2176"/>
    <x v="1"/>
    <x v="2"/>
    <x v="619"/>
    <x v="2"/>
    <n v="0"/>
    <x v="0"/>
    <s v="Premium"/>
  </r>
  <r>
    <x v="2177"/>
    <x v="1"/>
    <x v="0"/>
    <x v="199"/>
    <x v="0"/>
    <n v="1"/>
    <x v="1"/>
    <s v="Inactive"/>
  </r>
  <r>
    <x v="2178"/>
    <x v="0"/>
    <x v="1"/>
    <x v="484"/>
    <x v="1"/>
    <n v="1"/>
    <x v="1"/>
    <s v="Inactive"/>
  </r>
  <r>
    <x v="2179"/>
    <x v="3"/>
    <x v="2"/>
    <x v="342"/>
    <x v="2"/>
    <n v="0"/>
    <x v="0"/>
    <s v="Premium"/>
  </r>
  <r>
    <x v="2180"/>
    <x v="1"/>
    <x v="0"/>
    <x v="11"/>
    <x v="0"/>
    <n v="0"/>
    <x v="0"/>
    <s v="Basic"/>
  </r>
  <r>
    <x v="2181"/>
    <x v="0"/>
    <x v="0"/>
    <x v="556"/>
    <x v="0"/>
    <n v="0"/>
    <x v="0"/>
    <s v="Basic"/>
  </r>
  <r>
    <x v="2182"/>
    <x v="3"/>
    <x v="0"/>
    <x v="616"/>
    <x v="0"/>
    <n v="0"/>
    <x v="0"/>
    <s v="Basic"/>
  </r>
  <r>
    <x v="2183"/>
    <x v="0"/>
    <x v="2"/>
    <x v="205"/>
    <x v="2"/>
    <n v="1"/>
    <x v="1"/>
    <s v="Inactive"/>
  </r>
  <r>
    <x v="2184"/>
    <x v="1"/>
    <x v="0"/>
    <x v="478"/>
    <x v="0"/>
    <n v="0"/>
    <x v="0"/>
    <s v="Basic"/>
  </r>
  <r>
    <x v="2185"/>
    <x v="2"/>
    <x v="2"/>
    <x v="70"/>
    <x v="2"/>
    <n v="0"/>
    <x v="0"/>
    <s v="Premium"/>
  </r>
  <r>
    <x v="2186"/>
    <x v="1"/>
    <x v="2"/>
    <x v="237"/>
    <x v="2"/>
    <n v="1"/>
    <x v="1"/>
    <s v="Inactive"/>
  </r>
  <r>
    <x v="2187"/>
    <x v="1"/>
    <x v="2"/>
    <x v="667"/>
    <x v="2"/>
    <n v="1"/>
    <x v="1"/>
    <s v="Inactive"/>
  </r>
  <r>
    <x v="2188"/>
    <x v="2"/>
    <x v="0"/>
    <x v="25"/>
    <x v="0"/>
    <n v="0"/>
    <x v="0"/>
    <s v="Basic"/>
  </r>
  <r>
    <x v="2189"/>
    <x v="0"/>
    <x v="2"/>
    <x v="521"/>
    <x v="2"/>
    <n v="0"/>
    <x v="0"/>
    <s v="Premium"/>
  </r>
  <r>
    <x v="2190"/>
    <x v="2"/>
    <x v="0"/>
    <x v="653"/>
    <x v="0"/>
    <n v="0"/>
    <x v="0"/>
    <s v="Basic"/>
  </r>
  <r>
    <x v="2191"/>
    <x v="3"/>
    <x v="2"/>
    <x v="668"/>
    <x v="2"/>
    <n v="0"/>
    <x v="0"/>
    <s v="Premium"/>
  </r>
  <r>
    <x v="2192"/>
    <x v="0"/>
    <x v="2"/>
    <x v="602"/>
    <x v="2"/>
    <n v="0"/>
    <x v="0"/>
    <s v="Premium"/>
  </r>
  <r>
    <x v="2193"/>
    <x v="0"/>
    <x v="2"/>
    <x v="126"/>
    <x v="2"/>
    <n v="0"/>
    <x v="0"/>
    <s v="Premium"/>
  </r>
  <r>
    <x v="2194"/>
    <x v="2"/>
    <x v="2"/>
    <x v="560"/>
    <x v="2"/>
    <n v="1"/>
    <x v="1"/>
    <s v="Inactive"/>
  </r>
  <r>
    <x v="2195"/>
    <x v="1"/>
    <x v="1"/>
    <x v="344"/>
    <x v="1"/>
    <n v="0"/>
    <x v="0"/>
    <s v="Elite"/>
  </r>
  <r>
    <x v="2196"/>
    <x v="3"/>
    <x v="2"/>
    <x v="35"/>
    <x v="2"/>
    <n v="0"/>
    <x v="0"/>
    <s v="Premium"/>
  </r>
  <r>
    <x v="2197"/>
    <x v="3"/>
    <x v="0"/>
    <x v="652"/>
    <x v="0"/>
    <n v="0"/>
    <x v="0"/>
    <s v="Basic"/>
  </r>
  <r>
    <x v="2198"/>
    <x v="0"/>
    <x v="0"/>
    <x v="225"/>
    <x v="0"/>
    <n v="0"/>
    <x v="0"/>
    <s v="Basic"/>
  </r>
  <r>
    <x v="2199"/>
    <x v="3"/>
    <x v="2"/>
    <x v="126"/>
    <x v="2"/>
    <n v="0"/>
    <x v="0"/>
    <s v="Premium"/>
  </r>
  <r>
    <x v="2200"/>
    <x v="1"/>
    <x v="2"/>
    <x v="25"/>
    <x v="2"/>
    <n v="0"/>
    <x v="0"/>
    <s v="Premium"/>
  </r>
  <r>
    <x v="2201"/>
    <x v="2"/>
    <x v="0"/>
    <x v="505"/>
    <x v="0"/>
    <n v="1"/>
    <x v="1"/>
    <s v="Inactive"/>
  </r>
  <r>
    <x v="2202"/>
    <x v="1"/>
    <x v="0"/>
    <x v="633"/>
    <x v="0"/>
    <n v="0"/>
    <x v="0"/>
    <s v="Basic"/>
  </r>
  <r>
    <x v="2203"/>
    <x v="1"/>
    <x v="2"/>
    <x v="132"/>
    <x v="2"/>
    <n v="0"/>
    <x v="0"/>
    <s v="Premium"/>
  </r>
  <r>
    <x v="2204"/>
    <x v="1"/>
    <x v="2"/>
    <x v="139"/>
    <x v="2"/>
    <n v="0"/>
    <x v="0"/>
    <s v="Premium"/>
  </r>
  <r>
    <x v="2205"/>
    <x v="2"/>
    <x v="0"/>
    <x v="573"/>
    <x v="0"/>
    <n v="0"/>
    <x v="0"/>
    <s v="Basic"/>
  </r>
  <r>
    <x v="2206"/>
    <x v="3"/>
    <x v="1"/>
    <x v="35"/>
    <x v="1"/>
    <n v="0"/>
    <x v="0"/>
    <s v="Elite"/>
  </r>
  <r>
    <x v="2207"/>
    <x v="1"/>
    <x v="0"/>
    <x v="506"/>
    <x v="0"/>
    <n v="0"/>
    <x v="0"/>
    <s v="Basic"/>
  </r>
  <r>
    <x v="2208"/>
    <x v="2"/>
    <x v="1"/>
    <x v="255"/>
    <x v="1"/>
    <n v="1"/>
    <x v="1"/>
    <s v="Inactive"/>
  </r>
  <r>
    <x v="2209"/>
    <x v="1"/>
    <x v="2"/>
    <x v="81"/>
    <x v="2"/>
    <n v="0"/>
    <x v="0"/>
    <s v="Premium"/>
  </r>
  <r>
    <x v="2210"/>
    <x v="2"/>
    <x v="0"/>
    <x v="257"/>
    <x v="0"/>
    <n v="0"/>
    <x v="0"/>
    <s v="Basic"/>
  </r>
  <r>
    <x v="2211"/>
    <x v="3"/>
    <x v="0"/>
    <x v="216"/>
    <x v="0"/>
    <n v="1"/>
    <x v="1"/>
    <s v="Inactive"/>
  </r>
  <r>
    <x v="2212"/>
    <x v="3"/>
    <x v="0"/>
    <x v="325"/>
    <x v="0"/>
    <n v="0"/>
    <x v="0"/>
    <s v="Basic"/>
  </r>
  <r>
    <x v="2213"/>
    <x v="3"/>
    <x v="0"/>
    <x v="78"/>
    <x v="0"/>
    <n v="0"/>
    <x v="0"/>
    <s v="Basic"/>
  </r>
  <r>
    <x v="2214"/>
    <x v="1"/>
    <x v="0"/>
    <x v="548"/>
    <x v="0"/>
    <n v="0"/>
    <x v="0"/>
    <s v="Basic"/>
  </r>
  <r>
    <x v="2215"/>
    <x v="1"/>
    <x v="2"/>
    <x v="513"/>
    <x v="2"/>
    <n v="0"/>
    <x v="0"/>
    <s v="Premium"/>
  </r>
  <r>
    <x v="2216"/>
    <x v="0"/>
    <x v="2"/>
    <x v="21"/>
    <x v="2"/>
    <n v="0"/>
    <x v="0"/>
    <s v="Premium"/>
  </r>
  <r>
    <x v="2217"/>
    <x v="1"/>
    <x v="2"/>
    <x v="146"/>
    <x v="2"/>
    <n v="0"/>
    <x v="0"/>
    <s v="Premium"/>
  </r>
  <r>
    <x v="2218"/>
    <x v="0"/>
    <x v="0"/>
    <x v="95"/>
    <x v="0"/>
    <n v="0"/>
    <x v="0"/>
    <s v="Basic"/>
  </r>
  <r>
    <x v="2219"/>
    <x v="3"/>
    <x v="0"/>
    <x v="429"/>
    <x v="0"/>
    <n v="0"/>
    <x v="0"/>
    <s v="Basic"/>
  </r>
  <r>
    <x v="2220"/>
    <x v="1"/>
    <x v="0"/>
    <x v="375"/>
    <x v="0"/>
    <n v="0"/>
    <x v="0"/>
    <s v="Basic"/>
  </r>
  <r>
    <x v="2221"/>
    <x v="3"/>
    <x v="0"/>
    <x v="526"/>
    <x v="0"/>
    <n v="1"/>
    <x v="1"/>
    <s v="Inactive"/>
  </r>
  <r>
    <x v="2222"/>
    <x v="2"/>
    <x v="0"/>
    <x v="202"/>
    <x v="0"/>
    <n v="0"/>
    <x v="0"/>
    <s v="Basic"/>
  </r>
  <r>
    <x v="2223"/>
    <x v="1"/>
    <x v="2"/>
    <x v="669"/>
    <x v="2"/>
    <n v="0"/>
    <x v="0"/>
    <s v="Premium"/>
  </r>
  <r>
    <x v="2224"/>
    <x v="2"/>
    <x v="1"/>
    <x v="348"/>
    <x v="1"/>
    <n v="0"/>
    <x v="0"/>
    <s v="Elite"/>
  </r>
  <r>
    <x v="2225"/>
    <x v="1"/>
    <x v="0"/>
    <x v="590"/>
    <x v="0"/>
    <n v="1"/>
    <x v="1"/>
    <s v="Inactive"/>
  </r>
  <r>
    <x v="2226"/>
    <x v="0"/>
    <x v="0"/>
    <x v="562"/>
    <x v="0"/>
    <n v="0"/>
    <x v="0"/>
    <s v="Basic"/>
  </r>
  <r>
    <x v="2227"/>
    <x v="3"/>
    <x v="0"/>
    <x v="600"/>
    <x v="0"/>
    <n v="0"/>
    <x v="0"/>
    <s v="Basic"/>
  </r>
  <r>
    <x v="2228"/>
    <x v="3"/>
    <x v="0"/>
    <x v="635"/>
    <x v="0"/>
    <n v="0"/>
    <x v="0"/>
    <s v="Basic"/>
  </r>
  <r>
    <x v="2229"/>
    <x v="3"/>
    <x v="0"/>
    <x v="483"/>
    <x v="0"/>
    <n v="0"/>
    <x v="0"/>
    <s v="Basic"/>
  </r>
  <r>
    <x v="2230"/>
    <x v="1"/>
    <x v="0"/>
    <x v="368"/>
    <x v="0"/>
    <n v="0"/>
    <x v="0"/>
    <s v="Basic"/>
  </r>
  <r>
    <x v="2231"/>
    <x v="0"/>
    <x v="1"/>
    <x v="529"/>
    <x v="1"/>
    <n v="1"/>
    <x v="1"/>
    <s v="Inactive"/>
  </r>
  <r>
    <x v="2232"/>
    <x v="2"/>
    <x v="1"/>
    <x v="465"/>
    <x v="1"/>
    <n v="1"/>
    <x v="1"/>
    <s v="Inactive"/>
  </r>
  <r>
    <x v="2233"/>
    <x v="2"/>
    <x v="0"/>
    <x v="570"/>
    <x v="0"/>
    <n v="0"/>
    <x v="0"/>
    <s v="Basic"/>
  </r>
  <r>
    <x v="2234"/>
    <x v="1"/>
    <x v="0"/>
    <x v="78"/>
    <x v="0"/>
    <n v="0"/>
    <x v="0"/>
    <s v="Basic"/>
  </r>
  <r>
    <x v="2235"/>
    <x v="0"/>
    <x v="2"/>
    <x v="665"/>
    <x v="2"/>
    <n v="0"/>
    <x v="0"/>
    <s v="Premium"/>
  </r>
  <r>
    <x v="2236"/>
    <x v="2"/>
    <x v="1"/>
    <x v="211"/>
    <x v="1"/>
    <n v="0"/>
    <x v="0"/>
    <s v="Elite"/>
  </r>
  <r>
    <x v="2237"/>
    <x v="3"/>
    <x v="2"/>
    <x v="633"/>
    <x v="2"/>
    <n v="0"/>
    <x v="0"/>
    <s v="Premium"/>
  </r>
  <r>
    <x v="2238"/>
    <x v="0"/>
    <x v="2"/>
    <x v="609"/>
    <x v="2"/>
    <n v="0"/>
    <x v="0"/>
    <s v="Premium"/>
  </r>
  <r>
    <x v="2239"/>
    <x v="0"/>
    <x v="2"/>
    <x v="369"/>
    <x v="2"/>
    <n v="0"/>
    <x v="0"/>
    <s v="Premium"/>
  </r>
  <r>
    <x v="2240"/>
    <x v="1"/>
    <x v="0"/>
    <x v="96"/>
    <x v="0"/>
    <n v="0"/>
    <x v="0"/>
    <s v="Basic"/>
  </r>
  <r>
    <x v="2241"/>
    <x v="1"/>
    <x v="1"/>
    <x v="654"/>
    <x v="1"/>
    <n v="1"/>
    <x v="1"/>
    <s v="Inactive"/>
  </r>
  <r>
    <x v="2242"/>
    <x v="0"/>
    <x v="0"/>
    <x v="216"/>
    <x v="0"/>
    <n v="0"/>
    <x v="0"/>
    <s v="Basic"/>
  </r>
  <r>
    <x v="2243"/>
    <x v="1"/>
    <x v="0"/>
    <x v="587"/>
    <x v="0"/>
    <n v="1"/>
    <x v="1"/>
    <s v="Inactive"/>
  </r>
  <r>
    <x v="2244"/>
    <x v="0"/>
    <x v="0"/>
    <x v="600"/>
    <x v="0"/>
    <n v="0"/>
    <x v="0"/>
    <s v="Basic"/>
  </r>
  <r>
    <x v="2245"/>
    <x v="1"/>
    <x v="0"/>
    <x v="181"/>
    <x v="0"/>
    <n v="0"/>
    <x v="0"/>
    <s v="Basic"/>
  </r>
  <r>
    <x v="2246"/>
    <x v="1"/>
    <x v="1"/>
    <x v="437"/>
    <x v="1"/>
    <n v="0"/>
    <x v="0"/>
    <s v="Elite"/>
  </r>
  <r>
    <x v="2247"/>
    <x v="1"/>
    <x v="1"/>
    <x v="451"/>
    <x v="1"/>
    <n v="0"/>
    <x v="0"/>
    <s v="Elite"/>
  </r>
  <r>
    <x v="2248"/>
    <x v="3"/>
    <x v="2"/>
    <x v="397"/>
    <x v="2"/>
    <n v="0"/>
    <x v="0"/>
    <s v="Premium"/>
  </r>
  <r>
    <x v="2249"/>
    <x v="2"/>
    <x v="0"/>
    <x v="622"/>
    <x v="0"/>
    <n v="0"/>
    <x v="0"/>
    <s v="Basic"/>
  </r>
  <r>
    <x v="2250"/>
    <x v="1"/>
    <x v="2"/>
    <x v="194"/>
    <x v="2"/>
    <n v="0"/>
    <x v="0"/>
    <s v="Premium"/>
  </r>
  <r>
    <x v="2251"/>
    <x v="1"/>
    <x v="0"/>
    <x v="308"/>
    <x v="0"/>
    <n v="1"/>
    <x v="1"/>
    <s v="Inactive"/>
  </r>
  <r>
    <x v="2252"/>
    <x v="1"/>
    <x v="0"/>
    <x v="356"/>
    <x v="0"/>
    <n v="0"/>
    <x v="0"/>
    <s v="Basic"/>
  </r>
  <r>
    <x v="2253"/>
    <x v="0"/>
    <x v="0"/>
    <x v="664"/>
    <x v="0"/>
    <n v="0"/>
    <x v="0"/>
    <s v="Basic"/>
  </r>
  <r>
    <x v="2254"/>
    <x v="2"/>
    <x v="0"/>
    <x v="9"/>
    <x v="0"/>
    <n v="0"/>
    <x v="0"/>
    <s v="Basic"/>
  </r>
  <r>
    <x v="2255"/>
    <x v="3"/>
    <x v="2"/>
    <x v="615"/>
    <x v="2"/>
    <n v="0"/>
    <x v="0"/>
    <s v="Premium"/>
  </r>
  <r>
    <x v="2256"/>
    <x v="1"/>
    <x v="1"/>
    <x v="386"/>
    <x v="1"/>
    <n v="0"/>
    <x v="0"/>
    <s v="Elite"/>
  </r>
  <r>
    <x v="2257"/>
    <x v="2"/>
    <x v="2"/>
    <x v="142"/>
    <x v="2"/>
    <n v="0"/>
    <x v="0"/>
    <s v="Premium"/>
  </r>
  <r>
    <x v="2258"/>
    <x v="3"/>
    <x v="0"/>
    <x v="98"/>
    <x v="0"/>
    <n v="1"/>
    <x v="1"/>
    <s v="Inactive"/>
  </r>
  <r>
    <x v="2259"/>
    <x v="3"/>
    <x v="0"/>
    <x v="350"/>
    <x v="0"/>
    <n v="1"/>
    <x v="1"/>
    <s v="Inactive"/>
  </r>
  <r>
    <x v="2260"/>
    <x v="3"/>
    <x v="0"/>
    <x v="309"/>
    <x v="0"/>
    <n v="0"/>
    <x v="0"/>
    <s v="Basic"/>
  </r>
  <r>
    <x v="2261"/>
    <x v="0"/>
    <x v="0"/>
    <x v="255"/>
    <x v="0"/>
    <n v="0"/>
    <x v="0"/>
    <s v="Basic"/>
  </r>
  <r>
    <x v="2262"/>
    <x v="3"/>
    <x v="2"/>
    <x v="238"/>
    <x v="2"/>
    <n v="0"/>
    <x v="0"/>
    <s v="Premium"/>
  </r>
  <r>
    <x v="2263"/>
    <x v="2"/>
    <x v="0"/>
    <x v="204"/>
    <x v="0"/>
    <n v="0"/>
    <x v="0"/>
    <s v="Basic"/>
  </r>
  <r>
    <x v="2264"/>
    <x v="3"/>
    <x v="2"/>
    <x v="207"/>
    <x v="2"/>
    <n v="0"/>
    <x v="0"/>
    <s v="Premium"/>
  </r>
  <r>
    <x v="2265"/>
    <x v="2"/>
    <x v="0"/>
    <x v="112"/>
    <x v="0"/>
    <n v="0"/>
    <x v="0"/>
    <s v="Basic"/>
  </r>
  <r>
    <x v="2266"/>
    <x v="0"/>
    <x v="0"/>
    <x v="602"/>
    <x v="0"/>
    <n v="0"/>
    <x v="0"/>
    <s v="Basic"/>
  </r>
  <r>
    <x v="2267"/>
    <x v="1"/>
    <x v="2"/>
    <x v="298"/>
    <x v="2"/>
    <n v="0"/>
    <x v="0"/>
    <s v="Premium"/>
  </r>
  <r>
    <x v="2268"/>
    <x v="1"/>
    <x v="1"/>
    <x v="523"/>
    <x v="1"/>
    <n v="0"/>
    <x v="0"/>
    <s v="Elite"/>
  </r>
  <r>
    <x v="2269"/>
    <x v="0"/>
    <x v="0"/>
    <x v="258"/>
    <x v="0"/>
    <n v="0"/>
    <x v="0"/>
    <s v="Basic"/>
  </r>
  <r>
    <x v="2270"/>
    <x v="1"/>
    <x v="0"/>
    <x v="183"/>
    <x v="0"/>
    <n v="0"/>
    <x v="0"/>
    <s v="Basic"/>
  </r>
  <r>
    <x v="2271"/>
    <x v="3"/>
    <x v="2"/>
    <x v="228"/>
    <x v="2"/>
    <n v="1"/>
    <x v="1"/>
    <s v="Inactive"/>
  </r>
  <r>
    <x v="2272"/>
    <x v="2"/>
    <x v="1"/>
    <x v="431"/>
    <x v="1"/>
    <n v="0"/>
    <x v="0"/>
    <s v="Elite"/>
  </r>
  <r>
    <x v="2273"/>
    <x v="1"/>
    <x v="1"/>
    <x v="32"/>
    <x v="1"/>
    <n v="0"/>
    <x v="0"/>
    <s v="Elite"/>
  </r>
  <r>
    <x v="2274"/>
    <x v="2"/>
    <x v="2"/>
    <x v="393"/>
    <x v="2"/>
    <n v="1"/>
    <x v="1"/>
    <s v="Inactive"/>
  </r>
  <r>
    <x v="2275"/>
    <x v="3"/>
    <x v="1"/>
    <x v="589"/>
    <x v="1"/>
    <n v="0"/>
    <x v="0"/>
    <s v="Elite"/>
  </r>
  <r>
    <x v="2276"/>
    <x v="3"/>
    <x v="0"/>
    <x v="444"/>
    <x v="0"/>
    <n v="0"/>
    <x v="0"/>
    <s v="Basic"/>
  </r>
  <r>
    <x v="2277"/>
    <x v="3"/>
    <x v="2"/>
    <x v="428"/>
    <x v="2"/>
    <n v="0"/>
    <x v="0"/>
    <s v="Premium"/>
  </r>
  <r>
    <x v="2278"/>
    <x v="2"/>
    <x v="2"/>
    <x v="361"/>
    <x v="2"/>
    <n v="0"/>
    <x v="0"/>
    <s v="Premium"/>
  </r>
  <r>
    <x v="2279"/>
    <x v="2"/>
    <x v="0"/>
    <x v="670"/>
    <x v="0"/>
    <n v="0"/>
    <x v="0"/>
    <s v="Basic"/>
  </r>
  <r>
    <x v="2280"/>
    <x v="1"/>
    <x v="2"/>
    <x v="208"/>
    <x v="2"/>
    <n v="0"/>
    <x v="0"/>
    <s v="Premium"/>
  </r>
  <r>
    <x v="2281"/>
    <x v="2"/>
    <x v="1"/>
    <x v="208"/>
    <x v="1"/>
    <n v="0"/>
    <x v="0"/>
    <s v="Elite"/>
  </r>
  <r>
    <x v="2282"/>
    <x v="0"/>
    <x v="0"/>
    <x v="203"/>
    <x v="0"/>
    <n v="0"/>
    <x v="0"/>
    <s v="Basic"/>
  </r>
  <r>
    <x v="2283"/>
    <x v="2"/>
    <x v="1"/>
    <x v="121"/>
    <x v="1"/>
    <n v="0"/>
    <x v="0"/>
    <s v="Elite"/>
  </r>
  <r>
    <x v="2284"/>
    <x v="2"/>
    <x v="0"/>
    <x v="218"/>
    <x v="0"/>
    <n v="0"/>
    <x v="0"/>
    <s v="Basic"/>
  </r>
  <r>
    <x v="2285"/>
    <x v="0"/>
    <x v="0"/>
    <x v="316"/>
    <x v="0"/>
    <n v="0"/>
    <x v="0"/>
    <s v="Basic"/>
  </r>
  <r>
    <x v="2286"/>
    <x v="0"/>
    <x v="0"/>
    <x v="671"/>
    <x v="0"/>
    <n v="0"/>
    <x v="0"/>
    <s v="Basic"/>
  </r>
  <r>
    <x v="2287"/>
    <x v="0"/>
    <x v="1"/>
    <x v="111"/>
    <x v="1"/>
    <n v="0"/>
    <x v="0"/>
    <s v="Elite"/>
  </r>
  <r>
    <x v="2288"/>
    <x v="1"/>
    <x v="0"/>
    <x v="406"/>
    <x v="0"/>
    <n v="0"/>
    <x v="0"/>
    <s v="Basic"/>
  </r>
  <r>
    <x v="2289"/>
    <x v="3"/>
    <x v="2"/>
    <x v="154"/>
    <x v="2"/>
    <n v="0"/>
    <x v="0"/>
    <s v="Premium"/>
  </r>
  <r>
    <x v="2290"/>
    <x v="1"/>
    <x v="2"/>
    <x v="0"/>
    <x v="2"/>
    <n v="0"/>
    <x v="0"/>
    <s v="Premium"/>
  </r>
  <r>
    <x v="2291"/>
    <x v="3"/>
    <x v="0"/>
    <x v="465"/>
    <x v="0"/>
    <n v="0"/>
    <x v="0"/>
    <s v="Basic"/>
  </r>
  <r>
    <x v="2292"/>
    <x v="1"/>
    <x v="2"/>
    <x v="550"/>
    <x v="2"/>
    <n v="0"/>
    <x v="0"/>
    <s v="Premium"/>
  </r>
  <r>
    <x v="2293"/>
    <x v="1"/>
    <x v="0"/>
    <x v="81"/>
    <x v="0"/>
    <n v="1"/>
    <x v="1"/>
    <s v="Inactive"/>
  </r>
  <r>
    <x v="2294"/>
    <x v="1"/>
    <x v="0"/>
    <x v="417"/>
    <x v="0"/>
    <n v="0"/>
    <x v="0"/>
    <s v="Basic"/>
  </r>
  <r>
    <x v="2295"/>
    <x v="0"/>
    <x v="1"/>
    <x v="281"/>
    <x v="1"/>
    <n v="0"/>
    <x v="0"/>
    <s v="Elite"/>
  </r>
  <r>
    <x v="2296"/>
    <x v="0"/>
    <x v="0"/>
    <x v="668"/>
    <x v="0"/>
    <n v="0"/>
    <x v="0"/>
    <s v="Basic"/>
  </r>
  <r>
    <x v="2297"/>
    <x v="1"/>
    <x v="1"/>
    <x v="69"/>
    <x v="1"/>
    <n v="1"/>
    <x v="1"/>
    <s v="Inactive"/>
  </r>
  <r>
    <x v="2298"/>
    <x v="1"/>
    <x v="2"/>
    <x v="582"/>
    <x v="2"/>
    <n v="0"/>
    <x v="0"/>
    <s v="Premium"/>
  </r>
  <r>
    <x v="2299"/>
    <x v="3"/>
    <x v="2"/>
    <x v="408"/>
    <x v="2"/>
    <n v="0"/>
    <x v="0"/>
    <s v="Premium"/>
  </r>
  <r>
    <x v="2300"/>
    <x v="3"/>
    <x v="1"/>
    <x v="112"/>
    <x v="1"/>
    <n v="0"/>
    <x v="0"/>
    <s v="Elite"/>
  </r>
  <r>
    <x v="2301"/>
    <x v="0"/>
    <x v="0"/>
    <x v="543"/>
    <x v="0"/>
    <n v="0"/>
    <x v="0"/>
    <s v="Basic"/>
  </r>
  <r>
    <x v="2302"/>
    <x v="0"/>
    <x v="0"/>
    <x v="661"/>
    <x v="0"/>
    <n v="0"/>
    <x v="0"/>
    <s v="Basic"/>
  </r>
  <r>
    <x v="2303"/>
    <x v="3"/>
    <x v="0"/>
    <x v="245"/>
    <x v="0"/>
    <n v="0"/>
    <x v="0"/>
    <s v="Basic"/>
  </r>
  <r>
    <x v="2304"/>
    <x v="2"/>
    <x v="2"/>
    <x v="227"/>
    <x v="2"/>
    <n v="0"/>
    <x v="0"/>
    <s v="Premium"/>
  </r>
  <r>
    <x v="2305"/>
    <x v="2"/>
    <x v="0"/>
    <x v="312"/>
    <x v="0"/>
    <n v="0"/>
    <x v="0"/>
    <s v="Basic"/>
  </r>
  <r>
    <x v="2306"/>
    <x v="2"/>
    <x v="0"/>
    <x v="642"/>
    <x v="0"/>
    <n v="0"/>
    <x v="0"/>
    <s v="Basic"/>
  </r>
  <r>
    <x v="2307"/>
    <x v="0"/>
    <x v="0"/>
    <x v="258"/>
    <x v="0"/>
    <n v="0"/>
    <x v="0"/>
    <s v="Basic"/>
  </r>
  <r>
    <x v="2308"/>
    <x v="0"/>
    <x v="0"/>
    <x v="220"/>
    <x v="0"/>
    <n v="1"/>
    <x v="1"/>
    <s v="Inactive"/>
  </r>
  <r>
    <x v="2309"/>
    <x v="0"/>
    <x v="2"/>
    <x v="388"/>
    <x v="2"/>
    <n v="0"/>
    <x v="0"/>
    <s v="Premium"/>
  </r>
  <r>
    <x v="2310"/>
    <x v="3"/>
    <x v="2"/>
    <x v="195"/>
    <x v="2"/>
    <n v="0"/>
    <x v="0"/>
    <s v="Premium"/>
  </r>
  <r>
    <x v="2311"/>
    <x v="0"/>
    <x v="2"/>
    <x v="426"/>
    <x v="2"/>
    <n v="0"/>
    <x v="0"/>
    <s v="Premium"/>
  </r>
  <r>
    <x v="2312"/>
    <x v="0"/>
    <x v="0"/>
    <x v="258"/>
    <x v="0"/>
    <n v="0"/>
    <x v="0"/>
    <s v="Basic"/>
  </r>
  <r>
    <x v="2313"/>
    <x v="0"/>
    <x v="0"/>
    <x v="210"/>
    <x v="0"/>
    <n v="0"/>
    <x v="0"/>
    <s v="Basic"/>
  </r>
  <r>
    <x v="2314"/>
    <x v="2"/>
    <x v="0"/>
    <x v="96"/>
    <x v="0"/>
    <n v="0"/>
    <x v="0"/>
    <s v="Basic"/>
  </r>
  <r>
    <x v="2315"/>
    <x v="1"/>
    <x v="0"/>
    <x v="113"/>
    <x v="0"/>
    <n v="0"/>
    <x v="0"/>
    <s v="Basic"/>
  </r>
  <r>
    <x v="2316"/>
    <x v="1"/>
    <x v="0"/>
    <x v="126"/>
    <x v="0"/>
    <n v="0"/>
    <x v="0"/>
    <s v="Basic"/>
  </r>
  <r>
    <x v="2317"/>
    <x v="3"/>
    <x v="2"/>
    <x v="424"/>
    <x v="2"/>
    <n v="0"/>
    <x v="0"/>
    <s v="Premium"/>
  </r>
  <r>
    <x v="2318"/>
    <x v="1"/>
    <x v="2"/>
    <x v="171"/>
    <x v="2"/>
    <n v="1"/>
    <x v="1"/>
    <s v="Inactive"/>
  </r>
  <r>
    <x v="2319"/>
    <x v="0"/>
    <x v="2"/>
    <x v="596"/>
    <x v="2"/>
    <n v="0"/>
    <x v="0"/>
    <s v="Premium"/>
  </r>
  <r>
    <x v="2320"/>
    <x v="2"/>
    <x v="0"/>
    <x v="664"/>
    <x v="0"/>
    <n v="0"/>
    <x v="0"/>
    <s v="Basic"/>
  </r>
  <r>
    <x v="2321"/>
    <x v="0"/>
    <x v="0"/>
    <x v="515"/>
    <x v="0"/>
    <n v="0"/>
    <x v="0"/>
    <s v="Basic"/>
  </r>
  <r>
    <x v="2322"/>
    <x v="1"/>
    <x v="0"/>
    <x v="275"/>
    <x v="0"/>
    <n v="0"/>
    <x v="0"/>
    <s v="Basic"/>
  </r>
  <r>
    <x v="2323"/>
    <x v="0"/>
    <x v="2"/>
    <x v="124"/>
    <x v="2"/>
    <n v="0"/>
    <x v="0"/>
    <s v="Premium"/>
  </r>
  <r>
    <x v="2324"/>
    <x v="3"/>
    <x v="2"/>
    <x v="15"/>
    <x v="2"/>
    <n v="0"/>
    <x v="0"/>
    <s v="Premium"/>
  </r>
  <r>
    <x v="2325"/>
    <x v="0"/>
    <x v="0"/>
    <x v="544"/>
    <x v="0"/>
    <n v="0"/>
    <x v="0"/>
    <s v="Basic"/>
  </r>
  <r>
    <x v="2326"/>
    <x v="0"/>
    <x v="2"/>
    <x v="672"/>
    <x v="2"/>
    <n v="0"/>
    <x v="0"/>
    <s v="Premium"/>
  </r>
  <r>
    <x v="2327"/>
    <x v="2"/>
    <x v="0"/>
    <x v="480"/>
    <x v="0"/>
    <n v="1"/>
    <x v="1"/>
    <s v="Inactive"/>
  </r>
  <r>
    <x v="2328"/>
    <x v="2"/>
    <x v="2"/>
    <x v="2"/>
    <x v="2"/>
    <n v="0"/>
    <x v="0"/>
    <s v="Premium"/>
  </r>
  <r>
    <x v="2329"/>
    <x v="0"/>
    <x v="1"/>
    <x v="339"/>
    <x v="1"/>
    <n v="0"/>
    <x v="0"/>
    <s v="Elite"/>
  </r>
  <r>
    <x v="2330"/>
    <x v="3"/>
    <x v="0"/>
    <x v="120"/>
    <x v="0"/>
    <n v="0"/>
    <x v="0"/>
    <s v="Basic"/>
  </r>
  <r>
    <x v="2331"/>
    <x v="1"/>
    <x v="2"/>
    <x v="293"/>
    <x v="2"/>
    <n v="0"/>
    <x v="0"/>
    <s v="Premium"/>
  </r>
  <r>
    <x v="2332"/>
    <x v="1"/>
    <x v="2"/>
    <x v="84"/>
    <x v="2"/>
    <n v="0"/>
    <x v="0"/>
    <s v="Premium"/>
  </r>
  <r>
    <x v="2333"/>
    <x v="3"/>
    <x v="1"/>
    <x v="156"/>
    <x v="1"/>
    <n v="0"/>
    <x v="0"/>
    <s v="Elite"/>
  </r>
  <r>
    <x v="2334"/>
    <x v="1"/>
    <x v="2"/>
    <x v="128"/>
    <x v="2"/>
    <n v="0"/>
    <x v="0"/>
    <s v="Premium"/>
  </r>
  <r>
    <x v="2335"/>
    <x v="1"/>
    <x v="0"/>
    <x v="265"/>
    <x v="0"/>
    <n v="0"/>
    <x v="0"/>
    <s v="Basic"/>
  </r>
  <r>
    <x v="2336"/>
    <x v="1"/>
    <x v="0"/>
    <x v="419"/>
    <x v="0"/>
    <n v="0"/>
    <x v="0"/>
    <s v="Basic"/>
  </r>
  <r>
    <x v="2337"/>
    <x v="1"/>
    <x v="0"/>
    <x v="159"/>
    <x v="0"/>
    <n v="0"/>
    <x v="0"/>
    <s v="Basic"/>
  </r>
  <r>
    <x v="2338"/>
    <x v="2"/>
    <x v="2"/>
    <x v="573"/>
    <x v="2"/>
    <n v="0"/>
    <x v="0"/>
    <s v="Premium"/>
  </r>
  <r>
    <x v="2339"/>
    <x v="3"/>
    <x v="0"/>
    <x v="563"/>
    <x v="0"/>
    <n v="0"/>
    <x v="0"/>
    <s v="Basic"/>
  </r>
  <r>
    <x v="2340"/>
    <x v="2"/>
    <x v="1"/>
    <x v="97"/>
    <x v="1"/>
    <n v="0"/>
    <x v="0"/>
    <s v="Elite"/>
  </r>
  <r>
    <x v="2341"/>
    <x v="0"/>
    <x v="1"/>
    <x v="665"/>
    <x v="1"/>
    <n v="0"/>
    <x v="0"/>
    <s v="Elite"/>
  </r>
  <r>
    <x v="2342"/>
    <x v="3"/>
    <x v="2"/>
    <x v="130"/>
    <x v="2"/>
    <n v="0"/>
    <x v="0"/>
    <s v="Premium"/>
  </r>
  <r>
    <x v="2343"/>
    <x v="1"/>
    <x v="2"/>
    <x v="428"/>
    <x v="2"/>
    <n v="0"/>
    <x v="0"/>
    <s v="Premium"/>
  </r>
  <r>
    <x v="2344"/>
    <x v="3"/>
    <x v="2"/>
    <x v="365"/>
    <x v="2"/>
    <n v="0"/>
    <x v="0"/>
    <s v="Premium"/>
  </r>
  <r>
    <x v="2345"/>
    <x v="2"/>
    <x v="1"/>
    <x v="154"/>
    <x v="1"/>
    <n v="0"/>
    <x v="0"/>
    <s v="Elite"/>
  </r>
  <r>
    <x v="2346"/>
    <x v="3"/>
    <x v="1"/>
    <x v="366"/>
    <x v="1"/>
    <n v="0"/>
    <x v="0"/>
    <s v="Elite"/>
  </r>
  <r>
    <x v="2347"/>
    <x v="0"/>
    <x v="0"/>
    <x v="349"/>
    <x v="0"/>
    <n v="0"/>
    <x v="0"/>
    <s v="Basic"/>
  </r>
  <r>
    <x v="2348"/>
    <x v="3"/>
    <x v="1"/>
    <x v="528"/>
    <x v="1"/>
    <n v="0"/>
    <x v="0"/>
    <s v="Elite"/>
  </r>
  <r>
    <x v="2349"/>
    <x v="1"/>
    <x v="0"/>
    <x v="486"/>
    <x v="0"/>
    <n v="1"/>
    <x v="1"/>
    <s v="Inactive"/>
  </r>
  <r>
    <x v="2350"/>
    <x v="2"/>
    <x v="0"/>
    <x v="182"/>
    <x v="0"/>
    <n v="0"/>
    <x v="0"/>
    <s v="Basic"/>
  </r>
  <r>
    <x v="2351"/>
    <x v="0"/>
    <x v="2"/>
    <x v="442"/>
    <x v="2"/>
    <n v="0"/>
    <x v="0"/>
    <s v="Premium"/>
  </r>
  <r>
    <x v="2352"/>
    <x v="2"/>
    <x v="0"/>
    <x v="553"/>
    <x v="0"/>
    <n v="0"/>
    <x v="0"/>
    <s v="Basic"/>
  </r>
  <r>
    <x v="2353"/>
    <x v="1"/>
    <x v="2"/>
    <x v="497"/>
    <x v="2"/>
    <n v="1"/>
    <x v="1"/>
    <s v="Inactive"/>
  </r>
  <r>
    <x v="2354"/>
    <x v="0"/>
    <x v="0"/>
    <x v="673"/>
    <x v="0"/>
    <n v="0"/>
    <x v="0"/>
    <s v="Basic"/>
  </r>
  <r>
    <x v="2355"/>
    <x v="0"/>
    <x v="0"/>
    <x v="369"/>
    <x v="0"/>
    <n v="0"/>
    <x v="0"/>
    <s v="Basic"/>
  </r>
  <r>
    <x v="2356"/>
    <x v="1"/>
    <x v="1"/>
    <x v="381"/>
    <x v="1"/>
    <n v="0"/>
    <x v="0"/>
    <s v="Elite"/>
  </r>
  <r>
    <x v="2357"/>
    <x v="2"/>
    <x v="1"/>
    <x v="260"/>
    <x v="1"/>
    <n v="0"/>
    <x v="0"/>
    <s v="Elite"/>
  </r>
  <r>
    <x v="2358"/>
    <x v="0"/>
    <x v="2"/>
    <x v="273"/>
    <x v="2"/>
    <n v="0"/>
    <x v="0"/>
    <s v="Premium"/>
  </r>
  <r>
    <x v="2359"/>
    <x v="2"/>
    <x v="2"/>
    <x v="578"/>
    <x v="2"/>
    <n v="0"/>
    <x v="0"/>
    <s v="Premium"/>
  </r>
  <r>
    <x v="2360"/>
    <x v="2"/>
    <x v="1"/>
    <x v="625"/>
    <x v="1"/>
    <n v="0"/>
    <x v="0"/>
    <s v="Elite"/>
  </r>
  <r>
    <x v="2361"/>
    <x v="3"/>
    <x v="2"/>
    <x v="75"/>
    <x v="2"/>
    <n v="0"/>
    <x v="0"/>
    <s v="Premium"/>
  </r>
  <r>
    <x v="2362"/>
    <x v="1"/>
    <x v="2"/>
    <x v="395"/>
    <x v="2"/>
    <n v="0"/>
    <x v="0"/>
    <s v="Premium"/>
  </r>
  <r>
    <x v="2363"/>
    <x v="1"/>
    <x v="0"/>
    <x v="415"/>
    <x v="0"/>
    <n v="0"/>
    <x v="0"/>
    <s v="Basic"/>
  </r>
  <r>
    <x v="2364"/>
    <x v="3"/>
    <x v="0"/>
    <x v="483"/>
    <x v="0"/>
    <n v="1"/>
    <x v="1"/>
    <s v="Inactive"/>
  </r>
  <r>
    <x v="2365"/>
    <x v="1"/>
    <x v="1"/>
    <x v="577"/>
    <x v="1"/>
    <n v="0"/>
    <x v="0"/>
    <s v="Elite"/>
  </r>
  <r>
    <x v="2366"/>
    <x v="1"/>
    <x v="0"/>
    <x v="25"/>
    <x v="0"/>
    <n v="0"/>
    <x v="0"/>
    <s v="Basic"/>
  </r>
  <r>
    <x v="2367"/>
    <x v="1"/>
    <x v="2"/>
    <x v="329"/>
    <x v="2"/>
    <n v="1"/>
    <x v="1"/>
    <s v="Inactive"/>
  </r>
  <r>
    <x v="2368"/>
    <x v="1"/>
    <x v="0"/>
    <x v="584"/>
    <x v="0"/>
    <n v="0"/>
    <x v="0"/>
    <s v="Basic"/>
  </r>
  <r>
    <x v="2369"/>
    <x v="0"/>
    <x v="0"/>
    <x v="154"/>
    <x v="0"/>
    <n v="0"/>
    <x v="0"/>
    <s v="Basic"/>
  </r>
  <r>
    <x v="2370"/>
    <x v="1"/>
    <x v="1"/>
    <x v="152"/>
    <x v="1"/>
    <n v="0"/>
    <x v="0"/>
    <s v="Elite"/>
  </r>
  <r>
    <x v="2371"/>
    <x v="3"/>
    <x v="2"/>
    <x v="457"/>
    <x v="2"/>
    <n v="0"/>
    <x v="0"/>
    <s v="Premium"/>
  </r>
  <r>
    <x v="2372"/>
    <x v="1"/>
    <x v="2"/>
    <x v="43"/>
    <x v="2"/>
    <n v="0"/>
    <x v="0"/>
    <s v="Premium"/>
  </r>
  <r>
    <x v="2373"/>
    <x v="3"/>
    <x v="0"/>
    <x v="498"/>
    <x v="0"/>
    <n v="0"/>
    <x v="0"/>
    <s v="Basic"/>
  </r>
  <r>
    <x v="2374"/>
    <x v="1"/>
    <x v="2"/>
    <x v="336"/>
    <x v="2"/>
    <n v="0"/>
    <x v="0"/>
    <s v="Premium"/>
  </r>
  <r>
    <x v="2375"/>
    <x v="1"/>
    <x v="0"/>
    <x v="21"/>
    <x v="0"/>
    <n v="0"/>
    <x v="0"/>
    <s v="Basic"/>
  </r>
  <r>
    <x v="2376"/>
    <x v="3"/>
    <x v="2"/>
    <x v="80"/>
    <x v="2"/>
    <n v="0"/>
    <x v="0"/>
    <s v="Premium"/>
  </r>
  <r>
    <x v="2377"/>
    <x v="3"/>
    <x v="0"/>
    <x v="515"/>
    <x v="0"/>
    <n v="1"/>
    <x v="1"/>
    <s v="Inactive"/>
  </r>
  <r>
    <x v="2378"/>
    <x v="1"/>
    <x v="1"/>
    <x v="461"/>
    <x v="1"/>
    <n v="0"/>
    <x v="0"/>
    <s v="Elite"/>
  </r>
  <r>
    <x v="2379"/>
    <x v="1"/>
    <x v="0"/>
    <x v="634"/>
    <x v="0"/>
    <n v="0"/>
    <x v="0"/>
    <s v="Basic"/>
  </r>
  <r>
    <x v="2380"/>
    <x v="2"/>
    <x v="2"/>
    <x v="98"/>
    <x v="2"/>
    <n v="0"/>
    <x v="0"/>
    <s v="Premium"/>
  </r>
  <r>
    <x v="2381"/>
    <x v="0"/>
    <x v="2"/>
    <x v="201"/>
    <x v="2"/>
    <n v="0"/>
    <x v="0"/>
    <s v="Premium"/>
  </r>
  <r>
    <x v="2382"/>
    <x v="2"/>
    <x v="2"/>
    <x v="425"/>
    <x v="2"/>
    <n v="0"/>
    <x v="0"/>
    <s v="Premium"/>
  </r>
  <r>
    <x v="2383"/>
    <x v="2"/>
    <x v="0"/>
    <x v="642"/>
    <x v="0"/>
    <n v="0"/>
    <x v="0"/>
    <s v="Basic"/>
  </r>
  <r>
    <x v="2384"/>
    <x v="2"/>
    <x v="2"/>
    <x v="110"/>
    <x v="2"/>
    <n v="0"/>
    <x v="0"/>
    <s v="Premium"/>
  </r>
  <r>
    <x v="2385"/>
    <x v="0"/>
    <x v="0"/>
    <x v="295"/>
    <x v="0"/>
    <n v="1"/>
    <x v="1"/>
    <s v="Inactive"/>
  </r>
  <r>
    <x v="2386"/>
    <x v="2"/>
    <x v="2"/>
    <x v="635"/>
    <x v="2"/>
    <n v="0"/>
    <x v="0"/>
    <s v="Premium"/>
  </r>
  <r>
    <x v="2387"/>
    <x v="3"/>
    <x v="0"/>
    <x v="111"/>
    <x v="0"/>
    <n v="1"/>
    <x v="1"/>
    <s v="Inactive"/>
  </r>
  <r>
    <x v="2388"/>
    <x v="3"/>
    <x v="0"/>
    <x v="301"/>
    <x v="0"/>
    <n v="0"/>
    <x v="0"/>
    <s v="Basic"/>
  </r>
  <r>
    <x v="2389"/>
    <x v="2"/>
    <x v="0"/>
    <x v="618"/>
    <x v="0"/>
    <n v="0"/>
    <x v="0"/>
    <s v="Basic"/>
  </r>
  <r>
    <x v="2390"/>
    <x v="0"/>
    <x v="1"/>
    <x v="179"/>
    <x v="1"/>
    <n v="0"/>
    <x v="0"/>
    <s v="Elite"/>
  </r>
  <r>
    <x v="2391"/>
    <x v="1"/>
    <x v="0"/>
    <x v="145"/>
    <x v="0"/>
    <n v="0"/>
    <x v="0"/>
    <s v="Basic"/>
  </r>
  <r>
    <x v="2392"/>
    <x v="1"/>
    <x v="2"/>
    <x v="452"/>
    <x v="2"/>
    <n v="0"/>
    <x v="0"/>
    <s v="Premium"/>
  </r>
  <r>
    <x v="2393"/>
    <x v="2"/>
    <x v="2"/>
    <x v="486"/>
    <x v="2"/>
    <n v="0"/>
    <x v="0"/>
    <s v="Premium"/>
  </r>
  <r>
    <x v="2394"/>
    <x v="1"/>
    <x v="0"/>
    <x v="117"/>
    <x v="0"/>
    <n v="0"/>
    <x v="0"/>
    <s v="Basic"/>
  </r>
  <r>
    <x v="2395"/>
    <x v="2"/>
    <x v="0"/>
    <x v="6"/>
    <x v="0"/>
    <n v="0"/>
    <x v="0"/>
    <s v="Basic"/>
  </r>
  <r>
    <x v="2396"/>
    <x v="2"/>
    <x v="0"/>
    <x v="273"/>
    <x v="0"/>
    <n v="0"/>
    <x v="0"/>
    <s v="Basic"/>
  </r>
  <r>
    <x v="2397"/>
    <x v="0"/>
    <x v="2"/>
    <x v="151"/>
    <x v="2"/>
    <n v="1"/>
    <x v="1"/>
    <s v="Inactive"/>
  </r>
  <r>
    <x v="2398"/>
    <x v="2"/>
    <x v="1"/>
    <x v="163"/>
    <x v="1"/>
    <n v="1"/>
    <x v="1"/>
    <s v="Inactive"/>
  </r>
  <r>
    <x v="2399"/>
    <x v="0"/>
    <x v="2"/>
    <x v="78"/>
    <x v="2"/>
    <n v="0"/>
    <x v="0"/>
    <s v="Premium"/>
  </r>
  <r>
    <x v="2400"/>
    <x v="1"/>
    <x v="0"/>
    <x v="10"/>
    <x v="0"/>
    <n v="1"/>
    <x v="1"/>
    <s v="Inactive"/>
  </r>
  <r>
    <x v="2401"/>
    <x v="1"/>
    <x v="1"/>
    <x v="624"/>
    <x v="1"/>
    <n v="0"/>
    <x v="0"/>
    <s v="Elite"/>
  </r>
  <r>
    <x v="2402"/>
    <x v="3"/>
    <x v="0"/>
    <x v="221"/>
    <x v="0"/>
    <n v="0"/>
    <x v="0"/>
    <s v="Basic"/>
  </r>
  <r>
    <x v="2403"/>
    <x v="2"/>
    <x v="2"/>
    <x v="82"/>
    <x v="2"/>
    <n v="0"/>
    <x v="0"/>
    <s v="Premium"/>
  </r>
  <r>
    <x v="2404"/>
    <x v="2"/>
    <x v="0"/>
    <x v="264"/>
    <x v="0"/>
    <n v="0"/>
    <x v="0"/>
    <s v="Basic"/>
  </r>
  <r>
    <x v="2405"/>
    <x v="0"/>
    <x v="1"/>
    <x v="487"/>
    <x v="1"/>
    <n v="0"/>
    <x v="0"/>
    <s v="Elite"/>
  </r>
  <r>
    <x v="2406"/>
    <x v="2"/>
    <x v="0"/>
    <x v="267"/>
    <x v="0"/>
    <n v="0"/>
    <x v="0"/>
    <s v="Basic"/>
  </r>
  <r>
    <x v="2407"/>
    <x v="1"/>
    <x v="1"/>
    <x v="538"/>
    <x v="1"/>
    <n v="0"/>
    <x v="0"/>
    <s v="Elite"/>
  </r>
  <r>
    <x v="2408"/>
    <x v="0"/>
    <x v="2"/>
    <x v="598"/>
    <x v="2"/>
    <n v="0"/>
    <x v="0"/>
    <s v="Premium"/>
  </r>
  <r>
    <x v="2409"/>
    <x v="2"/>
    <x v="2"/>
    <x v="350"/>
    <x v="2"/>
    <n v="0"/>
    <x v="0"/>
    <s v="Premium"/>
  </r>
  <r>
    <x v="2410"/>
    <x v="0"/>
    <x v="1"/>
    <x v="236"/>
    <x v="1"/>
    <n v="0"/>
    <x v="0"/>
    <s v="Elite"/>
  </r>
  <r>
    <x v="2411"/>
    <x v="3"/>
    <x v="0"/>
    <x v="409"/>
    <x v="0"/>
    <n v="0"/>
    <x v="0"/>
    <s v="Basic"/>
  </r>
  <r>
    <x v="2412"/>
    <x v="1"/>
    <x v="2"/>
    <x v="206"/>
    <x v="2"/>
    <n v="0"/>
    <x v="0"/>
    <s v="Premium"/>
  </r>
  <r>
    <x v="2413"/>
    <x v="3"/>
    <x v="0"/>
    <x v="577"/>
    <x v="0"/>
    <n v="0"/>
    <x v="0"/>
    <s v="Basic"/>
  </r>
  <r>
    <x v="2414"/>
    <x v="0"/>
    <x v="0"/>
    <x v="370"/>
    <x v="0"/>
    <n v="0"/>
    <x v="0"/>
    <s v="Basic"/>
  </r>
  <r>
    <x v="2415"/>
    <x v="2"/>
    <x v="2"/>
    <x v="289"/>
    <x v="2"/>
    <n v="0"/>
    <x v="0"/>
    <s v="Premium"/>
  </r>
  <r>
    <x v="2416"/>
    <x v="2"/>
    <x v="0"/>
    <x v="4"/>
    <x v="0"/>
    <n v="0"/>
    <x v="0"/>
    <s v="Basic"/>
  </r>
  <r>
    <x v="2417"/>
    <x v="0"/>
    <x v="2"/>
    <x v="216"/>
    <x v="2"/>
    <n v="0"/>
    <x v="0"/>
    <s v="Premium"/>
  </r>
  <r>
    <x v="2418"/>
    <x v="1"/>
    <x v="0"/>
    <x v="515"/>
    <x v="0"/>
    <n v="0"/>
    <x v="0"/>
    <s v="Basic"/>
  </r>
  <r>
    <x v="2419"/>
    <x v="1"/>
    <x v="2"/>
    <x v="491"/>
    <x v="2"/>
    <n v="0"/>
    <x v="0"/>
    <s v="Premium"/>
  </r>
  <r>
    <x v="2420"/>
    <x v="1"/>
    <x v="0"/>
    <x v="331"/>
    <x v="0"/>
    <n v="0"/>
    <x v="0"/>
    <s v="Basic"/>
  </r>
  <r>
    <x v="2421"/>
    <x v="3"/>
    <x v="0"/>
    <x v="291"/>
    <x v="0"/>
    <n v="0"/>
    <x v="0"/>
    <s v="Basic"/>
  </r>
  <r>
    <x v="2422"/>
    <x v="0"/>
    <x v="0"/>
    <x v="614"/>
    <x v="0"/>
    <n v="0"/>
    <x v="0"/>
    <s v="Basic"/>
  </r>
  <r>
    <x v="2423"/>
    <x v="2"/>
    <x v="1"/>
    <x v="91"/>
    <x v="1"/>
    <n v="0"/>
    <x v="0"/>
    <s v="Elite"/>
  </r>
  <r>
    <x v="2424"/>
    <x v="2"/>
    <x v="0"/>
    <x v="575"/>
    <x v="0"/>
    <n v="0"/>
    <x v="0"/>
    <s v="Basic"/>
  </r>
  <r>
    <x v="2425"/>
    <x v="1"/>
    <x v="0"/>
    <x v="674"/>
    <x v="0"/>
    <n v="1"/>
    <x v="1"/>
    <s v="Inactive"/>
  </r>
  <r>
    <x v="2426"/>
    <x v="0"/>
    <x v="0"/>
    <x v="385"/>
    <x v="0"/>
    <n v="1"/>
    <x v="1"/>
    <s v="Inactive"/>
  </r>
  <r>
    <x v="2427"/>
    <x v="0"/>
    <x v="2"/>
    <x v="147"/>
    <x v="2"/>
    <n v="0"/>
    <x v="0"/>
    <s v="Premium"/>
  </r>
  <r>
    <x v="2428"/>
    <x v="3"/>
    <x v="0"/>
    <x v="7"/>
    <x v="0"/>
    <n v="0"/>
    <x v="0"/>
    <s v="Basic"/>
  </r>
  <r>
    <x v="2429"/>
    <x v="1"/>
    <x v="0"/>
    <x v="210"/>
    <x v="0"/>
    <n v="0"/>
    <x v="0"/>
    <s v="Basic"/>
  </r>
  <r>
    <x v="2430"/>
    <x v="3"/>
    <x v="1"/>
    <x v="536"/>
    <x v="1"/>
    <n v="0"/>
    <x v="0"/>
    <s v="Elite"/>
  </r>
  <r>
    <x v="2431"/>
    <x v="0"/>
    <x v="1"/>
    <x v="675"/>
    <x v="1"/>
    <n v="0"/>
    <x v="0"/>
    <s v="Elite"/>
  </r>
  <r>
    <x v="2432"/>
    <x v="0"/>
    <x v="2"/>
    <x v="201"/>
    <x v="2"/>
    <n v="0"/>
    <x v="0"/>
    <s v="Premium"/>
  </r>
  <r>
    <x v="2433"/>
    <x v="3"/>
    <x v="1"/>
    <x v="366"/>
    <x v="1"/>
    <n v="0"/>
    <x v="0"/>
    <s v="Elite"/>
  </r>
  <r>
    <x v="2434"/>
    <x v="1"/>
    <x v="0"/>
    <x v="182"/>
    <x v="0"/>
    <n v="0"/>
    <x v="0"/>
    <s v="Basic"/>
  </r>
  <r>
    <x v="2435"/>
    <x v="1"/>
    <x v="2"/>
    <x v="573"/>
    <x v="2"/>
    <n v="0"/>
    <x v="0"/>
    <s v="Premium"/>
  </r>
  <r>
    <x v="2436"/>
    <x v="2"/>
    <x v="0"/>
    <x v="587"/>
    <x v="0"/>
    <n v="0"/>
    <x v="0"/>
    <s v="Basic"/>
  </r>
  <r>
    <x v="2437"/>
    <x v="0"/>
    <x v="0"/>
    <x v="47"/>
    <x v="0"/>
    <n v="1"/>
    <x v="1"/>
    <s v="Inactive"/>
  </r>
  <r>
    <x v="2438"/>
    <x v="2"/>
    <x v="0"/>
    <x v="675"/>
    <x v="0"/>
    <n v="0"/>
    <x v="0"/>
    <s v="Basic"/>
  </r>
  <r>
    <x v="2439"/>
    <x v="3"/>
    <x v="0"/>
    <x v="159"/>
    <x v="0"/>
    <n v="0"/>
    <x v="0"/>
    <s v="Basic"/>
  </r>
  <r>
    <x v="2440"/>
    <x v="2"/>
    <x v="2"/>
    <x v="676"/>
    <x v="2"/>
    <n v="1"/>
    <x v="1"/>
    <s v="Inactive"/>
  </r>
  <r>
    <x v="2441"/>
    <x v="0"/>
    <x v="2"/>
    <x v="163"/>
    <x v="2"/>
    <n v="0"/>
    <x v="0"/>
    <s v="Premium"/>
  </r>
  <r>
    <x v="2442"/>
    <x v="2"/>
    <x v="2"/>
    <x v="106"/>
    <x v="2"/>
    <n v="0"/>
    <x v="0"/>
    <s v="Premium"/>
  </r>
  <r>
    <x v="2443"/>
    <x v="1"/>
    <x v="1"/>
    <x v="123"/>
    <x v="1"/>
    <n v="1"/>
    <x v="1"/>
    <s v="Inactive"/>
  </r>
  <r>
    <x v="2444"/>
    <x v="3"/>
    <x v="2"/>
    <x v="361"/>
    <x v="2"/>
    <n v="0"/>
    <x v="0"/>
    <s v="Premium"/>
  </r>
  <r>
    <x v="2445"/>
    <x v="1"/>
    <x v="0"/>
    <x v="622"/>
    <x v="0"/>
    <n v="0"/>
    <x v="0"/>
    <s v="Basic"/>
  </r>
  <r>
    <x v="2446"/>
    <x v="0"/>
    <x v="1"/>
    <x v="574"/>
    <x v="1"/>
    <n v="0"/>
    <x v="0"/>
    <s v="Elite"/>
  </r>
  <r>
    <x v="2447"/>
    <x v="3"/>
    <x v="2"/>
    <x v="472"/>
    <x v="2"/>
    <n v="1"/>
    <x v="1"/>
    <s v="Inactive"/>
  </r>
  <r>
    <x v="2448"/>
    <x v="1"/>
    <x v="0"/>
    <x v="172"/>
    <x v="0"/>
    <n v="0"/>
    <x v="0"/>
    <s v="Basic"/>
  </r>
  <r>
    <x v="2449"/>
    <x v="1"/>
    <x v="1"/>
    <x v="59"/>
    <x v="1"/>
    <n v="0"/>
    <x v="0"/>
    <s v="Elite"/>
  </r>
  <r>
    <x v="2450"/>
    <x v="1"/>
    <x v="0"/>
    <x v="573"/>
    <x v="0"/>
    <n v="0"/>
    <x v="0"/>
    <s v="Basic"/>
  </r>
  <r>
    <x v="2451"/>
    <x v="2"/>
    <x v="0"/>
    <x v="377"/>
    <x v="0"/>
    <n v="0"/>
    <x v="0"/>
    <s v="Basic"/>
  </r>
  <r>
    <x v="2452"/>
    <x v="3"/>
    <x v="0"/>
    <x v="210"/>
    <x v="0"/>
    <n v="0"/>
    <x v="0"/>
    <s v="Basic"/>
  </r>
  <r>
    <x v="2453"/>
    <x v="3"/>
    <x v="2"/>
    <x v="600"/>
    <x v="2"/>
    <n v="0"/>
    <x v="0"/>
    <s v="Premium"/>
  </r>
  <r>
    <x v="2454"/>
    <x v="3"/>
    <x v="2"/>
    <x v="567"/>
    <x v="2"/>
    <n v="0"/>
    <x v="0"/>
    <s v="Premium"/>
  </r>
  <r>
    <x v="2455"/>
    <x v="1"/>
    <x v="1"/>
    <x v="615"/>
    <x v="1"/>
    <n v="0"/>
    <x v="0"/>
    <s v="Elite"/>
  </r>
  <r>
    <x v="2456"/>
    <x v="2"/>
    <x v="0"/>
    <x v="418"/>
    <x v="0"/>
    <n v="0"/>
    <x v="0"/>
    <s v="Basic"/>
  </r>
  <r>
    <x v="2457"/>
    <x v="2"/>
    <x v="0"/>
    <x v="14"/>
    <x v="0"/>
    <n v="0"/>
    <x v="0"/>
    <s v="Basic"/>
  </r>
  <r>
    <x v="2458"/>
    <x v="2"/>
    <x v="1"/>
    <x v="616"/>
    <x v="1"/>
    <n v="1"/>
    <x v="1"/>
    <s v="Inactive"/>
  </r>
  <r>
    <x v="2459"/>
    <x v="3"/>
    <x v="1"/>
    <x v="249"/>
    <x v="1"/>
    <n v="0"/>
    <x v="0"/>
    <s v="Elite"/>
  </r>
  <r>
    <x v="2460"/>
    <x v="1"/>
    <x v="0"/>
    <x v="35"/>
    <x v="0"/>
    <n v="1"/>
    <x v="1"/>
    <s v="Inactive"/>
  </r>
  <r>
    <x v="2461"/>
    <x v="3"/>
    <x v="0"/>
    <x v="577"/>
    <x v="0"/>
    <n v="0"/>
    <x v="0"/>
    <s v="Basic"/>
  </r>
  <r>
    <x v="2462"/>
    <x v="3"/>
    <x v="0"/>
    <x v="250"/>
    <x v="0"/>
    <n v="1"/>
    <x v="1"/>
    <s v="Inactive"/>
  </r>
  <r>
    <x v="2463"/>
    <x v="3"/>
    <x v="2"/>
    <x v="215"/>
    <x v="2"/>
    <n v="0"/>
    <x v="0"/>
    <s v="Premium"/>
  </r>
  <r>
    <x v="2464"/>
    <x v="2"/>
    <x v="1"/>
    <x v="649"/>
    <x v="1"/>
    <n v="0"/>
    <x v="0"/>
    <s v="Elite"/>
  </r>
  <r>
    <x v="2465"/>
    <x v="3"/>
    <x v="2"/>
    <x v="275"/>
    <x v="2"/>
    <n v="0"/>
    <x v="0"/>
    <s v="Premium"/>
  </r>
  <r>
    <x v="2466"/>
    <x v="0"/>
    <x v="1"/>
    <x v="465"/>
    <x v="1"/>
    <n v="0"/>
    <x v="0"/>
    <s v="Elite"/>
  </r>
  <r>
    <x v="2467"/>
    <x v="1"/>
    <x v="0"/>
    <x v="626"/>
    <x v="0"/>
    <n v="0"/>
    <x v="0"/>
    <s v="Basic"/>
  </r>
  <r>
    <x v="2468"/>
    <x v="3"/>
    <x v="0"/>
    <x v="13"/>
    <x v="0"/>
    <n v="0"/>
    <x v="0"/>
    <s v="Basic"/>
  </r>
  <r>
    <x v="2469"/>
    <x v="2"/>
    <x v="0"/>
    <x v="207"/>
    <x v="0"/>
    <n v="0"/>
    <x v="0"/>
    <s v="Basic"/>
  </r>
  <r>
    <x v="2470"/>
    <x v="0"/>
    <x v="2"/>
    <x v="509"/>
    <x v="2"/>
    <n v="0"/>
    <x v="0"/>
    <s v="Premium"/>
  </r>
  <r>
    <x v="2471"/>
    <x v="2"/>
    <x v="1"/>
    <x v="408"/>
    <x v="1"/>
    <n v="0"/>
    <x v="0"/>
    <s v="Elite"/>
  </r>
  <r>
    <x v="2472"/>
    <x v="3"/>
    <x v="2"/>
    <x v="204"/>
    <x v="2"/>
    <n v="0"/>
    <x v="0"/>
    <s v="Premium"/>
  </r>
  <r>
    <x v="2473"/>
    <x v="0"/>
    <x v="2"/>
    <x v="6"/>
    <x v="2"/>
    <n v="0"/>
    <x v="0"/>
    <s v="Premium"/>
  </r>
  <r>
    <x v="2474"/>
    <x v="3"/>
    <x v="0"/>
    <x v="137"/>
    <x v="0"/>
    <n v="0"/>
    <x v="0"/>
    <s v="Basic"/>
  </r>
  <r>
    <x v="2475"/>
    <x v="1"/>
    <x v="0"/>
    <x v="387"/>
    <x v="0"/>
    <n v="0"/>
    <x v="0"/>
    <s v="Basic"/>
  </r>
  <r>
    <x v="2476"/>
    <x v="3"/>
    <x v="2"/>
    <x v="344"/>
    <x v="2"/>
    <n v="0"/>
    <x v="0"/>
    <s v="Premium"/>
  </r>
  <r>
    <x v="2477"/>
    <x v="1"/>
    <x v="1"/>
    <x v="370"/>
    <x v="1"/>
    <n v="0"/>
    <x v="0"/>
    <s v="Elite"/>
  </r>
  <r>
    <x v="2478"/>
    <x v="1"/>
    <x v="1"/>
    <x v="566"/>
    <x v="1"/>
    <n v="0"/>
    <x v="0"/>
    <s v="Elite"/>
  </r>
  <r>
    <x v="2479"/>
    <x v="2"/>
    <x v="1"/>
    <x v="408"/>
    <x v="1"/>
    <n v="0"/>
    <x v="0"/>
    <s v="Elite"/>
  </r>
  <r>
    <x v="2480"/>
    <x v="2"/>
    <x v="0"/>
    <x v="194"/>
    <x v="0"/>
    <n v="0"/>
    <x v="0"/>
    <s v="Basic"/>
  </r>
  <r>
    <x v="2481"/>
    <x v="0"/>
    <x v="0"/>
    <x v="360"/>
    <x v="0"/>
    <n v="0"/>
    <x v="0"/>
    <s v="Basic"/>
  </r>
  <r>
    <x v="2482"/>
    <x v="1"/>
    <x v="2"/>
    <x v="677"/>
    <x v="2"/>
    <n v="0"/>
    <x v="0"/>
    <s v="Premium"/>
  </r>
  <r>
    <x v="2483"/>
    <x v="1"/>
    <x v="2"/>
    <x v="96"/>
    <x v="2"/>
    <n v="1"/>
    <x v="1"/>
    <s v="Inactive"/>
  </r>
  <r>
    <x v="2484"/>
    <x v="3"/>
    <x v="0"/>
    <x v="108"/>
    <x v="0"/>
    <n v="0"/>
    <x v="0"/>
    <s v="Basic"/>
  </r>
  <r>
    <x v="2485"/>
    <x v="1"/>
    <x v="2"/>
    <x v="378"/>
    <x v="2"/>
    <n v="0"/>
    <x v="0"/>
    <s v="Premium"/>
  </r>
  <r>
    <x v="2486"/>
    <x v="1"/>
    <x v="2"/>
    <x v="303"/>
    <x v="2"/>
    <n v="0"/>
    <x v="0"/>
    <s v="Premium"/>
  </r>
  <r>
    <x v="2487"/>
    <x v="2"/>
    <x v="0"/>
    <x v="309"/>
    <x v="0"/>
    <n v="1"/>
    <x v="1"/>
    <s v="Inactive"/>
  </r>
  <r>
    <x v="2488"/>
    <x v="1"/>
    <x v="0"/>
    <x v="280"/>
    <x v="0"/>
    <n v="0"/>
    <x v="0"/>
    <s v="Basic"/>
  </r>
  <r>
    <x v="2489"/>
    <x v="1"/>
    <x v="0"/>
    <x v="372"/>
    <x v="0"/>
    <n v="0"/>
    <x v="0"/>
    <s v="Basic"/>
  </r>
  <r>
    <x v="2490"/>
    <x v="0"/>
    <x v="0"/>
    <x v="477"/>
    <x v="0"/>
    <n v="0"/>
    <x v="0"/>
    <s v="Basic"/>
  </r>
  <r>
    <x v="2491"/>
    <x v="2"/>
    <x v="0"/>
    <x v="67"/>
    <x v="0"/>
    <n v="0"/>
    <x v="0"/>
    <s v="Basic"/>
  </r>
  <r>
    <x v="2492"/>
    <x v="0"/>
    <x v="0"/>
    <x v="569"/>
    <x v="0"/>
    <n v="0"/>
    <x v="0"/>
    <s v="Basic"/>
  </r>
  <r>
    <x v="2493"/>
    <x v="0"/>
    <x v="0"/>
    <x v="397"/>
    <x v="0"/>
    <n v="1"/>
    <x v="1"/>
    <s v="Inactive"/>
  </r>
  <r>
    <x v="2494"/>
    <x v="0"/>
    <x v="2"/>
    <x v="122"/>
    <x v="2"/>
    <n v="1"/>
    <x v="1"/>
    <s v="Inactive"/>
  </r>
  <r>
    <x v="2495"/>
    <x v="1"/>
    <x v="0"/>
    <x v="484"/>
    <x v="0"/>
    <n v="1"/>
    <x v="1"/>
    <s v="Inactive"/>
  </r>
  <r>
    <x v="2496"/>
    <x v="3"/>
    <x v="0"/>
    <x v="635"/>
    <x v="0"/>
    <n v="0"/>
    <x v="0"/>
    <s v="Basic"/>
  </r>
  <r>
    <x v="2497"/>
    <x v="1"/>
    <x v="1"/>
    <x v="231"/>
    <x v="1"/>
    <n v="0"/>
    <x v="0"/>
    <s v="Elite"/>
  </r>
  <r>
    <x v="2498"/>
    <x v="3"/>
    <x v="2"/>
    <x v="240"/>
    <x v="2"/>
    <n v="1"/>
    <x v="1"/>
    <s v="Inactive"/>
  </r>
  <r>
    <x v="2499"/>
    <x v="2"/>
    <x v="0"/>
    <x v="315"/>
    <x v="0"/>
    <n v="0"/>
    <x v="0"/>
    <s v="Basi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C4A981-AF6A-804E-816B-29379CE5D7B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2:M25" firstHeaderRow="1" firstDataRow="1" firstDataCol="1" rowPageCount="1" colPageCount="1"/>
  <pivotFields count="9">
    <pivotField showAll="0"/>
    <pivotField showAll="0">
      <items count="5">
        <item x="2"/>
        <item x="3"/>
        <item x="1"/>
        <item x="0"/>
        <item t="default"/>
      </items>
    </pivotField>
    <pivotField showAll="0">
      <items count="4">
        <item x="0"/>
        <item x="1"/>
        <item x="2"/>
        <item t="default"/>
      </items>
    </pivotField>
    <pivotField axis="axisRow" numFmtId="14" showAll="0">
      <items count="15">
        <item x="0"/>
        <item x="1"/>
        <item x="2"/>
        <item x="3"/>
        <item x="4"/>
        <item x="5"/>
        <item x="6"/>
        <item x="7"/>
        <item x="8"/>
        <item x="9"/>
        <item x="10"/>
        <item x="11"/>
        <item x="12"/>
        <item x="13"/>
        <item t="default"/>
      </items>
    </pivotField>
    <pivotField dataField="1" showAll="0">
      <items count="4">
        <item x="0"/>
        <item x="2"/>
        <item x="1"/>
        <item t="default"/>
      </items>
    </pivotField>
    <pivotField showAll="0"/>
    <pivotField axis="axisPage" showAll="0">
      <items count="3">
        <item x="1"/>
        <item x="0"/>
        <item t="default"/>
      </items>
    </pivotField>
    <pivotField showAll="0"/>
    <pivotField showAll="0" defaultSubtotal="0">
      <items count="4">
        <item x="0"/>
        <item x="1"/>
        <item x="2"/>
        <item x="3"/>
      </items>
    </pivotField>
  </pivotFields>
  <rowFields count="1">
    <field x="3"/>
  </rowFields>
  <rowItems count="13">
    <i>
      <x v="1"/>
    </i>
    <i>
      <x v="2"/>
    </i>
    <i>
      <x v="3"/>
    </i>
    <i>
      <x v="4"/>
    </i>
    <i>
      <x v="5"/>
    </i>
    <i>
      <x v="6"/>
    </i>
    <i>
      <x v="7"/>
    </i>
    <i>
      <x v="8"/>
    </i>
    <i>
      <x v="9"/>
    </i>
    <i>
      <x v="10"/>
    </i>
    <i>
      <x v="11"/>
    </i>
    <i>
      <x v="12"/>
    </i>
    <i t="grand">
      <x/>
    </i>
  </rowItems>
  <colItems count="1">
    <i/>
  </colItems>
  <pageFields count="1">
    <pageField fld="6" hier="-1"/>
  </pageFields>
  <dataFields count="1">
    <dataField name="Sum of Monthly_Fee" fld="4" showDataAs="runTotal" baseField="3"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BB3044-C9F5-FB42-9C4A-B4F51FA726BF}"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2:J39" firstHeaderRow="1" firstDataRow="1" firstDataCol="1" rowPageCount="1" colPageCount="1"/>
  <pivotFields count="9">
    <pivotField showAll="0"/>
    <pivotField showAll="0">
      <items count="5">
        <item x="2"/>
        <item x="3"/>
        <item x="1"/>
        <item x="0"/>
        <item t="default"/>
      </items>
    </pivotField>
    <pivotField showAll="0">
      <items count="4">
        <item x="0"/>
        <item x="1"/>
        <item x="2"/>
        <item t="default"/>
      </items>
    </pivotField>
    <pivotField axis="axisRow" numFmtId="14" showAll="0">
      <items count="15">
        <item x="0"/>
        <item x="1"/>
        <item x="2"/>
        <item x="3"/>
        <item x="4"/>
        <item x="5"/>
        <item x="6"/>
        <item x="7"/>
        <item x="8"/>
        <item x="9"/>
        <item x="10"/>
        <item x="11"/>
        <item x="12"/>
        <item x="13"/>
        <item t="default"/>
      </items>
    </pivotField>
    <pivotField dataField="1" showAll="0">
      <items count="4">
        <item x="0"/>
        <item x="2"/>
        <item x="1"/>
        <item t="default"/>
      </items>
    </pivotField>
    <pivotField showAll="0"/>
    <pivotField axis="axisPage" showAll="0">
      <items count="3">
        <item x="1"/>
        <item x="0"/>
        <item t="default"/>
      </items>
    </pivotField>
    <pivotField showAll="0"/>
    <pivotField axis="axisRow" showAll="0">
      <items count="5">
        <item x="0"/>
        <item x="1"/>
        <item x="2"/>
        <item x="3"/>
        <item t="default"/>
      </items>
    </pivotField>
  </pivotFields>
  <rowFields count="2">
    <field x="8"/>
    <field x="3"/>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pageFields count="1">
    <pageField fld="6" hier="-1"/>
  </pageFields>
  <dataFields count="1">
    <dataField name="Sum of Monthly_Fee" fld="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A98F44-5123-714C-987D-4612278708C7}"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A37:D42" firstHeaderRow="0" firstDataRow="1" firstDataCol="1" rowPageCount="1" colPageCount="1"/>
  <pivotFields count="9">
    <pivotField dataField="1" showAll="0"/>
    <pivotField axis="axisRow" showAll="0">
      <items count="5">
        <item x="2"/>
        <item x="3"/>
        <item x="1"/>
        <item x="0"/>
        <item t="default"/>
      </items>
    </pivotField>
    <pivotField showAll="0">
      <items count="4">
        <item x="0"/>
        <item x="1"/>
        <item x="2"/>
        <item t="default"/>
      </items>
    </pivotField>
    <pivotField numFmtId="14" showAll="0">
      <items count="15">
        <item x="0"/>
        <item x="1"/>
        <item x="2"/>
        <item x="3"/>
        <item x="4"/>
        <item x="5"/>
        <item x="6"/>
        <item x="7"/>
        <item x="8"/>
        <item x="9"/>
        <item x="10"/>
        <item x="11"/>
        <item x="12"/>
        <item x="13"/>
        <item t="default"/>
      </items>
    </pivotField>
    <pivotField dataField="1" showAll="0"/>
    <pivotField showAll="0"/>
    <pivotField axis="axisPage" dataField="1" showAll="0">
      <items count="3">
        <item x="1"/>
        <item x="0"/>
        <item t="default"/>
      </items>
    </pivotField>
    <pivotField showAll="0"/>
    <pivotField showAll="0">
      <items count="5">
        <item x="0"/>
        <item x="1"/>
        <item x="2"/>
        <item x="3"/>
        <item t="default"/>
      </items>
    </pivotField>
  </pivotFields>
  <rowFields count="1">
    <field x="1"/>
  </rowFields>
  <rowItems count="5">
    <i>
      <x/>
    </i>
    <i>
      <x v="1"/>
    </i>
    <i>
      <x v="2"/>
    </i>
    <i>
      <x v="3"/>
    </i>
    <i t="grand">
      <x/>
    </i>
  </rowItems>
  <colFields count="1">
    <field x="-2"/>
  </colFields>
  <colItems count="3">
    <i>
      <x/>
    </i>
    <i i="1">
      <x v="1"/>
    </i>
    <i i="2">
      <x v="2"/>
    </i>
  </colItems>
  <pageFields count="1">
    <pageField fld="6" hier="-1"/>
  </pageFields>
  <dataFields count="3">
    <dataField name="Sum of Monthly_Fee" fld="4" baseField="0" baseItem="0"/>
    <dataField name="Sum of Active Member" fld="6" baseField="0" baseItem="0"/>
    <dataField name="Count of Member_ID" fld="0" subtotal="count" baseField="0" baseItem="0"/>
  </dataFields>
  <formats count="2">
    <format dxfId="40">
      <pivotArea field="6" type="button" dataOnly="0" labelOnly="1" outline="0" axis="axisPage" fieldPosition="0"/>
    </format>
    <format dxfId="41">
      <pivotArea dataOnly="0" labelOnly="1" outline="0"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A78234-A5F8-314A-A19A-87FFBF674F3E}"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s">
  <location ref="A24:E30" firstHeaderRow="1" firstDataRow="2" firstDataCol="1" rowPageCount="1" colPageCount="1"/>
  <pivotFields count="9">
    <pivotField showAll="0">
      <items count="2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t="default"/>
      </items>
    </pivotField>
    <pivotField axis="axisRow" showAll="0">
      <items count="5">
        <item x="2"/>
        <item x="3"/>
        <item x="1"/>
        <item x="0"/>
        <item t="default"/>
      </items>
    </pivotField>
    <pivotField axis="axisCol" showAll="0">
      <items count="4">
        <item x="0"/>
        <item x="1"/>
        <item x="2"/>
        <item t="default"/>
      </items>
    </pivotField>
    <pivotField numFmtId="14" showAll="0">
      <items count="15">
        <item x="0"/>
        <item x="1"/>
        <item x="2"/>
        <item x="3"/>
        <item x="4"/>
        <item x="5"/>
        <item x="6"/>
        <item x="7"/>
        <item x="8"/>
        <item x="9"/>
        <item x="10"/>
        <item x="11"/>
        <item x="12"/>
        <item x="13"/>
        <item t="default"/>
      </items>
    </pivotField>
    <pivotField dataField="1" showAll="0">
      <items count="4">
        <item x="0"/>
        <item x="2"/>
        <item x="1"/>
        <item t="default"/>
      </items>
    </pivotField>
    <pivotField showAll="0"/>
    <pivotField axis="axisPage" multipleItemSelectionAllowed="1" showAll="0">
      <items count="3">
        <item h="1" x="1"/>
        <item x="0"/>
        <item t="default"/>
      </items>
    </pivotField>
    <pivotField showAll="0"/>
    <pivotField showAll="0">
      <items count="5">
        <item x="0"/>
        <item x="1"/>
        <item x="2"/>
        <item x="3"/>
        <item t="default"/>
      </items>
    </pivotField>
  </pivotFields>
  <rowFields count="1">
    <field x="1"/>
  </rowFields>
  <rowItems count="5">
    <i>
      <x/>
    </i>
    <i>
      <x v="1"/>
    </i>
    <i>
      <x v="2"/>
    </i>
    <i>
      <x v="3"/>
    </i>
    <i t="grand">
      <x/>
    </i>
  </rowItems>
  <colFields count="1">
    <field x="2"/>
  </colFields>
  <colItems count="4">
    <i>
      <x/>
    </i>
    <i>
      <x v="1"/>
    </i>
    <i>
      <x v="2"/>
    </i>
    <i t="grand">
      <x/>
    </i>
  </colItems>
  <pageFields count="1">
    <pageField fld="6" hier="-1"/>
  </pageFields>
  <dataFields count="1">
    <dataField name="Sum of Monthly_Fe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3AD315-189B-1A48-970C-3133C9E4160C}"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A1:D6" firstHeaderRow="0" firstDataRow="1" firstDataCol="1"/>
  <pivotFields count="9">
    <pivotField dataField="1" showAll="0"/>
    <pivotField axis="axisRow" showAll="0">
      <items count="5">
        <item x="2"/>
        <item x="3"/>
        <item x="1"/>
        <item x="0"/>
        <item t="default"/>
      </items>
    </pivotField>
    <pivotField showAll="0">
      <items count="4">
        <item x="0"/>
        <item x="1"/>
        <item x="2"/>
        <item t="default"/>
      </items>
    </pivotField>
    <pivotField numFmtId="14" showAll="0">
      <items count="15">
        <item x="0"/>
        <item x="1"/>
        <item x="2"/>
        <item x="3"/>
        <item x="4"/>
        <item x="5"/>
        <item x="6"/>
        <item x="7"/>
        <item x="8"/>
        <item x="9"/>
        <item x="10"/>
        <item x="11"/>
        <item x="12"/>
        <item x="13"/>
        <item t="default"/>
      </items>
    </pivotField>
    <pivotField showAll="0"/>
    <pivotField dataField="1" showAll="0"/>
    <pivotField dataField="1" showAll="0"/>
    <pivotField showAll="0"/>
    <pivotField showAll="0">
      <items count="5">
        <item x="0"/>
        <item x="1"/>
        <item x="2"/>
        <item x="3"/>
        <item t="default"/>
      </items>
    </pivotField>
  </pivotFields>
  <rowFields count="1">
    <field x="1"/>
  </rowFields>
  <rowItems count="5">
    <i>
      <x/>
    </i>
    <i>
      <x v="1"/>
    </i>
    <i>
      <x v="2"/>
    </i>
    <i>
      <x v="3"/>
    </i>
    <i t="grand">
      <x/>
    </i>
  </rowItems>
  <colFields count="1">
    <field x="-2"/>
  </colFields>
  <colItems count="3">
    <i>
      <x/>
    </i>
    <i i="1">
      <x v="1"/>
    </i>
    <i i="2">
      <x v="2"/>
    </i>
  </colItems>
  <dataFields count="3">
    <dataField name="Sum of Active Member" fld="6" baseField="0" baseItem="0"/>
    <dataField name="Sum of Churned" fld="5" baseField="0" baseItem="0"/>
    <dataField name="Count of Memb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C3EE43-CC9A-4646-A038-DF840A63D0B6}" name="Pivot_TierMix"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embership Tiers">
  <location ref="A12:B16" firstHeaderRow="1" firstDataRow="1" firstDataCol="1"/>
  <pivotFields count="9">
    <pivotField dataField="1" showAll="0"/>
    <pivotField showAll="0">
      <items count="5">
        <item x="2"/>
        <item x="3"/>
        <item x="1"/>
        <item x="0"/>
        <item t="default"/>
      </items>
    </pivotField>
    <pivotField axis="axisRow" showAll="0">
      <items count="4">
        <item x="0"/>
        <item x="1"/>
        <item x="2"/>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5">
        <item x="0"/>
        <item x="1"/>
        <item x="2"/>
        <item x="3"/>
        <item t="default"/>
      </items>
    </pivotField>
  </pivotFields>
  <rowFields count="1">
    <field x="2"/>
  </rowFields>
  <rowItems count="4">
    <i>
      <x/>
    </i>
    <i>
      <x v="1"/>
    </i>
    <i>
      <x v="2"/>
    </i>
    <i t="grand">
      <x/>
    </i>
  </rowItems>
  <colItems count="1">
    <i/>
  </colItems>
  <dataFields count="1">
    <dataField name="Count of Member_ID" fld="0" subtotal="count" baseField="0" baseItem="0"/>
  </dataField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2" count="1" selected="0">
            <x v="0"/>
          </reference>
        </references>
      </pivotArea>
    </chartFormat>
    <chartFormat chart="7" format="10">
      <pivotArea type="data" outline="0" fieldPosition="0">
        <references count="2">
          <reference field="4294967294" count="1" selected="0">
            <x v="0"/>
          </reference>
          <reference field="2" count="1" selected="0">
            <x v="1"/>
          </reference>
        </references>
      </pivotArea>
    </chartFormat>
    <chartFormat chart="7"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AC3973-306D-C540-A805-1756F88F19FD}" autoFormatId="16" applyNumberFormats="0" applyBorderFormats="0" applyFontFormats="0" applyPatternFormats="0" applyAlignmentFormats="0" applyWidthHeightFormats="0">
  <queryTableRefresh nextId="9" unboundColumnsRight="2">
    <queryTableFields count="8">
      <queryTableField id="1" name="Member_ID" tableColumnId="1"/>
      <queryTableField id="2" name="Location" tableColumnId="2"/>
      <queryTableField id="3" name="Tier" tableColumnId="3"/>
      <queryTableField id="4" name="Join_Date" tableColumnId="4"/>
      <queryTableField id="5" name="Monthly_Fee" tableColumnId="5"/>
      <queryTableField id="6" name="Churned" tableColumnId="6"/>
      <queryTableField id="7" dataBound="0"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A8E36995-BE07-FA43-97F5-64C0E94DCA3D}" sourceName="Location">
  <pivotTables>
    <pivotTable tabId="1" name="PivotTable5"/>
    <pivotTable tabId="1" name="Pivot_TierMix"/>
    <pivotTable tabId="1" name="PivotTable7"/>
    <pivotTable tabId="1" name="PivotTable9"/>
    <pivotTable tabId="1" name="PivotTable10"/>
    <pivotTable tabId="1" name="PivotTable1"/>
  </pivotTables>
  <data>
    <tabular pivotCacheId="330384717">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er" xr10:uid="{1004758C-F57E-4247-A3BC-062CFF57418A}" sourceName="Tier">
  <pivotTables>
    <pivotTable tabId="1" name="PivotTable10"/>
    <pivotTable tabId="1" name="Pivot_TierMix"/>
    <pivotTable tabId="1" name="PivotTable5"/>
    <pivotTable tabId="1" name="PivotTable7"/>
    <pivotTable tabId="1" name="PivotTable9"/>
    <pivotTable tabId="1" name="PivotTable1"/>
  </pivotTables>
  <data>
    <tabular pivotCacheId="33038471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55002FFE-AF98-804F-A634-C3067DD6C8EC}" cache="Slicer_Location1" caption="Location" style="SlicerStyleLight3" rowHeight="251883"/>
  <slicer name="Tier" xr10:uid="{685C2B35-82A1-AB43-86F7-E1E25C68F06B}" cache="Slicer_Tier" caption="Tier" style="SlicerStyleLight3"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275990-C98C-4D4F-B70B-24D9D672EBA5}" name="Gym_Expansion_Data" displayName="Gym_Expansion_Data" ref="A1:H2502" tableType="queryTable" totalsRowCount="1">
  <autoFilter ref="A1:H2501" xr:uid="{E6275990-C98C-4D4F-B70B-24D9D672EBA5}"/>
  <tableColumns count="8">
    <tableColumn id="1" xr3:uid="{19077B85-A601-CE47-AFE2-E0A24D6CB05B}" uniqueName="1" name="Member_ID" queryTableFieldId="1"/>
    <tableColumn id="2" xr3:uid="{025BC081-C4C1-3541-BCF6-58693BB6B8A9}" uniqueName="2" name="Location" queryTableFieldId="2" dataDxfId="75"/>
    <tableColumn id="3" xr3:uid="{B2A5392F-DB65-8C4B-A8D8-660C051C0444}" uniqueName="3" name="Tier" queryTableFieldId="3" dataDxfId="74"/>
    <tableColumn id="4" xr3:uid="{B9FA9531-7CA7-B64F-BF84-1928C2F8E1D8}" uniqueName="4" name="Join_Date" queryTableFieldId="4" dataDxfId="73" totalsRowDxfId="72"/>
    <tableColumn id="5" xr3:uid="{565FB5BA-1039-5C4B-A126-9F6660344A9C}" uniqueName="5" name="Monthly_Fee" queryTableFieldId="5"/>
    <tableColumn id="6" xr3:uid="{2AADC4B4-BA4B-1446-B580-0916C4470293}" uniqueName="6" name="Churned" queryTableFieldId="6"/>
    <tableColumn id="7" xr3:uid="{AFD418F6-2C34-1744-A2BA-8ABCD7B2B0CB}" uniqueName="7" name="Active Member" queryTableFieldId="7" dataDxfId="71">
      <calculatedColumnFormula>IF(Gym_Expansion_Data[[#This Row],[Churned]]=0,1,0)</calculatedColumnFormula>
    </tableColumn>
    <tableColumn id="8" xr3:uid="{086C476A-FCA6-7243-A45F-5A51C84C01B9}" uniqueName="8" name="Active Status" queryTableFieldId="8" dataDxfId="70">
      <calculatedColumnFormula>IF(Gym_Expansion_Data[[#This Row],[Active Member]]=1,Gym_Expansion_Data[[#This Row],[Tier]],"Inactive")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7C767-8083-3448-8FBF-114ED759D9C6}">
  <dimension ref="A1"/>
  <sheetViews>
    <sheetView showGridLines="0" showRowColHeaders="0" workbookViewId="0">
      <selection activeCell="AD51" sqref="AD51"/>
    </sheetView>
  </sheetViews>
  <sheetFormatPr baseColWidth="10" defaultRowHeight="16" x14ac:dyDescent="0.2"/>
  <cols>
    <col min="1" max="16384" width="10.8320312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354F6-AFA3-9948-BE8B-8DCC654C5847}">
  <dimension ref="B2:N22"/>
  <sheetViews>
    <sheetView showGridLines="0" tabSelected="1" workbookViewId="0">
      <selection activeCell="J28" sqref="J28"/>
    </sheetView>
  </sheetViews>
  <sheetFormatPr baseColWidth="10" defaultRowHeight="16" x14ac:dyDescent="0.2"/>
  <cols>
    <col min="2" max="2" width="23.6640625" bestFit="1" customWidth="1"/>
    <col min="3" max="3" width="11.33203125" bestFit="1" customWidth="1"/>
    <col min="5" max="5" width="17.33203125" bestFit="1" customWidth="1"/>
    <col min="6" max="6" width="13.1640625" bestFit="1" customWidth="1"/>
    <col min="7" max="7" width="23.83203125" bestFit="1" customWidth="1"/>
    <col min="8" max="8" width="11.5" customWidth="1"/>
    <col min="9" max="9" width="11.5" bestFit="1" customWidth="1"/>
    <col min="10" max="13" width="12.83203125" customWidth="1"/>
  </cols>
  <sheetData>
    <row r="2" spans="2:14" x14ac:dyDescent="0.2">
      <c r="B2" s="26" t="s">
        <v>36</v>
      </c>
    </row>
    <row r="3" spans="2:14" ht="17" thickBot="1" x14ac:dyDescent="0.25">
      <c r="J3" s="35"/>
      <c r="K3" s="35"/>
      <c r="L3" s="35"/>
      <c r="M3" s="35"/>
    </row>
    <row r="4" spans="2:14" ht="17" thickBot="1" x14ac:dyDescent="0.25">
      <c r="B4" s="45" t="s">
        <v>27</v>
      </c>
      <c r="C4" s="46"/>
      <c r="E4" s="19" t="s">
        <v>35</v>
      </c>
      <c r="F4" s="20" t="s">
        <v>34</v>
      </c>
      <c r="G4" s="21" t="s">
        <v>25</v>
      </c>
      <c r="J4" s="47" t="s">
        <v>59</v>
      </c>
      <c r="K4" s="48"/>
      <c r="L4" s="48"/>
      <c r="M4" s="48"/>
      <c r="N4" s="36"/>
    </row>
    <row r="5" spans="2:14" ht="17" thickBot="1" x14ac:dyDescent="0.25">
      <c r="B5" s="11" t="s">
        <v>21</v>
      </c>
      <c r="C5" s="9" t="s">
        <v>26</v>
      </c>
      <c r="E5" s="23">
        <v>2000</v>
      </c>
      <c r="F5" s="24">
        <v>12000</v>
      </c>
      <c r="G5" s="25">
        <v>85</v>
      </c>
      <c r="H5" s="22"/>
      <c r="I5" s="26" t="s">
        <v>60</v>
      </c>
      <c r="J5" s="40">
        <f>C14</f>
        <v>121400</v>
      </c>
      <c r="K5" s="38">
        <v>75</v>
      </c>
      <c r="L5" s="38">
        <v>85</v>
      </c>
      <c r="M5" s="39">
        <v>95</v>
      </c>
      <c r="N5" s="6"/>
    </row>
    <row r="6" spans="2:14" x14ac:dyDescent="0.2">
      <c r="B6" s="12" t="s">
        <v>28</v>
      </c>
      <c r="C6" s="14">
        <f>E5</f>
        <v>2000</v>
      </c>
      <c r="E6" s="17"/>
      <c r="F6" s="17"/>
      <c r="J6" s="37">
        <v>10000</v>
      </c>
      <c r="K6" s="41">
        <f t="dataTable" ref="K6:M8" dt2D="1" dtr="1" r1="C7" r2="C9"/>
        <v>105000</v>
      </c>
      <c r="L6" s="41">
        <v>123400</v>
      </c>
      <c r="M6" s="42">
        <v>141800</v>
      </c>
      <c r="N6" s="34"/>
    </row>
    <row r="7" spans="2:14" ht="17" thickBot="1" x14ac:dyDescent="0.25">
      <c r="B7" s="13" t="s">
        <v>25</v>
      </c>
      <c r="C7" s="8">
        <f>G5</f>
        <v>85</v>
      </c>
      <c r="J7" s="12">
        <v>12000</v>
      </c>
      <c r="K7" s="41">
        <v>103000</v>
      </c>
      <c r="L7" s="41">
        <v>121400</v>
      </c>
      <c r="M7" s="42">
        <v>139800</v>
      </c>
      <c r="N7" s="34"/>
    </row>
    <row r="8" spans="2:14" ht="17" thickBot="1" x14ac:dyDescent="0.25">
      <c r="B8" s="12" t="s">
        <v>30</v>
      </c>
      <c r="C8" s="15">
        <f>C6*C7</f>
        <v>170000</v>
      </c>
      <c r="J8" s="13">
        <v>14000</v>
      </c>
      <c r="K8" s="43">
        <v>101000</v>
      </c>
      <c r="L8" s="43">
        <v>119400</v>
      </c>
      <c r="M8" s="44">
        <v>137800</v>
      </c>
      <c r="N8" s="6"/>
    </row>
    <row r="9" spans="2:14" x14ac:dyDescent="0.2">
      <c r="B9" s="12" t="s">
        <v>34</v>
      </c>
      <c r="C9" s="10">
        <f>F5</f>
        <v>12000</v>
      </c>
    </row>
    <row r="10" spans="2:14" x14ac:dyDescent="0.2">
      <c r="B10" s="12" t="s">
        <v>23</v>
      </c>
      <c r="C10" s="10">
        <v>15000</v>
      </c>
    </row>
    <row r="11" spans="2:14" x14ac:dyDescent="0.2">
      <c r="B11" s="12" t="s">
        <v>22</v>
      </c>
      <c r="C11" s="10">
        <v>3000</v>
      </c>
    </row>
    <row r="12" spans="2:14" x14ac:dyDescent="0.2">
      <c r="B12" s="12" t="s">
        <v>24</v>
      </c>
      <c r="C12" s="16">
        <v>5000</v>
      </c>
    </row>
    <row r="13" spans="2:14" ht="17" thickBot="1" x14ac:dyDescent="0.25">
      <c r="B13" s="13" t="s">
        <v>31</v>
      </c>
      <c r="C13" s="28">
        <f>0.08*C8</f>
        <v>13600</v>
      </c>
    </row>
    <row r="14" spans="2:14" ht="17" thickBot="1" x14ac:dyDescent="0.25">
      <c r="B14" s="27" t="s">
        <v>29</v>
      </c>
      <c r="C14" s="18">
        <f>C8-SUM(C9:C13)</f>
        <v>121400</v>
      </c>
    </row>
    <row r="15" spans="2:14" x14ac:dyDescent="0.2">
      <c r="B15" s="17"/>
    </row>
    <row r="21" spans="2:3" x14ac:dyDescent="0.2">
      <c r="B21" s="7"/>
      <c r="C21" s="7"/>
    </row>
    <row r="22" spans="2:3" x14ac:dyDescent="0.2">
      <c r="B22" s="7"/>
      <c r="C22" s="7"/>
    </row>
  </sheetData>
  <mergeCells count="2">
    <mergeCell ref="B4:C4"/>
    <mergeCell ref="J4:M4"/>
  </mergeCells>
  <conditionalFormatting sqref="N5:N8">
    <cfRule type="colorScale" priority="4">
      <colorScale>
        <cfvo type="min"/>
        <cfvo type="percentile" val="50"/>
        <cfvo type="max"/>
        <color rgb="FFF8696B"/>
        <color rgb="FFFFEB84"/>
        <color rgb="FF63BE7B"/>
      </colorScale>
    </cfRule>
  </conditionalFormatting>
  <conditionalFormatting sqref="J5">
    <cfRule type="cellIs" dxfId="69" priority="1" operator="greaterThan">
      <formula>0</formula>
    </cfRule>
    <cfRule type="cellIs" dxfId="68" priority="2" operator="lessThan">
      <formula>0</formula>
    </cfRule>
  </conditionalFormatting>
  <dataValidations count="4">
    <dataValidation type="list" allowBlank="1" showInputMessage="1" showErrorMessage="1" sqref="E5" xr:uid="{58FA3826-13CD-294A-B194-5F2597177068}">
      <formula1>"1000, 2000, 3000"</formula1>
    </dataValidation>
    <dataValidation type="list" allowBlank="1" showInputMessage="1" showErrorMessage="1" sqref="F5" xr:uid="{8804FF50-F659-FE41-8FD0-322E1B4391EB}">
      <formula1>"10000, 12000, 14000"</formula1>
    </dataValidation>
    <dataValidation type="decimal" allowBlank="1" showInputMessage="1" showErrorMessage="1" sqref="C5:C13 C14" xr:uid="{4CF958B4-1AA1-F749-AF30-47106F0D0CE5}">
      <formula1>0</formula1>
      <formula2>999999999999</formula2>
    </dataValidation>
    <dataValidation type="list" allowBlank="1" showInputMessage="1" showErrorMessage="1" sqref="G5" xr:uid="{EA7FE588-570A-DE47-9BE0-686D1A20DE91}">
      <formula1>"75, 85, 95"</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9929D-982E-1246-AC13-8FF391FEF93B}">
  <dimension ref="A1:H2502"/>
  <sheetViews>
    <sheetView topLeftCell="A2" workbookViewId="0">
      <selection sqref="A1:H2502"/>
    </sheetView>
  </sheetViews>
  <sheetFormatPr baseColWidth="10" defaultRowHeight="16" x14ac:dyDescent="0.2"/>
  <cols>
    <col min="1" max="1" width="13.5" bestFit="1" customWidth="1"/>
    <col min="2" max="2" width="11.5" bestFit="1" customWidth="1"/>
    <col min="3" max="3" width="8.6640625" bestFit="1" customWidth="1"/>
    <col min="4" max="4" width="11.83203125" bestFit="1" customWidth="1"/>
    <col min="5" max="5" width="14.5" bestFit="1" customWidth="1"/>
    <col min="6" max="6" width="10.33203125" bestFit="1" customWidth="1"/>
    <col min="7" max="7" width="16.33203125" bestFit="1" customWidth="1"/>
    <col min="8" max="8" width="14.6640625" bestFit="1" customWidth="1"/>
  </cols>
  <sheetData>
    <row r="1" spans="1:8" x14ac:dyDescent="0.2">
      <c r="A1" t="s">
        <v>0</v>
      </c>
      <c r="B1" t="s">
        <v>1</v>
      </c>
      <c r="C1" t="s">
        <v>2</v>
      </c>
      <c r="D1" t="s">
        <v>3</v>
      </c>
      <c r="E1" t="s">
        <v>4</v>
      </c>
      <c r="F1" t="s">
        <v>5</v>
      </c>
      <c r="G1" t="s">
        <v>17</v>
      </c>
      <c r="H1" t="s">
        <v>15</v>
      </c>
    </row>
    <row r="2" spans="1:8" x14ac:dyDescent="0.2">
      <c r="A2">
        <v>1001</v>
      </c>
      <c r="B2" t="s">
        <v>6</v>
      </c>
      <c r="C2" t="s">
        <v>7</v>
      </c>
      <c r="D2" s="1">
        <v>45981</v>
      </c>
      <c r="E2">
        <v>49</v>
      </c>
      <c r="F2">
        <v>0</v>
      </c>
      <c r="G2">
        <f>IF(Gym_Expansion_Data[[#This Row],[Churned]]=0,1,0)</f>
        <v>1</v>
      </c>
      <c r="H2" t="str">
        <f>IF(Gym_Expansion_Data[[#This Row],[Active Member]]=1,Gym_Expansion_Data[[#This Row],[Tier]],"Inactive")</f>
        <v>Basic</v>
      </c>
    </row>
    <row r="3" spans="1:8" x14ac:dyDescent="0.2">
      <c r="A3">
        <v>1002</v>
      </c>
      <c r="B3" t="s">
        <v>6</v>
      </c>
      <c r="C3" t="s">
        <v>8</v>
      </c>
      <c r="D3" s="1">
        <v>45483</v>
      </c>
      <c r="E3">
        <v>129</v>
      </c>
      <c r="F3">
        <v>0</v>
      </c>
      <c r="G3">
        <f>IF(Gym_Expansion_Data[[#This Row],[Churned]]=0,1,0)</f>
        <v>1</v>
      </c>
      <c r="H3" t="str">
        <f>IF(Gym_Expansion_Data[[#This Row],[Active Member]]=1,Gym_Expansion_Data[[#This Row],[Tier]],"Inactive")</f>
        <v>Elite</v>
      </c>
    </row>
    <row r="4" spans="1:8" x14ac:dyDescent="0.2">
      <c r="A4">
        <v>1003</v>
      </c>
      <c r="B4" t="s">
        <v>9</v>
      </c>
      <c r="C4" t="s">
        <v>7</v>
      </c>
      <c r="D4" s="1">
        <v>45507</v>
      </c>
      <c r="E4">
        <v>49</v>
      </c>
      <c r="F4">
        <v>0</v>
      </c>
      <c r="G4">
        <f>IF(Gym_Expansion_Data[[#This Row],[Churned]]=0,1,0)</f>
        <v>1</v>
      </c>
      <c r="H4" t="str">
        <f>IF(Gym_Expansion_Data[[#This Row],[Active Member]]=1,Gym_Expansion_Data[[#This Row],[Tier]],"Inactive")</f>
        <v>Basic</v>
      </c>
    </row>
    <row r="5" spans="1:8" x14ac:dyDescent="0.2">
      <c r="A5">
        <v>1004</v>
      </c>
      <c r="B5" t="s">
        <v>6</v>
      </c>
      <c r="C5" t="s">
        <v>7</v>
      </c>
      <c r="D5" s="1">
        <v>45875</v>
      </c>
      <c r="E5">
        <v>49</v>
      </c>
      <c r="F5">
        <v>0</v>
      </c>
      <c r="G5">
        <f>IF(Gym_Expansion_Data[[#This Row],[Churned]]=0,1,0)</f>
        <v>1</v>
      </c>
      <c r="H5" t="str">
        <f>IF(Gym_Expansion_Data[[#This Row],[Active Member]]=1,Gym_Expansion_Data[[#This Row],[Tier]],"Inactive")</f>
        <v>Basic</v>
      </c>
    </row>
    <row r="6" spans="1:8" x14ac:dyDescent="0.2">
      <c r="A6">
        <v>1005</v>
      </c>
      <c r="B6" t="s">
        <v>10</v>
      </c>
      <c r="C6" t="s">
        <v>8</v>
      </c>
      <c r="D6" s="1">
        <v>45874</v>
      </c>
      <c r="E6">
        <v>129</v>
      </c>
      <c r="F6">
        <v>0</v>
      </c>
      <c r="G6">
        <f>IF(Gym_Expansion_Data[[#This Row],[Churned]]=0,1,0)</f>
        <v>1</v>
      </c>
      <c r="H6" t="str">
        <f>IF(Gym_Expansion_Data[[#This Row],[Active Member]]=1,Gym_Expansion_Data[[#This Row],[Tier]],"Inactive")</f>
        <v>Elite</v>
      </c>
    </row>
    <row r="7" spans="1:8" x14ac:dyDescent="0.2">
      <c r="A7">
        <v>1006</v>
      </c>
      <c r="B7" t="s">
        <v>11</v>
      </c>
      <c r="C7" t="s">
        <v>12</v>
      </c>
      <c r="D7" s="1">
        <v>45687</v>
      </c>
      <c r="E7">
        <v>89</v>
      </c>
      <c r="F7">
        <v>0</v>
      </c>
      <c r="G7">
        <f>IF(Gym_Expansion_Data[[#This Row],[Churned]]=0,1,0)</f>
        <v>1</v>
      </c>
      <c r="H7" t="str">
        <f>IF(Gym_Expansion_Data[[#This Row],[Active Member]]=1,Gym_Expansion_Data[[#This Row],[Tier]],"Inactive")</f>
        <v>Premium</v>
      </c>
    </row>
    <row r="8" spans="1:8" x14ac:dyDescent="0.2">
      <c r="A8">
        <v>1007</v>
      </c>
      <c r="B8" t="s">
        <v>10</v>
      </c>
      <c r="C8" t="s">
        <v>7</v>
      </c>
      <c r="D8" s="1">
        <v>45757</v>
      </c>
      <c r="E8">
        <v>49</v>
      </c>
      <c r="F8">
        <v>0</v>
      </c>
      <c r="G8">
        <f>IF(Gym_Expansion_Data[[#This Row],[Churned]]=0,1,0)</f>
        <v>1</v>
      </c>
      <c r="H8" t="str">
        <f>IF(Gym_Expansion_Data[[#This Row],[Active Member]]=1,Gym_Expansion_Data[[#This Row],[Tier]],"Inactive")</f>
        <v>Basic</v>
      </c>
    </row>
    <row r="9" spans="1:8" x14ac:dyDescent="0.2">
      <c r="A9">
        <v>1008</v>
      </c>
      <c r="B9" t="s">
        <v>9</v>
      </c>
      <c r="C9" t="s">
        <v>12</v>
      </c>
      <c r="D9" s="1">
        <v>45820</v>
      </c>
      <c r="E9">
        <v>89</v>
      </c>
      <c r="F9">
        <v>0</v>
      </c>
      <c r="G9">
        <f>IF(Gym_Expansion_Data[[#This Row],[Churned]]=0,1,0)</f>
        <v>1</v>
      </c>
      <c r="H9" t="str">
        <f>IF(Gym_Expansion_Data[[#This Row],[Active Member]]=1,Gym_Expansion_Data[[#This Row],[Tier]],"Inactive")</f>
        <v>Premium</v>
      </c>
    </row>
    <row r="10" spans="1:8" x14ac:dyDescent="0.2">
      <c r="A10">
        <v>1009</v>
      </c>
      <c r="B10" t="s">
        <v>10</v>
      </c>
      <c r="C10" t="s">
        <v>7</v>
      </c>
      <c r="D10" s="1">
        <v>45404</v>
      </c>
      <c r="E10">
        <v>49</v>
      </c>
      <c r="F10">
        <v>0</v>
      </c>
      <c r="G10">
        <f>IF(Gym_Expansion_Data[[#This Row],[Churned]]=0,1,0)</f>
        <v>1</v>
      </c>
      <c r="H10" t="str">
        <f>IF(Gym_Expansion_Data[[#This Row],[Active Member]]=1,Gym_Expansion_Data[[#This Row],[Tier]],"Inactive")</f>
        <v>Basic</v>
      </c>
    </row>
    <row r="11" spans="1:8" x14ac:dyDescent="0.2">
      <c r="A11">
        <v>1010</v>
      </c>
      <c r="B11" t="s">
        <v>10</v>
      </c>
      <c r="C11" t="s">
        <v>8</v>
      </c>
      <c r="D11" s="1">
        <v>45351</v>
      </c>
      <c r="E11">
        <v>129</v>
      </c>
      <c r="F11">
        <v>0</v>
      </c>
      <c r="G11">
        <f>IF(Gym_Expansion_Data[[#This Row],[Churned]]=0,1,0)</f>
        <v>1</v>
      </c>
      <c r="H11" t="str">
        <f>IF(Gym_Expansion_Data[[#This Row],[Active Member]]=1,Gym_Expansion_Data[[#This Row],[Tier]],"Inactive")</f>
        <v>Elite</v>
      </c>
    </row>
    <row r="12" spans="1:8" x14ac:dyDescent="0.2">
      <c r="A12">
        <v>1011</v>
      </c>
      <c r="B12" t="s">
        <v>11</v>
      </c>
      <c r="C12" t="s">
        <v>12</v>
      </c>
      <c r="D12" s="1">
        <v>45547</v>
      </c>
      <c r="E12">
        <v>89</v>
      </c>
      <c r="F12">
        <v>0</v>
      </c>
      <c r="G12">
        <f>IF(Gym_Expansion_Data[[#This Row],[Churned]]=0,1,0)</f>
        <v>1</v>
      </c>
      <c r="H12" t="str">
        <f>IF(Gym_Expansion_Data[[#This Row],[Active Member]]=1,Gym_Expansion_Data[[#This Row],[Tier]],"Inactive")</f>
        <v>Premium</v>
      </c>
    </row>
    <row r="13" spans="1:8" x14ac:dyDescent="0.2">
      <c r="A13">
        <v>1012</v>
      </c>
      <c r="B13" t="s">
        <v>10</v>
      </c>
      <c r="C13" t="s">
        <v>8</v>
      </c>
      <c r="D13" s="1">
        <v>45941</v>
      </c>
      <c r="E13">
        <v>129</v>
      </c>
      <c r="F13">
        <v>0</v>
      </c>
      <c r="G13">
        <f>IF(Gym_Expansion_Data[[#This Row],[Churned]]=0,1,0)</f>
        <v>1</v>
      </c>
      <c r="H13" t="str">
        <f>IF(Gym_Expansion_Data[[#This Row],[Active Member]]=1,Gym_Expansion_Data[[#This Row],[Tier]],"Inactive")</f>
        <v>Elite</v>
      </c>
    </row>
    <row r="14" spans="1:8" x14ac:dyDescent="0.2">
      <c r="A14">
        <v>1013</v>
      </c>
      <c r="B14" t="s">
        <v>6</v>
      </c>
      <c r="C14" t="s">
        <v>8</v>
      </c>
      <c r="D14" s="1">
        <v>45571</v>
      </c>
      <c r="E14">
        <v>129</v>
      </c>
      <c r="F14">
        <v>0</v>
      </c>
      <c r="G14">
        <f>IF(Gym_Expansion_Data[[#This Row],[Churned]]=0,1,0)</f>
        <v>1</v>
      </c>
      <c r="H14" t="str">
        <f>IF(Gym_Expansion_Data[[#This Row],[Active Member]]=1,Gym_Expansion_Data[[#This Row],[Tier]],"Inactive")</f>
        <v>Elite</v>
      </c>
    </row>
    <row r="15" spans="1:8" x14ac:dyDescent="0.2">
      <c r="A15">
        <v>1014</v>
      </c>
      <c r="B15" t="s">
        <v>9</v>
      </c>
      <c r="C15" t="s">
        <v>7</v>
      </c>
      <c r="D15" s="1">
        <v>45485</v>
      </c>
      <c r="E15">
        <v>49</v>
      </c>
      <c r="F15">
        <v>0</v>
      </c>
      <c r="G15">
        <f>IF(Gym_Expansion_Data[[#This Row],[Churned]]=0,1,0)</f>
        <v>1</v>
      </c>
      <c r="H15" t="str">
        <f>IF(Gym_Expansion_Data[[#This Row],[Active Member]]=1,Gym_Expansion_Data[[#This Row],[Tier]],"Inactive")</f>
        <v>Basic</v>
      </c>
    </row>
    <row r="16" spans="1:8" x14ac:dyDescent="0.2">
      <c r="A16">
        <v>1015</v>
      </c>
      <c r="B16" t="s">
        <v>11</v>
      </c>
      <c r="C16" t="s">
        <v>7</v>
      </c>
      <c r="D16" s="1">
        <v>45750</v>
      </c>
      <c r="E16">
        <v>49</v>
      </c>
      <c r="F16">
        <v>0</v>
      </c>
      <c r="G16">
        <f>IF(Gym_Expansion_Data[[#This Row],[Churned]]=0,1,0)</f>
        <v>1</v>
      </c>
      <c r="H16" t="str">
        <f>IF(Gym_Expansion_Data[[#This Row],[Active Member]]=1,Gym_Expansion_Data[[#This Row],[Tier]],"Inactive")</f>
        <v>Basic</v>
      </c>
    </row>
    <row r="17" spans="1:8" x14ac:dyDescent="0.2">
      <c r="A17">
        <v>1016</v>
      </c>
      <c r="B17" t="s">
        <v>6</v>
      </c>
      <c r="C17" t="s">
        <v>7</v>
      </c>
      <c r="D17" s="1">
        <v>45678</v>
      </c>
      <c r="E17">
        <v>49</v>
      </c>
      <c r="F17">
        <v>0</v>
      </c>
      <c r="G17">
        <f>IF(Gym_Expansion_Data[[#This Row],[Churned]]=0,1,0)</f>
        <v>1</v>
      </c>
      <c r="H17" t="str">
        <f>IF(Gym_Expansion_Data[[#This Row],[Active Member]]=1,Gym_Expansion_Data[[#This Row],[Tier]],"Inactive")</f>
        <v>Basic</v>
      </c>
    </row>
    <row r="18" spans="1:8" x14ac:dyDescent="0.2">
      <c r="A18">
        <v>1017</v>
      </c>
      <c r="B18" t="s">
        <v>6</v>
      </c>
      <c r="C18" t="s">
        <v>7</v>
      </c>
      <c r="D18" s="1">
        <v>45781</v>
      </c>
      <c r="E18">
        <v>49</v>
      </c>
      <c r="F18">
        <v>0</v>
      </c>
      <c r="G18">
        <f>IF(Gym_Expansion_Data[[#This Row],[Churned]]=0,1,0)</f>
        <v>1</v>
      </c>
      <c r="H18" t="str">
        <f>IF(Gym_Expansion_Data[[#This Row],[Active Member]]=1,Gym_Expansion_Data[[#This Row],[Tier]],"Inactive")</f>
        <v>Basic</v>
      </c>
    </row>
    <row r="19" spans="1:8" x14ac:dyDescent="0.2">
      <c r="A19">
        <v>1018</v>
      </c>
      <c r="B19" t="s">
        <v>9</v>
      </c>
      <c r="C19" t="s">
        <v>12</v>
      </c>
      <c r="D19" s="1">
        <v>45407</v>
      </c>
      <c r="E19">
        <v>89</v>
      </c>
      <c r="F19">
        <v>0</v>
      </c>
      <c r="G19">
        <f>IF(Gym_Expansion_Data[[#This Row],[Churned]]=0,1,0)</f>
        <v>1</v>
      </c>
      <c r="H19" t="str">
        <f>IF(Gym_Expansion_Data[[#This Row],[Active Member]]=1,Gym_Expansion_Data[[#This Row],[Tier]],"Inactive")</f>
        <v>Premium</v>
      </c>
    </row>
    <row r="20" spans="1:8" x14ac:dyDescent="0.2">
      <c r="A20">
        <v>1019</v>
      </c>
      <c r="B20" t="s">
        <v>11</v>
      </c>
      <c r="C20" t="s">
        <v>12</v>
      </c>
      <c r="D20" s="1">
        <v>45947</v>
      </c>
      <c r="E20">
        <v>89</v>
      </c>
      <c r="F20">
        <v>0</v>
      </c>
      <c r="G20">
        <f>IF(Gym_Expansion_Data[[#This Row],[Churned]]=0,1,0)</f>
        <v>1</v>
      </c>
      <c r="H20" t="str">
        <f>IF(Gym_Expansion_Data[[#This Row],[Active Member]]=1,Gym_Expansion_Data[[#This Row],[Tier]],"Inactive")</f>
        <v>Premium</v>
      </c>
    </row>
    <row r="21" spans="1:8" x14ac:dyDescent="0.2">
      <c r="A21">
        <v>1020</v>
      </c>
      <c r="B21" t="s">
        <v>11</v>
      </c>
      <c r="C21" t="s">
        <v>7</v>
      </c>
      <c r="D21" s="1">
        <v>45731</v>
      </c>
      <c r="E21">
        <v>49</v>
      </c>
      <c r="F21">
        <v>0</v>
      </c>
      <c r="G21">
        <f>IF(Gym_Expansion_Data[[#This Row],[Churned]]=0,1,0)</f>
        <v>1</v>
      </c>
      <c r="H21" t="str">
        <f>IF(Gym_Expansion_Data[[#This Row],[Active Member]]=1,Gym_Expansion_Data[[#This Row],[Tier]],"Inactive")</f>
        <v>Basic</v>
      </c>
    </row>
    <row r="22" spans="1:8" x14ac:dyDescent="0.2">
      <c r="A22">
        <v>1021</v>
      </c>
      <c r="B22" t="s">
        <v>6</v>
      </c>
      <c r="C22" t="s">
        <v>8</v>
      </c>
      <c r="D22" s="1">
        <v>45663</v>
      </c>
      <c r="E22">
        <v>129</v>
      </c>
      <c r="F22">
        <v>0</v>
      </c>
      <c r="G22">
        <f>IF(Gym_Expansion_Data[[#This Row],[Churned]]=0,1,0)</f>
        <v>1</v>
      </c>
      <c r="H22" t="str">
        <f>IF(Gym_Expansion_Data[[#This Row],[Active Member]]=1,Gym_Expansion_Data[[#This Row],[Tier]],"Inactive")</f>
        <v>Elite</v>
      </c>
    </row>
    <row r="23" spans="1:8" x14ac:dyDescent="0.2">
      <c r="A23">
        <v>1022</v>
      </c>
      <c r="B23" t="s">
        <v>9</v>
      </c>
      <c r="C23" t="s">
        <v>7</v>
      </c>
      <c r="D23" s="1">
        <v>45717</v>
      </c>
      <c r="E23">
        <v>49</v>
      </c>
      <c r="F23">
        <v>0</v>
      </c>
      <c r="G23">
        <f>IF(Gym_Expansion_Data[[#This Row],[Churned]]=0,1,0)</f>
        <v>1</v>
      </c>
      <c r="H23" t="str">
        <f>IF(Gym_Expansion_Data[[#This Row],[Active Member]]=1,Gym_Expansion_Data[[#This Row],[Tier]],"Inactive")</f>
        <v>Basic</v>
      </c>
    </row>
    <row r="24" spans="1:8" x14ac:dyDescent="0.2">
      <c r="A24">
        <v>1023</v>
      </c>
      <c r="B24" t="s">
        <v>6</v>
      </c>
      <c r="C24" t="s">
        <v>7</v>
      </c>
      <c r="D24" s="1">
        <v>45412</v>
      </c>
      <c r="E24">
        <v>49</v>
      </c>
      <c r="F24">
        <v>0</v>
      </c>
      <c r="G24">
        <f>IF(Gym_Expansion_Data[[#This Row],[Churned]]=0,1,0)</f>
        <v>1</v>
      </c>
      <c r="H24" t="str">
        <f>IF(Gym_Expansion_Data[[#This Row],[Active Member]]=1,Gym_Expansion_Data[[#This Row],[Tier]],"Inactive")</f>
        <v>Basic</v>
      </c>
    </row>
    <row r="25" spans="1:8" x14ac:dyDescent="0.2">
      <c r="A25">
        <v>1024</v>
      </c>
      <c r="B25" t="s">
        <v>6</v>
      </c>
      <c r="C25" t="s">
        <v>7</v>
      </c>
      <c r="D25" s="1">
        <v>45856</v>
      </c>
      <c r="E25">
        <v>49</v>
      </c>
      <c r="F25">
        <v>0</v>
      </c>
      <c r="G25">
        <f>IF(Gym_Expansion_Data[[#This Row],[Churned]]=0,1,0)</f>
        <v>1</v>
      </c>
      <c r="H25" t="str">
        <f>IF(Gym_Expansion_Data[[#This Row],[Active Member]]=1,Gym_Expansion_Data[[#This Row],[Tier]],"Inactive")</f>
        <v>Basic</v>
      </c>
    </row>
    <row r="26" spans="1:8" x14ac:dyDescent="0.2">
      <c r="A26">
        <v>1025</v>
      </c>
      <c r="B26" t="s">
        <v>9</v>
      </c>
      <c r="C26" t="s">
        <v>8</v>
      </c>
      <c r="D26" s="1">
        <v>45353</v>
      </c>
      <c r="E26">
        <v>129</v>
      </c>
      <c r="F26">
        <v>0</v>
      </c>
      <c r="G26">
        <f>IF(Gym_Expansion_Data[[#This Row],[Churned]]=0,1,0)</f>
        <v>1</v>
      </c>
      <c r="H26" t="str">
        <f>IF(Gym_Expansion_Data[[#This Row],[Active Member]]=1,Gym_Expansion_Data[[#This Row],[Tier]],"Inactive")</f>
        <v>Elite</v>
      </c>
    </row>
    <row r="27" spans="1:8" x14ac:dyDescent="0.2">
      <c r="A27">
        <v>1026</v>
      </c>
      <c r="B27" t="s">
        <v>11</v>
      </c>
      <c r="C27" t="s">
        <v>12</v>
      </c>
      <c r="D27" s="1">
        <v>45791</v>
      </c>
      <c r="E27">
        <v>89</v>
      </c>
      <c r="F27">
        <v>0</v>
      </c>
      <c r="G27">
        <f>IF(Gym_Expansion_Data[[#This Row],[Churned]]=0,1,0)</f>
        <v>1</v>
      </c>
      <c r="H27" t="str">
        <f>IF(Gym_Expansion_Data[[#This Row],[Active Member]]=1,Gym_Expansion_Data[[#This Row],[Tier]],"Inactive")</f>
        <v>Premium</v>
      </c>
    </row>
    <row r="28" spans="1:8" x14ac:dyDescent="0.2">
      <c r="A28">
        <v>1027</v>
      </c>
      <c r="B28" t="s">
        <v>11</v>
      </c>
      <c r="C28" t="s">
        <v>7</v>
      </c>
      <c r="D28" s="1">
        <v>45660</v>
      </c>
      <c r="E28">
        <v>49</v>
      </c>
      <c r="F28">
        <v>0</v>
      </c>
      <c r="G28">
        <f>IF(Gym_Expansion_Data[[#This Row],[Churned]]=0,1,0)</f>
        <v>1</v>
      </c>
      <c r="H28" t="str">
        <f>IF(Gym_Expansion_Data[[#This Row],[Active Member]]=1,Gym_Expansion_Data[[#This Row],[Tier]],"Inactive")</f>
        <v>Basic</v>
      </c>
    </row>
    <row r="29" spans="1:8" x14ac:dyDescent="0.2">
      <c r="A29">
        <v>1028</v>
      </c>
      <c r="B29" t="s">
        <v>6</v>
      </c>
      <c r="C29" t="s">
        <v>12</v>
      </c>
      <c r="D29" s="1">
        <v>45466</v>
      </c>
      <c r="E29">
        <v>89</v>
      </c>
      <c r="F29">
        <v>0</v>
      </c>
      <c r="G29">
        <f>IF(Gym_Expansion_Data[[#This Row],[Churned]]=0,1,0)</f>
        <v>1</v>
      </c>
      <c r="H29" t="str">
        <f>IF(Gym_Expansion_Data[[#This Row],[Active Member]]=1,Gym_Expansion_Data[[#This Row],[Tier]],"Inactive")</f>
        <v>Premium</v>
      </c>
    </row>
    <row r="30" spans="1:8" x14ac:dyDescent="0.2">
      <c r="A30">
        <v>1029</v>
      </c>
      <c r="B30" t="s">
        <v>11</v>
      </c>
      <c r="C30" t="s">
        <v>7</v>
      </c>
      <c r="D30" s="1">
        <v>45719</v>
      </c>
      <c r="E30">
        <v>49</v>
      </c>
      <c r="F30">
        <v>0</v>
      </c>
      <c r="G30">
        <f>IF(Gym_Expansion_Data[[#This Row],[Churned]]=0,1,0)</f>
        <v>1</v>
      </c>
      <c r="H30" t="str">
        <f>IF(Gym_Expansion_Data[[#This Row],[Active Member]]=1,Gym_Expansion_Data[[#This Row],[Tier]],"Inactive")</f>
        <v>Basic</v>
      </c>
    </row>
    <row r="31" spans="1:8" x14ac:dyDescent="0.2">
      <c r="A31">
        <v>1030</v>
      </c>
      <c r="B31" t="s">
        <v>6</v>
      </c>
      <c r="C31" t="s">
        <v>7</v>
      </c>
      <c r="D31" s="1">
        <v>45824</v>
      </c>
      <c r="E31">
        <v>49</v>
      </c>
      <c r="F31">
        <v>0</v>
      </c>
      <c r="G31">
        <f>IF(Gym_Expansion_Data[[#This Row],[Churned]]=0,1,0)</f>
        <v>1</v>
      </c>
      <c r="H31" t="str">
        <f>IF(Gym_Expansion_Data[[#This Row],[Active Member]]=1,Gym_Expansion_Data[[#This Row],[Tier]],"Inactive")</f>
        <v>Basic</v>
      </c>
    </row>
    <row r="32" spans="1:8" x14ac:dyDescent="0.2">
      <c r="A32">
        <v>1031</v>
      </c>
      <c r="B32" t="s">
        <v>10</v>
      </c>
      <c r="C32" t="s">
        <v>7</v>
      </c>
      <c r="D32" s="1">
        <v>45587</v>
      </c>
      <c r="E32">
        <v>49</v>
      </c>
      <c r="F32">
        <v>0</v>
      </c>
      <c r="G32">
        <f>IF(Gym_Expansion_Data[[#This Row],[Churned]]=0,1,0)</f>
        <v>1</v>
      </c>
      <c r="H32" t="str">
        <f>IF(Gym_Expansion_Data[[#This Row],[Active Member]]=1,Gym_Expansion_Data[[#This Row],[Tier]],"Inactive")</f>
        <v>Basic</v>
      </c>
    </row>
    <row r="33" spans="1:8" x14ac:dyDescent="0.2">
      <c r="A33">
        <v>1032</v>
      </c>
      <c r="B33" t="s">
        <v>6</v>
      </c>
      <c r="C33" t="s">
        <v>7</v>
      </c>
      <c r="D33" s="1">
        <v>45937</v>
      </c>
      <c r="E33">
        <v>49</v>
      </c>
      <c r="F33">
        <v>0</v>
      </c>
      <c r="G33">
        <f>IF(Gym_Expansion_Data[[#This Row],[Churned]]=0,1,0)</f>
        <v>1</v>
      </c>
      <c r="H33" t="str">
        <f>IF(Gym_Expansion_Data[[#This Row],[Active Member]]=1,Gym_Expansion_Data[[#This Row],[Tier]],"Inactive")</f>
        <v>Basic</v>
      </c>
    </row>
    <row r="34" spans="1:8" x14ac:dyDescent="0.2">
      <c r="A34">
        <v>1033</v>
      </c>
      <c r="B34" t="s">
        <v>11</v>
      </c>
      <c r="C34" t="s">
        <v>7</v>
      </c>
      <c r="D34" s="1">
        <v>45951</v>
      </c>
      <c r="E34">
        <v>49</v>
      </c>
      <c r="F34">
        <v>0</v>
      </c>
      <c r="G34">
        <f>IF(Gym_Expansion_Data[[#This Row],[Churned]]=0,1,0)</f>
        <v>1</v>
      </c>
      <c r="H34" t="str">
        <f>IF(Gym_Expansion_Data[[#This Row],[Active Member]]=1,Gym_Expansion_Data[[#This Row],[Tier]],"Inactive")</f>
        <v>Basic</v>
      </c>
    </row>
    <row r="35" spans="1:8" x14ac:dyDescent="0.2">
      <c r="A35">
        <v>1034</v>
      </c>
      <c r="B35" t="s">
        <v>10</v>
      </c>
      <c r="C35" t="s">
        <v>12</v>
      </c>
      <c r="D35" s="1">
        <v>45928</v>
      </c>
      <c r="E35">
        <v>89</v>
      </c>
      <c r="F35">
        <v>1</v>
      </c>
      <c r="G35">
        <f>IF(Gym_Expansion_Data[[#This Row],[Churned]]=0,1,0)</f>
        <v>0</v>
      </c>
      <c r="H35" t="str">
        <f>IF(Gym_Expansion_Data[[#This Row],[Active Member]]=1,Gym_Expansion_Data[[#This Row],[Tier]],"Inactive")</f>
        <v>Inactive</v>
      </c>
    </row>
    <row r="36" spans="1:8" x14ac:dyDescent="0.2">
      <c r="A36">
        <v>1035</v>
      </c>
      <c r="B36" t="s">
        <v>9</v>
      </c>
      <c r="C36" t="s">
        <v>7</v>
      </c>
      <c r="D36" s="1">
        <v>45923</v>
      </c>
      <c r="E36">
        <v>49</v>
      </c>
      <c r="F36">
        <v>0</v>
      </c>
      <c r="G36">
        <f>IF(Gym_Expansion_Data[[#This Row],[Churned]]=0,1,0)</f>
        <v>1</v>
      </c>
      <c r="H36" t="str">
        <f>IF(Gym_Expansion_Data[[#This Row],[Active Member]]=1,Gym_Expansion_Data[[#This Row],[Tier]],"Inactive")</f>
        <v>Basic</v>
      </c>
    </row>
    <row r="37" spans="1:8" x14ac:dyDescent="0.2">
      <c r="A37">
        <v>1036</v>
      </c>
      <c r="B37" t="s">
        <v>6</v>
      </c>
      <c r="C37" t="s">
        <v>12</v>
      </c>
      <c r="D37" s="1">
        <v>45739</v>
      </c>
      <c r="E37">
        <v>89</v>
      </c>
      <c r="F37">
        <v>0</v>
      </c>
      <c r="G37">
        <f>IF(Gym_Expansion_Data[[#This Row],[Churned]]=0,1,0)</f>
        <v>1</v>
      </c>
      <c r="H37" t="str">
        <f>IF(Gym_Expansion_Data[[#This Row],[Active Member]]=1,Gym_Expansion_Data[[#This Row],[Tier]],"Inactive")</f>
        <v>Premium</v>
      </c>
    </row>
    <row r="38" spans="1:8" x14ac:dyDescent="0.2">
      <c r="A38">
        <v>1037</v>
      </c>
      <c r="B38" t="s">
        <v>9</v>
      </c>
      <c r="C38" t="s">
        <v>7</v>
      </c>
      <c r="D38" s="1">
        <v>45497</v>
      </c>
      <c r="E38">
        <v>49</v>
      </c>
      <c r="F38">
        <v>1</v>
      </c>
      <c r="G38">
        <f>IF(Gym_Expansion_Data[[#This Row],[Churned]]=0,1,0)</f>
        <v>0</v>
      </c>
      <c r="H38" t="str">
        <f>IF(Gym_Expansion_Data[[#This Row],[Active Member]]=1,Gym_Expansion_Data[[#This Row],[Tier]],"Inactive")</f>
        <v>Inactive</v>
      </c>
    </row>
    <row r="39" spans="1:8" x14ac:dyDescent="0.2">
      <c r="A39">
        <v>1038</v>
      </c>
      <c r="B39" t="s">
        <v>9</v>
      </c>
      <c r="C39" t="s">
        <v>8</v>
      </c>
      <c r="D39" s="1">
        <v>45937</v>
      </c>
      <c r="E39">
        <v>129</v>
      </c>
      <c r="F39">
        <v>0</v>
      </c>
      <c r="G39">
        <f>IF(Gym_Expansion_Data[[#This Row],[Churned]]=0,1,0)</f>
        <v>1</v>
      </c>
      <c r="H39" t="str">
        <f>IF(Gym_Expansion_Data[[#This Row],[Active Member]]=1,Gym_Expansion_Data[[#This Row],[Tier]],"Inactive")</f>
        <v>Elite</v>
      </c>
    </row>
    <row r="40" spans="1:8" x14ac:dyDescent="0.2">
      <c r="A40">
        <v>1039</v>
      </c>
      <c r="B40" t="s">
        <v>6</v>
      </c>
      <c r="C40" t="s">
        <v>8</v>
      </c>
      <c r="D40" s="1">
        <v>45983</v>
      </c>
      <c r="E40">
        <v>129</v>
      </c>
      <c r="F40">
        <v>0</v>
      </c>
      <c r="G40">
        <f>IF(Gym_Expansion_Data[[#This Row],[Churned]]=0,1,0)</f>
        <v>1</v>
      </c>
      <c r="H40" t="str">
        <f>IF(Gym_Expansion_Data[[#This Row],[Active Member]]=1,Gym_Expansion_Data[[#This Row],[Tier]],"Inactive")</f>
        <v>Elite</v>
      </c>
    </row>
    <row r="41" spans="1:8" x14ac:dyDescent="0.2">
      <c r="A41">
        <v>1040</v>
      </c>
      <c r="B41" t="s">
        <v>10</v>
      </c>
      <c r="C41" t="s">
        <v>7</v>
      </c>
      <c r="D41" s="1">
        <v>45883</v>
      </c>
      <c r="E41">
        <v>49</v>
      </c>
      <c r="F41">
        <v>0</v>
      </c>
      <c r="G41">
        <f>IF(Gym_Expansion_Data[[#This Row],[Churned]]=0,1,0)</f>
        <v>1</v>
      </c>
      <c r="H41" t="str">
        <f>IF(Gym_Expansion_Data[[#This Row],[Active Member]]=1,Gym_Expansion_Data[[#This Row],[Tier]],"Inactive")</f>
        <v>Basic</v>
      </c>
    </row>
    <row r="42" spans="1:8" x14ac:dyDescent="0.2">
      <c r="A42">
        <v>1041</v>
      </c>
      <c r="B42" t="s">
        <v>11</v>
      </c>
      <c r="C42" t="s">
        <v>12</v>
      </c>
      <c r="D42" s="1">
        <v>45445</v>
      </c>
      <c r="E42">
        <v>89</v>
      </c>
      <c r="F42">
        <v>0</v>
      </c>
      <c r="G42">
        <f>IF(Gym_Expansion_Data[[#This Row],[Churned]]=0,1,0)</f>
        <v>1</v>
      </c>
      <c r="H42" t="str">
        <f>IF(Gym_Expansion_Data[[#This Row],[Active Member]]=1,Gym_Expansion_Data[[#This Row],[Tier]],"Inactive")</f>
        <v>Premium</v>
      </c>
    </row>
    <row r="43" spans="1:8" x14ac:dyDescent="0.2">
      <c r="A43">
        <v>1042</v>
      </c>
      <c r="B43" t="s">
        <v>11</v>
      </c>
      <c r="C43" t="s">
        <v>7</v>
      </c>
      <c r="D43" s="1">
        <v>45481</v>
      </c>
      <c r="E43">
        <v>49</v>
      </c>
      <c r="F43">
        <v>0</v>
      </c>
      <c r="G43">
        <f>IF(Gym_Expansion_Data[[#This Row],[Churned]]=0,1,0)</f>
        <v>1</v>
      </c>
      <c r="H43" t="str">
        <f>IF(Gym_Expansion_Data[[#This Row],[Active Member]]=1,Gym_Expansion_Data[[#This Row],[Tier]],"Inactive")</f>
        <v>Basic</v>
      </c>
    </row>
    <row r="44" spans="1:8" x14ac:dyDescent="0.2">
      <c r="A44">
        <v>1043</v>
      </c>
      <c r="B44" t="s">
        <v>9</v>
      </c>
      <c r="C44" t="s">
        <v>7</v>
      </c>
      <c r="D44" s="1">
        <v>45334</v>
      </c>
      <c r="E44">
        <v>49</v>
      </c>
      <c r="F44">
        <v>0</v>
      </c>
      <c r="G44">
        <f>IF(Gym_Expansion_Data[[#This Row],[Churned]]=0,1,0)</f>
        <v>1</v>
      </c>
      <c r="H44" t="str">
        <f>IF(Gym_Expansion_Data[[#This Row],[Active Member]]=1,Gym_Expansion_Data[[#This Row],[Tier]],"Inactive")</f>
        <v>Basic</v>
      </c>
    </row>
    <row r="45" spans="1:8" x14ac:dyDescent="0.2">
      <c r="A45">
        <v>1044</v>
      </c>
      <c r="B45" t="s">
        <v>6</v>
      </c>
      <c r="C45" t="s">
        <v>12</v>
      </c>
      <c r="D45" s="1">
        <v>45678</v>
      </c>
      <c r="E45">
        <v>89</v>
      </c>
      <c r="F45">
        <v>0</v>
      </c>
      <c r="G45">
        <f>IF(Gym_Expansion_Data[[#This Row],[Churned]]=0,1,0)</f>
        <v>1</v>
      </c>
      <c r="H45" t="str">
        <f>IF(Gym_Expansion_Data[[#This Row],[Active Member]]=1,Gym_Expansion_Data[[#This Row],[Tier]],"Inactive")</f>
        <v>Premium</v>
      </c>
    </row>
    <row r="46" spans="1:8" x14ac:dyDescent="0.2">
      <c r="A46">
        <v>1045</v>
      </c>
      <c r="B46" t="s">
        <v>11</v>
      </c>
      <c r="C46" t="s">
        <v>7</v>
      </c>
      <c r="D46" s="1">
        <v>45943</v>
      </c>
      <c r="E46">
        <v>49</v>
      </c>
      <c r="F46">
        <v>0</v>
      </c>
      <c r="G46">
        <f>IF(Gym_Expansion_Data[[#This Row],[Churned]]=0,1,0)</f>
        <v>1</v>
      </c>
      <c r="H46" t="str">
        <f>IF(Gym_Expansion_Data[[#This Row],[Active Member]]=1,Gym_Expansion_Data[[#This Row],[Tier]],"Inactive")</f>
        <v>Basic</v>
      </c>
    </row>
    <row r="47" spans="1:8" x14ac:dyDescent="0.2">
      <c r="A47">
        <v>1046</v>
      </c>
      <c r="B47" t="s">
        <v>6</v>
      </c>
      <c r="C47" t="s">
        <v>7</v>
      </c>
      <c r="D47" s="1">
        <v>45350</v>
      </c>
      <c r="E47">
        <v>49</v>
      </c>
      <c r="F47">
        <v>0</v>
      </c>
      <c r="G47">
        <f>IF(Gym_Expansion_Data[[#This Row],[Churned]]=0,1,0)</f>
        <v>1</v>
      </c>
      <c r="H47" t="str">
        <f>IF(Gym_Expansion_Data[[#This Row],[Active Member]]=1,Gym_Expansion_Data[[#This Row],[Tier]],"Inactive")</f>
        <v>Basic</v>
      </c>
    </row>
    <row r="48" spans="1:8" x14ac:dyDescent="0.2">
      <c r="A48">
        <v>1047</v>
      </c>
      <c r="B48" t="s">
        <v>6</v>
      </c>
      <c r="C48" t="s">
        <v>7</v>
      </c>
      <c r="D48" s="1">
        <v>45454</v>
      </c>
      <c r="E48">
        <v>49</v>
      </c>
      <c r="F48">
        <v>0</v>
      </c>
      <c r="G48">
        <f>IF(Gym_Expansion_Data[[#This Row],[Churned]]=0,1,0)</f>
        <v>1</v>
      </c>
      <c r="H48" t="str">
        <f>IF(Gym_Expansion_Data[[#This Row],[Active Member]]=1,Gym_Expansion_Data[[#This Row],[Tier]],"Inactive")</f>
        <v>Basic</v>
      </c>
    </row>
    <row r="49" spans="1:8" x14ac:dyDescent="0.2">
      <c r="A49">
        <v>1048</v>
      </c>
      <c r="B49" t="s">
        <v>10</v>
      </c>
      <c r="C49" t="s">
        <v>8</v>
      </c>
      <c r="D49" s="1">
        <v>45581</v>
      </c>
      <c r="E49">
        <v>129</v>
      </c>
      <c r="F49">
        <v>0</v>
      </c>
      <c r="G49">
        <f>IF(Gym_Expansion_Data[[#This Row],[Churned]]=0,1,0)</f>
        <v>1</v>
      </c>
      <c r="H49" t="str">
        <f>IF(Gym_Expansion_Data[[#This Row],[Active Member]]=1,Gym_Expansion_Data[[#This Row],[Tier]],"Inactive")</f>
        <v>Elite</v>
      </c>
    </row>
    <row r="50" spans="1:8" x14ac:dyDescent="0.2">
      <c r="A50">
        <v>1049</v>
      </c>
      <c r="B50" t="s">
        <v>6</v>
      </c>
      <c r="C50" t="s">
        <v>7</v>
      </c>
      <c r="D50" s="1">
        <v>45358</v>
      </c>
      <c r="E50">
        <v>49</v>
      </c>
      <c r="F50">
        <v>0</v>
      </c>
      <c r="G50">
        <f>IF(Gym_Expansion_Data[[#This Row],[Churned]]=0,1,0)</f>
        <v>1</v>
      </c>
      <c r="H50" t="str">
        <f>IF(Gym_Expansion_Data[[#This Row],[Active Member]]=1,Gym_Expansion_Data[[#This Row],[Tier]],"Inactive")</f>
        <v>Basic</v>
      </c>
    </row>
    <row r="51" spans="1:8" x14ac:dyDescent="0.2">
      <c r="A51">
        <v>1050</v>
      </c>
      <c r="B51" t="s">
        <v>10</v>
      </c>
      <c r="C51" t="s">
        <v>8</v>
      </c>
      <c r="D51" s="1">
        <v>45805</v>
      </c>
      <c r="E51">
        <v>129</v>
      </c>
      <c r="F51">
        <v>1</v>
      </c>
      <c r="G51">
        <f>IF(Gym_Expansion_Data[[#This Row],[Churned]]=0,1,0)</f>
        <v>0</v>
      </c>
      <c r="H51" t="str">
        <f>IF(Gym_Expansion_Data[[#This Row],[Active Member]]=1,Gym_Expansion_Data[[#This Row],[Tier]],"Inactive")</f>
        <v>Inactive</v>
      </c>
    </row>
    <row r="52" spans="1:8" x14ac:dyDescent="0.2">
      <c r="A52">
        <v>1051</v>
      </c>
      <c r="B52" t="s">
        <v>9</v>
      </c>
      <c r="C52" t="s">
        <v>12</v>
      </c>
      <c r="D52" s="1">
        <v>45976</v>
      </c>
      <c r="E52">
        <v>89</v>
      </c>
      <c r="F52">
        <v>0</v>
      </c>
      <c r="G52">
        <f>IF(Gym_Expansion_Data[[#This Row],[Churned]]=0,1,0)</f>
        <v>1</v>
      </c>
      <c r="H52" t="str">
        <f>IF(Gym_Expansion_Data[[#This Row],[Active Member]]=1,Gym_Expansion_Data[[#This Row],[Tier]],"Inactive")</f>
        <v>Premium</v>
      </c>
    </row>
    <row r="53" spans="1:8" x14ac:dyDescent="0.2">
      <c r="A53">
        <v>1052</v>
      </c>
      <c r="B53" t="s">
        <v>9</v>
      </c>
      <c r="C53" t="s">
        <v>12</v>
      </c>
      <c r="D53" s="1">
        <v>45308</v>
      </c>
      <c r="E53">
        <v>89</v>
      </c>
      <c r="F53">
        <v>0</v>
      </c>
      <c r="G53">
        <f>IF(Gym_Expansion_Data[[#This Row],[Churned]]=0,1,0)</f>
        <v>1</v>
      </c>
      <c r="H53" t="str">
        <f>IF(Gym_Expansion_Data[[#This Row],[Active Member]]=1,Gym_Expansion_Data[[#This Row],[Tier]],"Inactive")</f>
        <v>Premium</v>
      </c>
    </row>
    <row r="54" spans="1:8" x14ac:dyDescent="0.2">
      <c r="A54">
        <v>1053</v>
      </c>
      <c r="B54" t="s">
        <v>11</v>
      </c>
      <c r="C54" t="s">
        <v>12</v>
      </c>
      <c r="D54" s="1">
        <v>45563</v>
      </c>
      <c r="E54">
        <v>89</v>
      </c>
      <c r="F54">
        <v>0</v>
      </c>
      <c r="G54">
        <f>IF(Gym_Expansion_Data[[#This Row],[Churned]]=0,1,0)</f>
        <v>1</v>
      </c>
      <c r="H54" t="str">
        <f>IF(Gym_Expansion_Data[[#This Row],[Active Member]]=1,Gym_Expansion_Data[[#This Row],[Tier]],"Inactive")</f>
        <v>Premium</v>
      </c>
    </row>
    <row r="55" spans="1:8" x14ac:dyDescent="0.2">
      <c r="A55">
        <v>1054</v>
      </c>
      <c r="B55" t="s">
        <v>10</v>
      </c>
      <c r="C55" t="s">
        <v>7</v>
      </c>
      <c r="D55" s="1">
        <v>45452</v>
      </c>
      <c r="E55">
        <v>49</v>
      </c>
      <c r="F55">
        <v>0</v>
      </c>
      <c r="G55">
        <f>IF(Gym_Expansion_Data[[#This Row],[Churned]]=0,1,0)</f>
        <v>1</v>
      </c>
      <c r="H55" t="str">
        <f>IF(Gym_Expansion_Data[[#This Row],[Active Member]]=1,Gym_Expansion_Data[[#This Row],[Tier]],"Inactive")</f>
        <v>Basic</v>
      </c>
    </row>
    <row r="56" spans="1:8" x14ac:dyDescent="0.2">
      <c r="A56">
        <v>1055</v>
      </c>
      <c r="B56" t="s">
        <v>9</v>
      </c>
      <c r="C56" t="s">
        <v>8</v>
      </c>
      <c r="D56" s="1">
        <v>45404</v>
      </c>
      <c r="E56">
        <v>129</v>
      </c>
      <c r="F56">
        <v>1</v>
      </c>
      <c r="G56">
        <f>IF(Gym_Expansion_Data[[#This Row],[Churned]]=0,1,0)</f>
        <v>0</v>
      </c>
      <c r="H56" t="str">
        <f>IF(Gym_Expansion_Data[[#This Row],[Active Member]]=1,Gym_Expansion_Data[[#This Row],[Tier]],"Inactive")</f>
        <v>Inactive</v>
      </c>
    </row>
    <row r="57" spans="1:8" x14ac:dyDescent="0.2">
      <c r="A57">
        <v>1056</v>
      </c>
      <c r="B57" t="s">
        <v>10</v>
      </c>
      <c r="C57" t="s">
        <v>12</v>
      </c>
      <c r="D57" s="1">
        <v>45865</v>
      </c>
      <c r="E57">
        <v>89</v>
      </c>
      <c r="F57">
        <v>0</v>
      </c>
      <c r="G57">
        <f>IF(Gym_Expansion_Data[[#This Row],[Churned]]=0,1,0)</f>
        <v>1</v>
      </c>
      <c r="H57" t="str">
        <f>IF(Gym_Expansion_Data[[#This Row],[Active Member]]=1,Gym_Expansion_Data[[#This Row],[Tier]],"Inactive")</f>
        <v>Premium</v>
      </c>
    </row>
    <row r="58" spans="1:8" x14ac:dyDescent="0.2">
      <c r="A58">
        <v>1057</v>
      </c>
      <c r="B58" t="s">
        <v>10</v>
      </c>
      <c r="C58" t="s">
        <v>12</v>
      </c>
      <c r="D58" s="1">
        <v>45733</v>
      </c>
      <c r="E58">
        <v>89</v>
      </c>
      <c r="F58">
        <v>0</v>
      </c>
      <c r="G58">
        <f>IF(Gym_Expansion_Data[[#This Row],[Churned]]=0,1,0)</f>
        <v>1</v>
      </c>
      <c r="H58" t="str">
        <f>IF(Gym_Expansion_Data[[#This Row],[Active Member]]=1,Gym_Expansion_Data[[#This Row],[Tier]],"Inactive")</f>
        <v>Premium</v>
      </c>
    </row>
    <row r="59" spans="1:8" x14ac:dyDescent="0.2">
      <c r="A59">
        <v>1058</v>
      </c>
      <c r="B59" t="s">
        <v>9</v>
      </c>
      <c r="C59" t="s">
        <v>12</v>
      </c>
      <c r="D59" s="1">
        <v>45509</v>
      </c>
      <c r="E59">
        <v>89</v>
      </c>
      <c r="F59">
        <v>0</v>
      </c>
      <c r="G59">
        <f>IF(Gym_Expansion_Data[[#This Row],[Churned]]=0,1,0)</f>
        <v>1</v>
      </c>
      <c r="H59" t="str">
        <f>IF(Gym_Expansion_Data[[#This Row],[Active Member]]=1,Gym_Expansion_Data[[#This Row],[Tier]],"Inactive")</f>
        <v>Premium</v>
      </c>
    </row>
    <row r="60" spans="1:8" x14ac:dyDescent="0.2">
      <c r="A60">
        <v>1059</v>
      </c>
      <c r="B60" t="s">
        <v>9</v>
      </c>
      <c r="C60" t="s">
        <v>12</v>
      </c>
      <c r="D60" s="1">
        <v>45772</v>
      </c>
      <c r="E60">
        <v>89</v>
      </c>
      <c r="F60">
        <v>0</v>
      </c>
      <c r="G60">
        <f>IF(Gym_Expansion_Data[[#This Row],[Churned]]=0,1,0)</f>
        <v>1</v>
      </c>
      <c r="H60" t="str">
        <f>IF(Gym_Expansion_Data[[#This Row],[Active Member]]=1,Gym_Expansion_Data[[#This Row],[Tier]],"Inactive")</f>
        <v>Premium</v>
      </c>
    </row>
    <row r="61" spans="1:8" x14ac:dyDescent="0.2">
      <c r="A61">
        <v>1060</v>
      </c>
      <c r="B61" t="s">
        <v>11</v>
      </c>
      <c r="C61" t="s">
        <v>12</v>
      </c>
      <c r="D61" s="1">
        <v>45957</v>
      </c>
      <c r="E61">
        <v>89</v>
      </c>
      <c r="F61">
        <v>0</v>
      </c>
      <c r="G61">
        <f>IF(Gym_Expansion_Data[[#This Row],[Churned]]=0,1,0)</f>
        <v>1</v>
      </c>
      <c r="H61" t="str">
        <f>IF(Gym_Expansion_Data[[#This Row],[Active Member]]=1,Gym_Expansion_Data[[#This Row],[Tier]],"Inactive")</f>
        <v>Premium</v>
      </c>
    </row>
    <row r="62" spans="1:8" x14ac:dyDescent="0.2">
      <c r="A62">
        <v>1061</v>
      </c>
      <c r="B62" t="s">
        <v>10</v>
      </c>
      <c r="C62" t="s">
        <v>12</v>
      </c>
      <c r="D62" s="1">
        <v>45389</v>
      </c>
      <c r="E62">
        <v>89</v>
      </c>
      <c r="F62">
        <v>0</v>
      </c>
      <c r="G62">
        <f>IF(Gym_Expansion_Data[[#This Row],[Churned]]=0,1,0)</f>
        <v>1</v>
      </c>
      <c r="H62" t="str">
        <f>IF(Gym_Expansion_Data[[#This Row],[Active Member]]=1,Gym_Expansion_Data[[#This Row],[Tier]],"Inactive")</f>
        <v>Premium</v>
      </c>
    </row>
    <row r="63" spans="1:8" x14ac:dyDescent="0.2">
      <c r="A63">
        <v>1062</v>
      </c>
      <c r="B63" t="s">
        <v>6</v>
      </c>
      <c r="C63" t="s">
        <v>7</v>
      </c>
      <c r="D63" s="1">
        <v>45425</v>
      </c>
      <c r="E63">
        <v>49</v>
      </c>
      <c r="F63">
        <v>0</v>
      </c>
      <c r="G63">
        <f>IF(Gym_Expansion_Data[[#This Row],[Churned]]=0,1,0)</f>
        <v>1</v>
      </c>
      <c r="H63" t="str">
        <f>IF(Gym_Expansion_Data[[#This Row],[Active Member]]=1,Gym_Expansion_Data[[#This Row],[Tier]],"Inactive")</f>
        <v>Basic</v>
      </c>
    </row>
    <row r="64" spans="1:8" x14ac:dyDescent="0.2">
      <c r="A64">
        <v>1063</v>
      </c>
      <c r="B64" t="s">
        <v>10</v>
      </c>
      <c r="C64" t="s">
        <v>7</v>
      </c>
      <c r="D64" s="1">
        <v>45860</v>
      </c>
      <c r="E64">
        <v>49</v>
      </c>
      <c r="F64">
        <v>0</v>
      </c>
      <c r="G64">
        <f>IF(Gym_Expansion_Data[[#This Row],[Churned]]=0,1,0)</f>
        <v>1</v>
      </c>
      <c r="H64" t="str">
        <f>IF(Gym_Expansion_Data[[#This Row],[Active Member]]=1,Gym_Expansion_Data[[#This Row],[Tier]],"Inactive")</f>
        <v>Basic</v>
      </c>
    </row>
    <row r="65" spans="1:8" x14ac:dyDescent="0.2">
      <c r="A65">
        <v>1064</v>
      </c>
      <c r="B65" t="s">
        <v>11</v>
      </c>
      <c r="C65" t="s">
        <v>7</v>
      </c>
      <c r="D65" s="1">
        <v>45582</v>
      </c>
      <c r="E65">
        <v>49</v>
      </c>
      <c r="F65">
        <v>0</v>
      </c>
      <c r="G65">
        <f>IF(Gym_Expansion_Data[[#This Row],[Churned]]=0,1,0)</f>
        <v>1</v>
      </c>
      <c r="H65" t="str">
        <f>IF(Gym_Expansion_Data[[#This Row],[Active Member]]=1,Gym_Expansion_Data[[#This Row],[Tier]],"Inactive")</f>
        <v>Basic</v>
      </c>
    </row>
    <row r="66" spans="1:8" x14ac:dyDescent="0.2">
      <c r="A66">
        <v>1065</v>
      </c>
      <c r="B66" t="s">
        <v>6</v>
      </c>
      <c r="C66" t="s">
        <v>12</v>
      </c>
      <c r="D66" s="1">
        <v>45744</v>
      </c>
      <c r="E66">
        <v>89</v>
      </c>
      <c r="F66">
        <v>0</v>
      </c>
      <c r="G66">
        <f>IF(Gym_Expansion_Data[[#This Row],[Churned]]=0,1,0)</f>
        <v>1</v>
      </c>
      <c r="H66" t="str">
        <f>IF(Gym_Expansion_Data[[#This Row],[Active Member]]=1,Gym_Expansion_Data[[#This Row],[Tier]],"Inactive")</f>
        <v>Premium</v>
      </c>
    </row>
    <row r="67" spans="1:8" x14ac:dyDescent="0.2">
      <c r="A67">
        <v>1066</v>
      </c>
      <c r="B67" t="s">
        <v>9</v>
      </c>
      <c r="C67" t="s">
        <v>12</v>
      </c>
      <c r="D67" s="1">
        <v>45702</v>
      </c>
      <c r="E67">
        <v>89</v>
      </c>
      <c r="F67">
        <v>0</v>
      </c>
      <c r="G67">
        <f>IF(Gym_Expansion_Data[[#This Row],[Churned]]=0,1,0)</f>
        <v>1</v>
      </c>
      <c r="H67" t="str">
        <f>IF(Gym_Expansion_Data[[#This Row],[Active Member]]=1,Gym_Expansion_Data[[#This Row],[Tier]],"Inactive")</f>
        <v>Premium</v>
      </c>
    </row>
    <row r="68" spans="1:8" x14ac:dyDescent="0.2">
      <c r="A68">
        <v>1067</v>
      </c>
      <c r="B68" t="s">
        <v>9</v>
      </c>
      <c r="C68" t="s">
        <v>12</v>
      </c>
      <c r="D68" s="1">
        <v>45756</v>
      </c>
      <c r="E68">
        <v>89</v>
      </c>
      <c r="F68">
        <v>1</v>
      </c>
      <c r="G68">
        <f>IF(Gym_Expansion_Data[[#This Row],[Churned]]=0,1,0)</f>
        <v>0</v>
      </c>
      <c r="H68" t="str">
        <f>IF(Gym_Expansion_Data[[#This Row],[Active Member]]=1,Gym_Expansion_Data[[#This Row],[Tier]],"Inactive")</f>
        <v>Inactive</v>
      </c>
    </row>
    <row r="69" spans="1:8" x14ac:dyDescent="0.2">
      <c r="A69">
        <v>1068</v>
      </c>
      <c r="B69" t="s">
        <v>6</v>
      </c>
      <c r="C69" t="s">
        <v>12</v>
      </c>
      <c r="D69" s="1">
        <v>45482</v>
      </c>
      <c r="E69">
        <v>89</v>
      </c>
      <c r="F69">
        <v>0</v>
      </c>
      <c r="G69">
        <f>IF(Gym_Expansion_Data[[#This Row],[Churned]]=0,1,0)</f>
        <v>1</v>
      </c>
      <c r="H69" t="str">
        <f>IF(Gym_Expansion_Data[[#This Row],[Active Member]]=1,Gym_Expansion_Data[[#This Row],[Tier]],"Inactive")</f>
        <v>Premium</v>
      </c>
    </row>
    <row r="70" spans="1:8" x14ac:dyDescent="0.2">
      <c r="A70">
        <v>1069</v>
      </c>
      <c r="B70" t="s">
        <v>10</v>
      </c>
      <c r="C70" t="s">
        <v>7</v>
      </c>
      <c r="D70" s="1">
        <v>45440</v>
      </c>
      <c r="E70">
        <v>49</v>
      </c>
      <c r="F70">
        <v>0</v>
      </c>
      <c r="G70">
        <f>IF(Gym_Expansion_Data[[#This Row],[Churned]]=0,1,0)</f>
        <v>1</v>
      </c>
      <c r="H70" t="str">
        <f>IF(Gym_Expansion_Data[[#This Row],[Active Member]]=1,Gym_Expansion_Data[[#This Row],[Tier]],"Inactive")</f>
        <v>Basic</v>
      </c>
    </row>
    <row r="71" spans="1:8" x14ac:dyDescent="0.2">
      <c r="A71">
        <v>1070</v>
      </c>
      <c r="B71" t="s">
        <v>9</v>
      </c>
      <c r="C71" t="s">
        <v>7</v>
      </c>
      <c r="D71" s="1">
        <v>45602</v>
      </c>
      <c r="E71">
        <v>49</v>
      </c>
      <c r="F71">
        <v>0</v>
      </c>
      <c r="G71">
        <f>IF(Gym_Expansion_Data[[#This Row],[Churned]]=0,1,0)</f>
        <v>1</v>
      </c>
      <c r="H71" t="str">
        <f>IF(Gym_Expansion_Data[[#This Row],[Active Member]]=1,Gym_Expansion_Data[[#This Row],[Tier]],"Inactive")</f>
        <v>Basic</v>
      </c>
    </row>
    <row r="72" spans="1:8" x14ac:dyDescent="0.2">
      <c r="A72">
        <v>1071</v>
      </c>
      <c r="B72" t="s">
        <v>9</v>
      </c>
      <c r="C72" t="s">
        <v>7</v>
      </c>
      <c r="D72" s="1">
        <v>45374</v>
      </c>
      <c r="E72">
        <v>49</v>
      </c>
      <c r="F72">
        <v>0</v>
      </c>
      <c r="G72">
        <f>IF(Gym_Expansion_Data[[#This Row],[Churned]]=0,1,0)</f>
        <v>1</v>
      </c>
      <c r="H72" t="str">
        <f>IF(Gym_Expansion_Data[[#This Row],[Active Member]]=1,Gym_Expansion_Data[[#This Row],[Tier]],"Inactive")</f>
        <v>Basic</v>
      </c>
    </row>
    <row r="73" spans="1:8" x14ac:dyDescent="0.2">
      <c r="A73">
        <v>1072</v>
      </c>
      <c r="B73" t="s">
        <v>9</v>
      </c>
      <c r="C73" t="s">
        <v>7</v>
      </c>
      <c r="D73" s="1">
        <v>45524</v>
      </c>
      <c r="E73">
        <v>49</v>
      </c>
      <c r="F73">
        <v>0</v>
      </c>
      <c r="G73">
        <f>IF(Gym_Expansion_Data[[#This Row],[Churned]]=0,1,0)</f>
        <v>1</v>
      </c>
      <c r="H73" t="str">
        <f>IF(Gym_Expansion_Data[[#This Row],[Active Member]]=1,Gym_Expansion_Data[[#This Row],[Tier]],"Inactive")</f>
        <v>Basic</v>
      </c>
    </row>
    <row r="74" spans="1:8" x14ac:dyDescent="0.2">
      <c r="A74">
        <v>1073</v>
      </c>
      <c r="B74" t="s">
        <v>9</v>
      </c>
      <c r="C74" t="s">
        <v>8</v>
      </c>
      <c r="D74" s="1">
        <v>45992</v>
      </c>
      <c r="E74">
        <v>129</v>
      </c>
      <c r="F74">
        <v>0</v>
      </c>
      <c r="G74">
        <f>IF(Gym_Expansion_Data[[#This Row],[Churned]]=0,1,0)</f>
        <v>1</v>
      </c>
      <c r="H74" t="str">
        <f>IF(Gym_Expansion_Data[[#This Row],[Active Member]]=1,Gym_Expansion_Data[[#This Row],[Tier]],"Inactive")</f>
        <v>Elite</v>
      </c>
    </row>
    <row r="75" spans="1:8" x14ac:dyDescent="0.2">
      <c r="A75">
        <v>1074</v>
      </c>
      <c r="B75" t="s">
        <v>11</v>
      </c>
      <c r="C75" t="s">
        <v>8</v>
      </c>
      <c r="D75" s="1">
        <v>45916</v>
      </c>
      <c r="E75">
        <v>129</v>
      </c>
      <c r="F75">
        <v>0</v>
      </c>
      <c r="G75">
        <f>IF(Gym_Expansion_Data[[#This Row],[Churned]]=0,1,0)</f>
        <v>1</v>
      </c>
      <c r="H75" t="str">
        <f>IF(Gym_Expansion_Data[[#This Row],[Active Member]]=1,Gym_Expansion_Data[[#This Row],[Tier]],"Inactive")</f>
        <v>Elite</v>
      </c>
    </row>
    <row r="76" spans="1:8" x14ac:dyDescent="0.2">
      <c r="A76">
        <v>1075</v>
      </c>
      <c r="B76" t="s">
        <v>9</v>
      </c>
      <c r="C76" t="s">
        <v>7</v>
      </c>
      <c r="D76" s="1">
        <v>45545</v>
      </c>
      <c r="E76">
        <v>49</v>
      </c>
      <c r="F76">
        <v>1</v>
      </c>
      <c r="G76">
        <f>IF(Gym_Expansion_Data[[#This Row],[Churned]]=0,1,0)</f>
        <v>0</v>
      </c>
      <c r="H76" t="str">
        <f>IF(Gym_Expansion_Data[[#This Row],[Active Member]]=1,Gym_Expansion_Data[[#This Row],[Tier]],"Inactive")</f>
        <v>Inactive</v>
      </c>
    </row>
    <row r="77" spans="1:8" x14ac:dyDescent="0.2">
      <c r="A77">
        <v>1076</v>
      </c>
      <c r="B77" t="s">
        <v>10</v>
      </c>
      <c r="C77" t="s">
        <v>7</v>
      </c>
      <c r="D77" s="1">
        <v>45313</v>
      </c>
      <c r="E77">
        <v>49</v>
      </c>
      <c r="F77">
        <v>0</v>
      </c>
      <c r="G77">
        <f>IF(Gym_Expansion_Data[[#This Row],[Churned]]=0,1,0)</f>
        <v>1</v>
      </c>
      <c r="H77" t="str">
        <f>IF(Gym_Expansion_Data[[#This Row],[Active Member]]=1,Gym_Expansion_Data[[#This Row],[Tier]],"Inactive")</f>
        <v>Basic</v>
      </c>
    </row>
    <row r="78" spans="1:8" x14ac:dyDescent="0.2">
      <c r="A78">
        <v>1077</v>
      </c>
      <c r="B78" t="s">
        <v>9</v>
      </c>
      <c r="C78" t="s">
        <v>8</v>
      </c>
      <c r="D78" s="1">
        <v>45517</v>
      </c>
      <c r="E78">
        <v>129</v>
      </c>
      <c r="F78">
        <v>0</v>
      </c>
      <c r="G78">
        <f>IF(Gym_Expansion_Data[[#This Row],[Churned]]=0,1,0)</f>
        <v>1</v>
      </c>
      <c r="H78" t="str">
        <f>IF(Gym_Expansion_Data[[#This Row],[Active Member]]=1,Gym_Expansion_Data[[#This Row],[Tier]],"Inactive")</f>
        <v>Elite</v>
      </c>
    </row>
    <row r="79" spans="1:8" x14ac:dyDescent="0.2">
      <c r="A79">
        <v>1078</v>
      </c>
      <c r="B79" t="s">
        <v>11</v>
      </c>
      <c r="C79" t="s">
        <v>7</v>
      </c>
      <c r="D79" s="1">
        <v>45840</v>
      </c>
      <c r="E79">
        <v>49</v>
      </c>
      <c r="F79">
        <v>0</v>
      </c>
      <c r="G79">
        <f>IF(Gym_Expansion_Data[[#This Row],[Churned]]=0,1,0)</f>
        <v>1</v>
      </c>
      <c r="H79" t="str">
        <f>IF(Gym_Expansion_Data[[#This Row],[Active Member]]=1,Gym_Expansion_Data[[#This Row],[Tier]],"Inactive")</f>
        <v>Basic</v>
      </c>
    </row>
    <row r="80" spans="1:8" x14ac:dyDescent="0.2">
      <c r="A80">
        <v>1079</v>
      </c>
      <c r="B80" t="s">
        <v>11</v>
      </c>
      <c r="C80" t="s">
        <v>7</v>
      </c>
      <c r="D80" s="1">
        <v>45711</v>
      </c>
      <c r="E80">
        <v>49</v>
      </c>
      <c r="F80">
        <v>0</v>
      </c>
      <c r="G80">
        <f>IF(Gym_Expansion_Data[[#This Row],[Churned]]=0,1,0)</f>
        <v>1</v>
      </c>
      <c r="H80" t="str">
        <f>IF(Gym_Expansion_Data[[#This Row],[Active Member]]=1,Gym_Expansion_Data[[#This Row],[Tier]],"Inactive")</f>
        <v>Basic</v>
      </c>
    </row>
    <row r="81" spans="1:8" x14ac:dyDescent="0.2">
      <c r="A81">
        <v>1080</v>
      </c>
      <c r="B81" t="s">
        <v>9</v>
      </c>
      <c r="C81" t="s">
        <v>7</v>
      </c>
      <c r="D81" s="1">
        <v>45569</v>
      </c>
      <c r="E81">
        <v>49</v>
      </c>
      <c r="F81">
        <v>1</v>
      </c>
      <c r="G81">
        <f>IF(Gym_Expansion_Data[[#This Row],[Churned]]=0,1,0)</f>
        <v>0</v>
      </c>
      <c r="H81" t="str">
        <f>IF(Gym_Expansion_Data[[#This Row],[Active Member]]=1,Gym_Expansion_Data[[#This Row],[Tier]],"Inactive")</f>
        <v>Inactive</v>
      </c>
    </row>
    <row r="82" spans="1:8" x14ac:dyDescent="0.2">
      <c r="A82">
        <v>1081</v>
      </c>
      <c r="B82" t="s">
        <v>11</v>
      </c>
      <c r="C82" t="s">
        <v>8</v>
      </c>
      <c r="D82" s="1">
        <v>45854</v>
      </c>
      <c r="E82">
        <v>129</v>
      </c>
      <c r="F82">
        <v>0</v>
      </c>
      <c r="G82">
        <f>IF(Gym_Expansion_Data[[#This Row],[Churned]]=0,1,0)</f>
        <v>1</v>
      </c>
      <c r="H82" t="str">
        <f>IF(Gym_Expansion_Data[[#This Row],[Active Member]]=1,Gym_Expansion_Data[[#This Row],[Tier]],"Inactive")</f>
        <v>Elite</v>
      </c>
    </row>
    <row r="83" spans="1:8" x14ac:dyDescent="0.2">
      <c r="A83">
        <v>1082</v>
      </c>
      <c r="B83" t="s">
        <v>9</v>
      </c>
      <c r="C83" t="s">
        <v>8</v>
      </c>
      <c r="D83" s="1">
        <v>45796</v>
      </c>
      <c r="E83">
        <v>129</v>
      </c>
      <c r="F83">
        <v>0</v>
      </c>
      <c r="G83">
        <f>IF(Gym_Expansion_Data[[#This Row],[Churned]]=0,1,0)</f>
        <v>1</v>
      </c>
      <c r="H83" t="str">
        <f>IF(Gym_Expansion_Data[[#This Row],[Active Member]]=1,Gym_Expansion_Data[[#This Row],[Tier]],"Inactive")</f>
        <v>Elite</v>
      </c>
    </row>
    <row r="84" spans="1:8" x14ac:dyDescent="0.2">
      <c r="A84">
        <v>1083</v>
      </c>
      <c r="B84" t="s">
        <v>11</v>
      </c>
      <c r="C84" t="s">
        <v>7</v>
      </c>
      <c r="D84" s="1">
        <v>45727</v>
      </c>
      <c r="E84">
        <v>49</v>
      </c>
      <c r="F84">
        <v>0</v>
      </c>
      <c r="G84">
        <f>IF(Gym_Expansion_Data[[#This Row],[Churned]]=0,1,0)</f>
        <v>1</v>
      </c>
      <c r="H84" t="str">
        <f>IF(Gym_Expansion_Data[[#This Row],[Active Member]]=1,Gym_Expansion_Data[[#This Row],[Tier]],"Inactive")</f>
        <v>Basic</v>
      </c>
    </row>
    <row r="85" spans="1:8" x14ac:dyDescent="0.2">
      <c r="A85">
        <v>1084</v>
      </c>
      <c r="B85" t="s">
        <v>10</v>
      </c>
      <c r="C85" t="s">
        <v>12</v>
      </c>
      <c r="D85" s="1">
        <v>45373</v>
      </c>
      <c r="E85">
        <v>89</v>
      </c>
      <c r="F85">
        <v>1</v>
      </c>
      <c r="G85">
        <f>IF(Gym_Expansion_Data[[#This Row],[Churned]]=0,1,0)</f>
        <v>0</v>
      </c>
      <c r="H85" t="str">
        <f>IF(Gym_Expansion_Data[[#This Row],[Active Member]]=1,Gym_Expansion_Data[[#This Row],[Tier]],"Inactive")</f>
        <v>Inactive</v>
      </c>
    </row>
    <row r="86" spans="1:8" x14ac:dyDescent="0.2">
      <c r="A86">
        <v>1085</v>
      </c>
      <c r="B86" t="s">
        <v>10</v>
      </c>
      <c r="C86" t="s">
        <v>7</v>
      </c>
      <c r="D86" s="1">
        <v>45325</v>
      </c>
      <c r="E86">
        <v>49</v>
      </c>
      <c r="F86">
        <v>0</v>
      </c>
      <c r="G86">
        <f>IF(Gym_Expansion_Data[[#This Row],[Churned]]=0,1,0)</f>
        <v>1</v>
      </c>
      <c r="H86" t="str">
        <f>IF(Gym_Expansion_Data[[#This Row],[Active Member]]=1,Gym_Expansion_Data[[#This Row],[Tier]],"Inactive")</f>
        <v>Basic</v>
      </c>
    </row>
    <row r="87" spans="1:8" x14ac:dyDescent="0.2">
      <c r="A87">
        <v>1086</v>
      </c>
      <c r="B87" t="s">
        <v>11</v>
      </c>
      <c r="C87" t="s">
        <v>12</v>
      </c>
      <c r="D87" s="1">
        <v>45877</v>
      </c>
      <c r="E87">
        <v>89</v>
      </c>
      <c r="F87">
        <v>0</v>
      </c>
      <c r="G87">
        <f>IF(Gym_Expansion_Data[[#This Row],[Churned]]=0,1,0)</f>
        <v>1</v>
      </c>
      <c r="H87" t="str">
        <f>IF(Gym_Expansion_Data[[#This Row],[Active Member]]=1,Gym_Expansion_Data[[#This Row],[Tier]],"Inactive")</f>
        <v>Premium</v>
      </c>
    </row>
    <row r="88" spans="1:8" x14ac:dyDescent="0.2">
      <c r="A88">
        <v>1087</v>
      </c>
      <c r="B88" t="s">
        <v>9</v>
      </c>
      <c r="C88" t="s">
        <v>12</v>
      </c>
      <c r="D88" s="1">
        <v>45307</v>
      </c>
      <c r="E88">
        <v>89</v>
      </c>
      <c r="F88">
        <v>1</v>
      </c>
      <c r="G88">
        <f>IF(Gym_Expansion_Data[[#This Row],[Churned]]=0,1,0)</f>
        <v>0</v>
      </c>
      <c r="H88" t="str">
        <f>IF(Gym_Expansion_Data[[#This Row],[Active Member]]=1,Gym_Expansion_Data[[#This Row],[Tier]],"Inactive")</f>
        <v>Inactive</v>
      </c>
    </row>
    <row r="89" spans="1:8" x14ac:dyDescent="0.2">
      <c r="A89">
        <v>1088</v>
      </c>
      <c r="B89" t="s">
        <v>9</v>
      </c>
      <c r="C89" t="s">
        <v>8</v>
      </c>
      <c r="D89" s="1">
        <v>45728</v>
      </c>
      <c r="E89">
        <v>129</v>
      </c>
      <c r="F89">
        <v>0</v>
      </c>
      <c r="G89">
        <f>IF(Gym_Expansion_Data[[#This Row],[Churned]]=0,1,0)</f>
        <v>1</v>
      </c>
      <c r="H89" t="str">
        <f>IF(Gym_Expansion_Data[[#This Row],[Active Member]]=1,Gym_Expansion_Data[[#This Row],[Tier]],"Inactive")</f>
        <v>Elite</v>
      </c>
    </row>
    <row r="90" spans="1:8" x14ac:dyDescent="0.2">
      <c r="A90">
        <v>1089</v>
      </c>
      <c r="B90" t="s">
        <v>9</v>
      </c>
      <c r="C90" t="s">
        <v>7</v>
      </c>
      <c r="D90" s="1">
        <v>45878</v>
      </c>
      <c r="E90">
        <v>49</v>
      </c>
      <c r="F90">
        <v>1</v>
      </c>
      <c r="G90">
        <f>IF(Gym_Expansion_Data[[#This Row],[Churned]]=0,1,0)</f>
        <v>0</v>
      </c>
      <c r="H90" t="str">
        <f>IF(Gym_Expansion_Data[[#This Row],[Active Member]]=1,Gym_Expansion_Data[[#This Row],[Tier]],"Inactive")</f>
        <v>Inactive</v>
      </c>
    </row>
    <row r="91" spans="1:8" x14ac:dyDescent="0.2">
      <c r="A91">
        <v>1090</v>
      </c>
      <c r="B91" t="s">
        <v>9</v>
      </c>
      <c r="C91" t="s">
        <v>8</v>
      </c>
      <c r="D91" s="1">
        <v>45916</v>
      </c>
      <c r="E91">
        <v>129</v>
      </c>
      <c r="F91">
        <v>1</v>
      </c>
      <c r="G91">
        <f>IF(Gym_Expansion_Data[[#This Row],[Churned]]=0,1,0)</f>
        <v>0</v>
      </c>
      <c r="H91" t="str">
        <f>IF(Gym_Expansion_Data[[#This Row],[Active Member]]=1,Gym_Expansion_Data[[#This Row],[Tier]],"Inactive")</f>
        <v>Inactive</v>
      </c>
    </row>
    <row r="92" spans="1:8" x14ac:dyDescent="0.2">
      <c r="A92">
        <v>1091</v>
      </c>
      <c r="B92" t="s">
        <v>10</v>
      </c>
      <c r="C92" t="s">
        <v>12</v>
      </c>
      <c r="D92" s="1">
        <v>45859</v>
      </c>
      <c r="E92">
        <v>89</v>
      </c>
      <c r="F92">
        <v>0</v>
      </c>
      <c r="G92">
        <f>IF(Gym_Expansion_Data[[#This Row],[Churned]]=0,1,0)</f>
        <v>1</v>
      </c>
      <c r="H92" t="str">
        <f>IF(Gym_Expansion_Data[[#This Row],[Active Member]]=1,Gym_Expansion_Data[[#This Row],[Tier]],"Inactive")</f>
        <v>Premium</v>
      </c>
    </row>
    <row r="93" spans="1:8" x14ac:dyDescent="0.2">
      <c r="A93">
        <v>1092</v>
      </c>
      <c r="B93" t="s">
        <v>9</v>
      </c>
      <c r="C93" t="s">
        <v>12</v>
      </c>
      <c r="D93" s="1">
        <v>45809</v>
      </c>
      <c r="E93">
        <v>89</v>
      </c>
      <c r="F93">
        <v>0</v>
      </c>
      <c r="G93">
        <f>IF(Gym_Expansion_Data[[#This Row],[Churned]]=0,1,0)</f>
        <v>1</v>
      </c>
      <c r="H93" t="str">
        <f>IF(Gym_Expansion_Data[[#This Row],[Active Member]]=1,Gym_Expansion_Data[[#This Row],[Tier]],"Inactive")</f>
        <v>Premium</v>
      </c>
    </row>
    <row r="94" spans="1:8" x14ac:dyDescent="0.2">
      <c r="A94">
        <v>1093</v>
      </c>
      <c r="B94" t="s">
        <v>9</v>
      </c>
      <c r="C94" t="s">
        <v>7</v>
      </c>
      <c r="D94" s="1">
        <v>45732</v>
      </c>
      <c r="E94">
        <v>49</v>
      </c>
      <c r="F94">
        <v>0</v>
      </c>
      <c r="G94">
        <f>IF(Gym_Expansion_Data[[#This Row],[Churned]]=0,1,0)</f>
        <v>1</v>
      </c>
      <c r="H94" t="str">
        <f>IF(Gym_Expansion_Data[[#This Row],[Active Member]]=1,Gym_Expansion_Data[[#This Row],[Tier]],"Inactive")</f>
        <v>Basic</v>
      </c>
    </row>
    <row r="95" spans="1:8" x14ac:dyDescent="0.2">
      <c r="A95">
        <v>1094</v>
      </c>
      <c r="B95" t="s">
        <v>6</v>
      </c>
      <c r="C95" t="s">
        <v>7</v>
      </c>
      <c r="D95" s="1">
        <v>45952</v>
      </c>
      <c r="E95">
        <v>49</v>
      </c>
      <c r="F95">
        <v>0</v>
      </c>
      <c r="G95">
        <f>IF(Gym_Expansion_Data[[#This Row],[Churned]]=0,1,0)</f>
        <v>1</v>
      </c>
      <c r="H95" t="str">
        <f>IF(Gym_Expansion_Data[[#This Row],[Active Member]]=1,Gym_Expansion_Data[[#This Row],[Tier]],"Inactive")</f>
        <v>Basic</v>
      </c>
    </row>
    <row r="96" spans="1:8" x14ac:dyDescent="0.2">
      <c r="A96">
        <v>1095</v>
      </c>
      <c r="B96" t="s">
        <v>6</v>
      </c>
      <c r="C96" t="s">
        <v>8</v>
      </c>
      <c r="D96" s="1">
        <v>45577</v>
      </c>
      <c r="E96">
        <v>129</v>
      </c>
      <c r="F96">
        <v>0</v>
      </c>
      <c r="G96">
        <f>IF(Gym_Expansion_Data[[#This Row],[Churned]]=0,1,0)</f>
        <v>1</v>
      </c>
      <c r="H96" t="str">
        <f>IF(Gym_Expansion_Data[[#This Row],[Active Member]]=1,Gym_Expansion_Data[[#This Row],[Tier]],"Inactive")</f>
        <v>Elite</v>
      </c>
    </row>
    <row r="97" spans="1:8" x14ac:dyDescent="0.2">
      <c r="A97">
        <v>1096</v>
      </c>
      <c r="B97" t="s">
        <v>10</v>
      </c>
      <c r="C97" t="s">
        <v>7</v>
      </c>
      <c r="D97" s="1">
        <v>45479</v>
      </c>
      <c r="E97">
        <v>49</v>
      </c>
      <c r="F97">
        <v>0</v>
      </c>
      <c r="G97">
        <f>IF(Gym_Expansion_Data[[#This Row],[Churned]]=0,1,0)</f>
        <v>1</v>
      </c>
      <c r="H97" t="str">
        <f>IF(Gym_Expansion_Data[[#This Row],[Active Member]]=1,Gym_Expansion_Data[[#This Row],[Tier]],"Inactive")</f>
        <v>Basic</v>
      </c>
    </row>
    <row r="98" spans="1:8" x14ac:dyDescent="0.2">
      <c r="A98">
        <v>1097</v>
      </c>
      <c r="B98" t="s">
        <v>9</v>
      </c>
      <c r="C98" t="s">
        <v>12</v>
      </c>
      <c r="D98" s="1">
        <v>45359</v>
      </c>
      <c r="E98">
        <v>89</v>
      </c>
      <c r="F98">
        <v>0</v>
      </c>
      <c r="G98">
        <f>IF(Gym_Expansion_Data[[#This Row],[Churned]]=0,1,0)</f>
        <v>1</v>
      </c>
      <c r="H98" t="str">
        <f>IF(Gym_Expansion_Data[[#This Row],[Active Member]]=1,Gym_Expansion_Data[[#This Row],[Tier]],"Inactive")</f>
        <v>Premium</v>
      </c>
    </row>
    <row r="99" spans="1:8" x14ac:dyDescent="0.2">
      <c r="A99">
        <v>1098</v>
      </c>
      <c r="B99" t="s">
        <v>11</v>
      </c>
      <c r="C99" t="s">
        <v>7</v>
      </c>
      <c r="D99" s="1">
        <v>45480</v>
      </c>
      <c r="E99">
        <v>49</v>
      </c>
      <c r="F99">
        <v>0</v>
      </c>
      <c r="G99">
        <f>IF(Gym_Expansion_Data[[#This Row],[Churned]]=0,1,0)</f>
        <v>1</v>
      </c>
      <c r="H99" t="str">
        <f>IF(Gym_Expansion_Data[[#This Row],[Active Member]]=1,Gym_Expansion_Data[[#This Row],[Tier]],"Inactive")</f>
        <v>Basic</v>
      </c>
    </row>
    <row r="100" spans="1:8" x14ac:dyDescent="0.2">
      <c r="A100">
        <v>1099</v>
      </c>
      <c r="B100" t="s">
        <v>10</v>
      </c>
      <c r="C100" t="s">
        <v>12</v>
      </c>
      <c r="D100" s="1">
        <v>45711</v>
      </c>
      <c r="E100">
        <v>89</v>
      </c>
      <c r="F100">
        <v>0</v>
      </c>
      <c r="G100">
        <f>IF(Gym_Expansion_Data[[#This Row],[Churned]]=0,1,0)</f>
        <v>1</v>
      </c>
      <c r="H100" t="str">
        <f>IF(Gym_Expansion_Data[[#This Row],[Active Member]]=1,Gym_Expansion_Data[[#This Row],[Tier]],"Inactive")</f>
        <v>Premium</v>
      </c>
    </row>
    <row r="101" spans="1:8" x14ac:dyDescent="0.2">
      <c r="A101">
        <v>1100</v>
      </c>
      <c r="B101" t="s">
        <v>10</v>
      </c>
      <c r="C101" t="s">
        <v>8</v>
      </c>
      <c r="D101" s="1">
        <v>45320</v>
      </c>
      <c r="E101">
        <v>129</v>
      </c>
      <c r="F101">
        <v>1</v>
      </c>
      <c r="G101">
        <f>IF(Gym_Expansion_Data[[#This Row],[Churned]]=0,1,0)</f>
        <v>0</v>
      </c>
      <c r="H101" t="str">
        <f>IF(Gym_Expansion_Data[[#This Row],[Active Member]]=1,Gym_Expansion_Data[[#This Row],[Tier]],"Inactive")</f>
        <v>Inactive</v>
      </c>
    </row>
    <row r="102" spans="1:8" x14ac:dyDescent="0.2">
      <c r="A102">
        <v>1101</v>
      </c>
      <c r="B102" t="s">
        <v>10</v>
      </c>
      <c r="C102" t="s">
        <v>7</v>
      </c>
      <c r="D102" s="1">
        <v>45467</v>
      </c>
      <c r="E102">
        <v>49</v>
      </c>
      <c r="F102">
        <v>1</v>
      </c>
      <c r="G102">
        <f>IF(Gym_Expansion_Data[[#This Row],[Churned]]=0,1,0)</f>
        <v>0</v>
      </c>
      <c r="H102" t="str">
        <f>IF(Gym_Expansion_Data[[#This Row],[Active Member]]=1,Gym_Expansion_Data[[#This Row],[Tier]],"Inactive")</f>
        <v>Inactive</v>
      </c>
    </row>
    <row r="103" spans="1:8" x14ac:dyDescent="0.2">
      <c r="A103">
        <v>1102</v>
      </c>
      <c r="B103" t="s">
        <v>9</v>
      </c>
      <c r="C103" t="s">
        <v>7</v>
      </c>
      <c r="D103" s="1">
        <v>45657</v>
      </c>
      <c r="E103">
        <v>49</v>
      </c>
      <c r="F103">
        <v>0</v>
      </c>
      <c r="G103">
        <f>IF(Gym_Expansion_Data[[#This Row],[Churned]]=0,1,0)</f>
        <v>1</v>
      </c>
      <c r="H103" t="str">
        <f>IF(Gym_Expansion_Data[[#This Row],[Active Member]]=1,Gym_Expansion_Data[[#This Row],[Tier]],"Inactive")</f>
        <v>Basic</v>
      </c>
    </row>
    <row r="104" spans="1:8" x14ac:dyDescent="0.2">
      <c r="A104">
        <v>1103</v>
      </c>
      <c r="B104" t="s">
        <v>9</v>
      </c>
      <c r="C104" t="s">
        <v>7</v>
      </c>
      <c r="D104" s="1">
        <v>45426</v>
      </c>
      <c r="E104">
        <v>49</v>
      </c>
      <c r="F104">
        <v>1</v>
      </c>
      <c r="G104">
        <f>IF(Gym_Expansion_Data[[#This Row],[Churned]]=0,1,0)</f>
        <v>0</v>
      </c>
      <c r="H104" t="str">
        <f>IF(Gym_Expansion_Data[[#This Row],[Active Member]]=1,Gym_Expansion_Data[[#This Row],[Tier]],"Inactive")</f>
        <v>Inactive</v>
      </c>
    </row>
    <row r="105" spans="1:8" x14ac:dyDescent="0.2">
      <c r="A105">
        <v>1104</v>
      </c>
      <c r="B105" t="s">
        <v>11</v>
      </c>
      <c r="C105" t="s">
        <v>7</v>
      </c>
      <c r="D105" s="1">
        <v>45494</v>
      </c>
      <c r="E105">
        <v>49</v>
      </c>
      <c r="F105">
        <v>0</v>
      </c>
      <c r="G105">
        <f>IF(Gym_Expansion_Data[[#This Row],[Churned]]=0,1,0)</f>
        <v>1</v>
      </c>
      <c r="H105" t="str">
        <f>IF(Gym_Expansion_Data[[#This Row],[Active Member]]=1,Gym_Expansion_Data[[#This Row],[Tier]],"Inactive")</f>
        <v>Basic</v>
      </c>
    </row>
    <row r="106" spans="1:8" x14ac:dyDescent="0.2">
      <c r="A106">
        <v>1105</v>
      </c>
      <c r="B106" t="s">
        <v>6</v>
      </c>
      <c r="C106" t="s">
        <v>8</v>
      </c>
      <c r="D106" s="1">
        <v>45969</v>
      </c>
      <c r="E106">
        <v>129</v>
      </c>
      <c r="F106">
        <v>0</v>
      </c>
      <c r="G106">
        <f>IF(Gym_Expansion_Data[[#This Row],[Churned]]=0,1,0)</f>
        <v>1</v>
      </c>
      <c r="H106" t="str">
        <f>IF(Gym_Expansion_Data[[#This Row],[Active Member]]=1,Gym_Expansion_Data[[#This Row],[Tier]],"Inactive")</f>
        <v>Elite</v>
      </c>
    </row>
    <row r="107" spans="1:8" x14ac:dyDescent="0.2">
      <c r="A107">
        <v>1106</v>
      </c>
      <c r="B107" t="s">
        <v>6</v>
      </c>
      <c r="C107" t="s">
        <v>7</v>
      </c>
      <c r="D107" s="1">
        <v>45391</v>
      </c>
      <c r="E107">
        <v>49</v>
      </c>
      <c r="F107">
        <v>0</v>
      </c>
      <c r="G107">
        <f>IF(Gym_Expansion_Data[[#This Row],[Churned]]=0,1,0)</f>
        <v>1</v>
      </c>
      <c r="H107" t="str">
        <f>IF(Gym_Expansion_Data[[#This Row],[Active Member]]=1,Gym_Expansion_Data[[#This Row],[Tier]],"Inactive")</f>
        <v>Basic</v>
      </c>
    </row>
    <row r="108" spans="1:8" x14ac:dyDescent="0.2">
      <c r="A108">
        <v>1107</v>
      </c>
      <c r="B108" t="s">
        <v>10</v>
      </c>
      <c r="C108" t="s">
        <v>12</v>
      </c>
      <c r="D108" s="1">
        <v>45434</v>
      </c>
      <c r="E108">
        <v>89</v>
      </c>
      <c r="F108">
        <v>1</v>
      </c>
      <c r="G108">
        <f>IF(Gym_Expansion_Data[[#This Row],[Churned]]=0,1,0)</f>
        <v>0</v>
      </c>
      <c r="H108" t="str">
        <f>IF(Gym_Expansion_Data[[#This Row],[Active Member]]=1,Gym_Expansion_Data[[#This Row],[Tier]],"Inactive")</f>
        <v>Inactive</v>
      </c>
    </row>
    <row r="109" spans="1:8" x14ac:dyDescent="0.2">
      <c r="A109">
        <v>1108</v>
      </c>
      <c r="B109" t="s">
        <v>10</v>
      </c>
      <c r="C109" t="s">
        <v>7</v>
      </c>
      <c r="D109" s="1">
        <v>45893</v>
      </c>
      <c r="E109">
        <v>49</v>
      </c>
      <c r="F109">
        <v>1</v>
      </c>
      <c r="G109">
        <f>IF(Gym_Expansion_Data[[#This Row],[Churned]]=0,1,0)</f>
        <v>0</v>
      </c>
      <c r="H109" t="str">
        <f>IF(Gym_Expansion_Data[[#This Row],[Active Member]]=1,Gym_Expansion_Data[[#This Row],[Tier]],"Inactive")</f>
        <v>Inactive</v>
      </c>
    </row>
    <row r="110" spans="1:8" x14ac:dyDescent="0.2">
      <c r="A110">
        <v>1109</v>
      </c>
      <c r="B110" t="s">
        <v>11</v>
      </c>
      <c r="C110" t="s">
        <v>7</v>
      </c>
      <c r="D110" s="1">
        <v>45373</v>
      </c>
      <c r="E110">
        <v>49</v>
      </c>
      <c r="F110">
        <v>0</v>
      </c>
      <c r="G110">
        <f>IF(Gym_Expansion_Data[[#This Row],[Churned]]=0,1,0)</f>
        <v>1</v>
      </c>
      <c r="H110" t="str">
        <f>IF(Gym_Expansion_Data[[#This Row],[Active Member]]=1,Gym_Expansion_Data[[#This Row],[Tier]],"Inactive")</f>
        <v>Basic</v>
      </c>
    </row>
    <row r="111" spans="1:8" x14ac:dyDescent="0.2">
      <c r="A111">
        <v>1110</v>
      </c>
      <c r="B111" t="s">
        <v>9</v>
      </c>
      <c r="C111" t="s">
        <v>8</v>
      </c>
      <c r="D111" s="1">
        <v>45513</v>
      </c>
      <c r="E111">
        <v>129</v>
      </c>
      <c r="F111">
        <v>0</v>
      </c>
      <c r="G111">
        <f>IF(Gym_Expansion_Data[[#This Row],[Churned]]=0,1,0)</f>
        <v>1</v>
      </c>
      <c r="H111" t="str">
        <f>IF(Gym_Expansion_Data[[#This Row],[Active Member]]=1,Gym_Expansion_Data[[#This Row],[Tier]],"Inactive")</f>
        <v>Elite</v>
      </c>
    </row>
    <row r="112" spans="1:8" x14ac:dyDescent="0.2">
      <c r="A112">
        <v>1111</v>
      </c>
      <c r="B112" t="s">
        <v>10</v>
      </c>
      <c r="C112" t="s">
        <v>7</v>
      </c>
      <c r="D112" s="1">
        <v>45861</v>
      </c>
      <c r="E112">
        <v>49</v>
      </c>
      <c r="F112">
        <v>0</v>
      </c>
      <c r="G112">
        <f>IF(Gym_Expansion_Data[[#This Row],[Churned]]=0,1,0)</f>
        <v>1</v>
      </c>
      <c r="H112" t="str">
        <f>IF(Gym_Expansion_Data[[#This Row],[Active Member]]=1,Gym_Expansion_Data[[#This Row],[Tier]],"Inactive")</f>
        <v>Basic</v>
      </c>
    </row>
    <row r="113" spans="1:8" x14ac:dyDescent="0.2">
      <c r="A113">
        <v>1112</v>
      </c>
      <c r="B113" t="s">
        <v>6</v>
      </c>
      <c r="C113" t="s">
        <v>7</v>
      </c>
      <c r="D113" s="1">
        <v>45861</v>
      </c>
      <c r="E113">
        <v>49</v>
      </c>
      <c r="F113">
        <v>0</v>
      </c>
      <c r="G113">
        <f>IF(Gym_Expansion_Data[[#This Row],[Churned]]=0,1,0)</f>
        <v>1</v>
      </c>
      <c r="H113" t="str">
        <f>IF(Gym_Expansion_Data[[#This Row],[Active Member]]=1,Gym_Expansion_Data[[#This Row],[Tier]],"Inactive")</f>
        <v>Basic</v>
      </c>
    </row>
    <row r="114" spans="1:8" x14ac:dyDescent="0.2">
      <c r="A114">
        <v>1113</v>
      </c>
      <c r="B114" t="s">
        <v>10</v>
      </c>
      <c r="C114" t="s">
        <v>12</v>
      </c>
      <c r="D114" s="1">
        <v>45453</v>
      </c>
      <c r="E114">
        <v>89</v>
      </c>
      <c r="F114">
        <v>0</v>
      </c>
      <c r="G114">
        <f>IF(Gym_Expansion_Data[[#This Row],[Churned]]=0,1,0)</f>
        <v>1</v>
      </c>
      <c r="H114" t="str">
        <f>IF(Gym_Expansion_Data[[#This Row],[Active Member]]=1,Gym_Expansion_Data[[#This Row],[Tier]],"Inactive")</f>
        <v>Premium</v>
      </c>
    </row>
    <row r="115" spans="1:8" x14ac:dyDescent="0.2">
      <c r="A115">
        <v>1114</v>
      </c>
      <c r="B115" t="s">
        <v>11</v>
      </c>
      <c r="C115" t="s">
        <v>8</v>
      </c>
      <c r="D115" s="1">
        <v>45721</v>
      </c>
      <c r="E115">
        <v>129</v>
      </c>
      <c r="F115">
        <v>0</v>
      </c>
      <c r="G115">
        <f>IF(Gym_Expansion_Data[[#This Row],[Churned]]=0,1,0)</f>
        <v>1</v>
      </c>
      <c r="H115" t="str">
        <f>IF(Gym_Expansion_Data[[#This Row],[Active Member]]=1,Gym_Expansion_Data[[#This Row],[Tier]],"Inactive")</f>
        <v>Elite</v>
      </c>
    </row>
    <row r="116" spans="1:8" x14ac:dyDescent="0.2">
      <c r="A116">
        <v>1115</v>
      </c>
      <c r="B116" t="s">
        <v>11</v>
      </c>
      <c r="C116" t="s">
        <v>7</v>
      </c>
      <c r="D116" s="1">
        <v>45846</v>
      </c>
      <c r="E116">
        <v>49</v>
      </c>
      <c r="F116">
        <v>1</v>
      </c>
      <c r="G116">
        <f>IF(Gym_Expansion_Data[[#This Row],[Churned]]=0,1,0)</f>
        <v>0</v>
      </c>
      <c r="H116" t="str">
        <f>IF(Gym_Expansion_Data[[#This Row],[Active Member]]=1,Gym_Expansion_Data[[#This Row],[Tier]],"Inactive")</f>
        <v>Inactive</v>
      </c>
    </row>
    <row r="117" spans="1:8" x14ac:dyDescent="0.2">
      <c r="A117">
        <v>1116</v>
      </c>
      <c r="B117" t="s">
        <v>11</v>
      </c>
      <c r="C117" t="s">
        <v>12</v>
      </c>
      <c r="D117" s="1">
        <v>45475</v>
      </c>
      <c r="E117">
        <v>89</v>
      </c>
      <c r="F117">
        <v>0</v>
      </c>
      <c r="G117">
        <f>IF(Gym_Expansion_Data[[#This Row],[Churned]]=0,1,0)</f>
        <v>1</v>
      </c>
      <c r="H117" t="str">
        <f>IF(Gym_Expansion_Data[[#This Row],[Active Member]]=1,Gym_Expansion_Data[[#This Row],[Tier]],"Inactive")</f>
        <v>Premium</v>
      </c>
    </row>
    <row r="118" spans="1:8" x14ac:dyDescent="0.2">
      <c r="A118">
        <v>1117</v>
      </c>
      <c r="B118" t="s">
        <v>9</v>
      </c>
      <c r="C118" t="s">
        <v>12</v>
      </c>
      <c r="D118" s="1">
        <v>45667</v>
      </c>
      <c r="E118">
        <v>89</v>
      </c>
      <c r="F118">
        <v>0</v>
      </c>
      <c r="G118">
        <f>IF(Gym_Expansion_Data[[#This Row],[Churned]]=0,1,0)</f>
        <v>1</v>
      </c>
      <c r="H118" t="str">
        <f>IF(Gym_Expansion_Data[[#This Row],[Active Member]]=1,Gym_Expansion_Data[[#This Row],[Tier]],"Inactive")</f>
        <v>Premium</v>
      </c>
    </row>
    <row r="119" spans="1:8" x14ac:dyDescent="0.2">
      <c r="A119">
        <v>1118</v>
      </c>
      <c r="B119" t="s">
        <v>11</v>
      </c>
      <c r="C119" t="s">
        <v>7</v>
      </c>
      <c r="D119" s="1">
        <v>45830</v>
      </c>
      <c r="E119">
        <v>49</v>
      </c>
      <c r="F119">
        <v>0</v>
      </c>
      <c r="G119">
        <f>IF(Gym_Expansion_Data[[#This Row],[Churned]]=0,1,0)</f>
        <v>1</v>
      </c>
      <c r="H119" t="str">
        <f>IF(Gym_Expansion_Data[[#This Row],[Active Member]]=1,Gym_Expansion_Data[[#This Row],[Tier]],"Inactive")</f>
        <v>Basic</v>
      </c>
    </row>
    <row r="120" spans="1:8" x14ac:dyDescent="0.2">
      <c r="A120">
        <v>1119</v>
      </c>
      <c r="B120" t="s">
        <v>10</v>
      </c>
      <c r="C120" t="s">
        <v>7</v>
      </c>
      <c r="D120" s="1">
        <v>45332</v>
      </c>
      <c r="E120">
        <v>49</v>
      </c>
      <c r="F120">
        <v>0</v>
      </c>
      <c r="G120">
        <f>IF(Gym_Expansion_Data[[#This Row],[Churned]]=0,1,0)</f>
        <v>1</v>
      </c>
      <c r="H120" t="str">
        <f>IF(Gym_Expansion_Data[[#This Row],[Active Member]]=1,Gym_Expansion_Data[[#This Row],[Tier]],"Inactive")</f>
        <v>Basic</v>
      </c>
    </row>
    <row r="121" spans="1:8" x14ac:dyDescent="0.2">
      <c r="A121">
        <v>1120</v>
      </c>
      <c r="B121" t="s">
        <v>6</v>
      </c>
      <c r="C121" t="s">
        <v>7</v>
      </c>
      <c r="D121" s="1">
        <v>45805</v>
      </c>
      <c r="E121">
        <v>49</v>
      </c>
      <c r="F121">
        <v>0</v>
      </c>
      <c r="G121">
        <f>IF(Gym_Expansion_Data[[#This Row],[Churned]]=0,1,0)</f>
        <v>1</v>
      </c>
      <c r="H121" t="str">
        <f>IF(Gym_Expansion_Data[[#This Row],[Active Member]]=1,Gym_Expansion_Data[[#This Row],[Tier]],"Inactive")</f>
        <v>Basic</v>
      </c>
    </row>
    <row r="122" spans="1:8" x14ac:dyDescent="0.2">
      <c r="A122">
        <v>1121</v>
      </c>
      <c r="B122" t="s">
        <v>11</v>
      </c>
      <c r="C122" t="s">
        <v>8</v>
      </c>
      <c r="D122" s="1">
        <v>45969</v>
      </c>
      <c r="E122">
        <v>129</v>
      </c>
      <c r="F122">
        <v>1</v>
      </c>
      <c r="G122">
        <f>IF(Gym_Expansion_Data[[#This Row],[Churned]]=0,1,0)</f>
        <v>0</v>
      </c>
      <c r="H122" t="str">
        <f>IF(Gym_Expansion_Data[[#This Row],[Active Member]]=1,Gym_Expansion_Data[[#This Row],[Tier]],"Inactive")</f>
        <v>Inactive</v>
      </c>
    </row>
    <row r="123" spans="1:8" x14ac:dyDescent="0.2">
      <c r="A123">
        <v>1122</v>
      </c>
      <c r="B123" t="s">
        <v>11</v>
      </c>
      <c r="C123" t="s">
        <v>7</v>
      </c>
      <c r="D123" s="1">
        <v>45807</v>
      </c>
      <c r="E123">
        <v>49</v>
      </c>
      <c r="F123">
        <v>0</v>
      </c>
      <c r="G123">
        <f>IF(Gym_Expansion_Data[[#This Row],[Churned]]=0,1,0)</f>
        <v>1</v>
      </c>
      <c r="H123" t="str">
        <f>IF(Gym_Expansion_Data[[#This Row],[Active Member]]=1,Gym_Expansion_Data[[#This Row],[Tier]],"Inactive")</f>
        <v>Basic</v>
      </c>
    </row>
    <row r="124" spans="1:8" x14ac:dyDescent="0.2">
      <c r="A124">
        <v>1123</v>
      </c>
      <c r="B124" t="s">
        <v>11</v>
      </c>
      <c r="C124" t="s">
        <v>12</v>
      </c>
      <c r="D124" s="1">
        <v>45975</v>
      </c>
      <c r="E124">
        <v>89</v>
      </c>
      <c r="F124">
        <v>0</v>
      </c>
      <c r="G124">
        <f>IF(Gym_Expansion_Data[[#This Row],[Churned]]=0,1,0)</f>
        <v>1</v>
      </c>
      <c r="H124" t="str">
        <f>IF(Gym_Expansion_Data[[#This Row],[Active Member]]=1,Gym_Expansion_Data[[#This Row],[Tier]],"Inactive")</f>
        <v>Premium</v>
      </c>
    </row>
    <row r="125" spans="1:8" x14ac:dyDescent="0.2">
      <c r="A125">
        <v>1124</v>
      </c>
      <c r="B125" t="s">
        <v>11</v>
      </c>
      <c r="C125" t="s">
        <v>7</v>
      </c>
      <c r="D125" s="1">
        <v>45297</v>
      </c>
      <c r="E125">
        <v>49</v>
      </c>
      <c r="F125">
        <v>1</v>
      </c>
      <c r="G125">
        <f>IF(Gym_Expansion_Data[[#This Row],[Churned]]=0,1,0)</f>
        <v>0</v>
      </c>
      <c r="H125" t="str">
        <f>IF(Gym_Expansion_Data[[#This Row],[Active Member]]=1,Gym_Expansion_Data[[#This Row],[Tier]],"Inactive")</f>
        <v>Inactive</v>
      </c>
    </row>
    <row r="126" spans="1:8" x14ac:dyDescent="0.2">
      <c r="A126">
        <v>1125</v>
      </c>
      <c r="B126" t="s">
        <v>10</v>
      </c>
      <c r="C126" t="s">
        <v>12</v>
      </c>
      <c r="D126" s="1">
        <v>45356</v>
      </c>
      <c r="E126">
        <v>89</v>
      </c>
      <c r="F126">
        <v>0</v>
      </c>
      <c r="G126">
        <f>IF(Gym_Expansion_Data[[#This Row],[Churned]]=0,1,0)</f>
        <v>1</v>
      </c>
      <c r="H126" t="str">
        <f>IF(Gym_Expansion_Data[[#This Row],[Active Member]]=1,Gym_Expansion_Data[[#This Row],[Tier]],"Inactive")</f>
        <v>Premium</v>
      </c>
    </row>
    <row r="127" spans="1:8" x14ac:dyDescent="0.2">
      <c r="A127">
        <v>1126</v>
      </c>
      <c r="B127" t="s">
        <v>11</v>
      </c>
      <c r="C127" t="s">
        <v>7</v>
      </c>
      <c r="D127" s="1">
        <v>45791</v>
      </c>
      <c r="E127">
        <v>49</v>
      </c>
      <c r="F127">
        <v>0</v>
      </c>
      <c r="G127">
        <f>IF(Gym_Expansion_Data[[#This Row],[Churned]]=0,1,0)</f>
        <v>1</v>
      </c>
      <c r="H127" t="str">
        <f>IF(Gym_Expansion_Data[[#This Row],[Active Member]]=1,Gym_Expansion_Data[[#This Row],[Tier]],"Inactive")</f>
        <v>Basic</v>
      </c>
    </row>
    <row r="128" spans="1:8" x14ac:dyDescent="0.2">
      <c r="A128">
        <v>1127</v>
      </c>
      <c r="B128" t="s">
        <v>6</v>
      </c>
      <c r="C128" t="s">
        <v>7</v>
      </c>
      <c r="D128" s="1">
        <v>45729</v>
      </c>
      <c r="E128">
        <v>49</v>
      </c>
      <c r="F128">
        <v>0</v>
      </c>
      <c r="G128">
        <f>IF(Gym_Expansion_Data[[#This Row],[Churned]]=0,1,0)</f>
        <v>1</v>
      </c>
      <c r="H128" t="str">
        <f>IF(Gym_Expansion_Data[[#This Row],[Active Member]]=1,Gym_Expansion_Data[[#This Row],[Tier]],"Inactive")</f>
        <v>Basic</v>
      </c>
    </row>
    <row r="129" spans="1:8" x14ac:dyDescent="0.2">
      <c r="A129">
        <v>1128</v>
      </c>
      <c r="B129" t="s">
        <v>6</v>
      </c>
      <c r="C129" t="s">
        <v>12</v>
      </c>
      <c r="D129" s="1">
        <v>45500</v>
      </c>
      <c r="E129">
        <v>89</v>
      </c>
      <c r="F129">
        <v>0</v>
      </c>
      <c r="G129">
        <f>IF(Gym_Expansion_Data[[#This Row],[Churned]]=0,1,0)</f>
        <v>1</v>
      </c>
      <c r="H129" t="str">
        <f>IF(Gym_Expansion_Data[[#This Row],[Active Member]]=1,Gym_Expansion_Data[[#This Row],[Tier]],"Inactive")</f>
        <v>Premium</v>
      </c>
    </row>
    <row r="130" spans="1:8" x14ac:dyDescent="0.2">
      <c r="A130">
        <v>1129</v>
      </c>
      <c r="B130" t="s">
        <v>9</v>
      </c>
      <c r="C130" t="s">
        <v>7</v>
      </c>
      <c r="D130" s="1">
        <v>45918</v>
      </c>
      <c r="E130">
        <v>49</v>
      </c>
      <c r="F130">
        <v>0</v>
      </c>
      <c r="G130">
        <f>IF(Gym_Expansion_Data[[#This Row],[Churned]]=0,1,0)</f>
        <v>1</v>
      </c>
      <c r="H130" t="str">
        <f>IF(Gym_Expansion_Data[[#This Row],[Active Member]]=1,Gym_Expansion_Data[[#This Row],[Tier]],"Inactive")</f>
        <v>Basic</v>
      </c>
    </row>
    <row r="131" spans="1:8" x14ac:dyDescent="0.2">
      <c r="A131">
        <v>1130</v>
      </c>
      <c r="B131" t="s">
        <v>10</v>
      </c>
      <c r="C131" t="s">
        <v>7</v>
      </c>
      <c r="D131" s="1">
        <v>45592</v>
      </c>
      <c r="E131">
        <v>49</v>
      </c>
      <c r="F131">
        <v>0</v>
      </c>
      <c r="G131">
        <f>IF(Gym_Expansion_Data[[#This Row],[Churned]]=0,1,0)</f>
        <v>1</v>
      </c>
      <c r="H131" t="str">
        <f>IF(Gym_Expansion_Data[[#This Row],[Active Member]]=1,Gym_Expansion_Data[[#This Row],[Tier]],"Inactive")</f>
        <v>Basic</v>
      </c>
    </row>
    <row r="132" spans="1:8" x14ac:dyDescent="0.2">
      <c r="A132">
        <v>1131</v>
      </c>
      <c r="B132" t="s">
        <v>6</v>
      </c>
      <c r="C132" t="s">
        <v>7</v>
      </c>
      <c r="D132" s="1">
        <v>45888</v>
      </c>
      <c r="E132">
        <v>49</v>
      </c>
      <c r="F132">
        <v>0</v>
      </c>
      <c r="G132">
        <f>IF(Gym_Expansion_Data[[#This Row],[Churned]]=0,1,0)</f>
        <v>1</v>
      </c>
      <c r="H132" t="str">
        <f>IF(Gym_Expansion_Data[[#This Row],[Active Member]]=1,Gym_Expansion_Data[[#This Row],[Tier]],"Inactive")</f>
        <v>Basic</v>
      </c>
    </row>
    <row r="133" spans="1:8" x14ac:dyDescent="0.2">
      <c r="A133">
        <v>1132</v>
      </c>
      <c r="B133" t="s">
        <v>10</v>
      </c>
      <c r="C133" t="s">
        <v>7</v>
      </c>
      <c r="D133" s="1">
        <v>45539</v>
      </c>
      <c r="E133">
        <v>49</v>
      </c>
      <c r="F133">
        <v>0</v>
      </c>
      <c r="G133">
        <f>IF(Gym_Expansion_Data[[#This Row],[Churned]]=0,1,0)</f>
        <v>1</v>
      </c>
      <c r="H133" t="str">
        <f>IF(Gym_Expansion_Data[[#This Row],[Active Member]]=1,Gym_Expansion_Data[[#This Row],[Tier]],"Inactive")</f>
        <v>Basic</v>
      </c>
    </row>
    <row r="134" spans="1:8" x14ac:dyDescent="0.2">
      <c r="A134">
        <v>1133</v>
      </c>
      <c r="B134" t="s">
        <v>10</v>
      </c>
      <c r="C134" t="s">
        <v>7</v>
      </c>
      <c r="D134" s="1">
        <v>45936</v>
      </c>
      <c r="E134">
        <v>49</v>
      </c>
      <c r="F134">
        <v>0</v>
      </c>
      <c r="G134">
        <f>IF(Gym_Expansion_Data[[#This Row],[Churned]]=0,1,0)</f>
        <v>1</v>
      </c>
      <c r="H134" t="str">
        <f>IF(Gym_Expansion_Data[[#This Row],[Active Member]]=1,Gym_Expansion_Data[[#This Row],[Tier]],"Inactive")</f>
        <v>Basic</v>
      </c>
    </row>
    <row r="135" spans="1:8" x14ac:dyDescent="0.2">
      <c r="A135">
        <v>1134</v>
      </c>
      <c r="B135" t="s">
        <v>6</v>
      </c>
      <c r="C135" t="s">
        <v>8</v>
      </c>
      <c r="D135" s="1">
        <v>45982</v>
      </c>
      <c r="E135">
        <v>129</v>
      </c>
      <c r="F135">
        <v>0</v>
      </c>
      <c r="G135">
        <f>IF(Gym_Expansion_Data[[#This Row],[Churned]]=0,1,0)</f>
        <v>1</v>
      </c>
      <c r="H135" t="str">
        <f>IF(Gym_Expansion_Data[[#This Row],[Active Member]]=1,Gym_Expansion_Data[[#This Row],[Tier]],"Inactive")</f>
        <v>Elite</v>
      </c>
    </row>
    <row r="136" spans="1:8" x14ac:dyDescent="0.2">
      <c r="A136">
        <v>1135</v>
      </c>
      <c r="B136" t="s">
        <v>6</v>
      </c>
      <c r="C136" t="s">
        <v>12</v>
      </c>
      <c r="D136" s="1">
        <v>45491</v>
      </c>
      <c r="E136">
        <v>89</v>
      </c>
      <c r="F136">
        <v>0</v>
      </c>
      <c r="G136">
        <f>IF(Gym_Expansion_Data[[#This Row],[Churned]]=0,1,0)</f>
        <v>1</v>
      </c>
      <c r="H136" t="str">
        <f>IF(Gym_Expansion_Data[[#This Row],[Active Member]]=1,Gym_Expansion_Data[[#This Row],[Tier]],"Inactive")</f>
        <v>Premium</v>
      </c>
    </row>
    <row r="137" spans="1:8" x14ac:dyDescent="0.2">
      <c r="A137">
        <v>1136</v>
      </c>
      <c r="B137" t="s">
        <v>11</v>
      </c>
      <c r="C137" t="s">
        <v>8</v>
      </c>
      <c r="D137" s="1">
        <v>45776</v>
      </c>
      <c r="E137">
        <v>129</v>
      </c>
      <c r="F137">
        <v>0</v>
      </c>
      <c r="G137">
        <f>IF(Gym_Expansion_Data[[#This Row],[Churned]]=0,1,0)</f>
        <v>1</v>
      </c>
      <c r="H137" t="str">
        <f>IF(Gym_Expansion_Data[[#This Row],[Active Member]]=1,Gym_Expansion_Data[[#This Row],[Tier]],"Inactive")</f>
        <v>Elite</v>
      </c>
    </row>
    <row r="138" spans="1:8" x14ac:dyDescent="0.2">
      <c r="A138">
        <v>1137</v>
      </c>
      <c r="B138" t="s">
        <v>6</v>
      </c>
      <c r="C138" t="s">
        <v>8</v>
      </c>
      <c r="D138" s="1">
        <v>45713</v>
      </c>
      <c r="E138">
        <v>129</v>
      </c>
      <c r="F138">
        <v>0</v>
      </c>
      <c r="G138">
        <f>IF(Gym_Expansion_Data[[#This Row],[Churned]]=0,1,0)</f>
        <v>1</v>
      </c>
      <c r="H138" t="str">
        <f>IF(Gym_Expansion_Data[[#This Row],[Active Member]]=1,Gym_Expansion_Data[[#This Row],[Tier]],"Inactive")</f>
        <v>Elite</v>
      </c>
    </row>
    <row r="139" spans="1:8" x14ac:dyDescent="0.2">
      <c r="A139">
        <v>1138</v>
      </c>
      <c r="B139" t="s">
        <v>9</v>
      </c>
      <c r="C139" t="s">
        <v>8</v>
      </c>
      <c r="D139" s="1">
        <v>45519</v>
      </c>
      <c r="E139">
        <v>129</v>
      </c>
      <c r="F139">
        <v>1</v>
      </c>
      <c r="G139">
        <f>IF(Gym_Expansion_Data[[#This Row],[Churned]]=0,1,0)</f>
        <v>0</v>
      </c>
      <c r="H139" t="str">
        <f>IF(Gym_Expansion_Data[[#This Row],[Active Member]]=1,Gym_Expansion_Data[[#This Row],[Tier]],"Inactive")</f>
        <v>Inactive</v>
      </c>
    </row>
    <row r="140" spans="1:8" x14ac:dyDescent="0.2">
      <c r="A140">
        <v>1139</v>
      </c>
      <c r="B140" t="s">
        <v>10</v>
      </c>
      <c r="C140" t="s">
        <v>7</v>
      </c>
      <c r="D140" s="1">
        <v>45510</v>
      </c>
      <c r="E140">
        <v>49</v>
      </c>
      <c r="F140">
        <v>0</v>
      </c>
      <c r="G140">
        <f>IF(Gym_Expansion_Data[[#This Row],[Churned]]=0,1,0)</f>
        <v>1</v>
      </c>
      <c r="H140" t="str">
        <f>IF(Gym_Expansion_Data[[#This Row],[Active Member]]=1,Gym_Expansion_Data[[#This Row],[Tier]],"Inactive")</f>
        <v>Basic</v>
      </c>
    </row>
    <row r="141" spans="1:8" x14ac:dyDescent="0.2">
      <c r="A141">
        <v>1140</v>
      </c>
      <c r="B141" t="s">
        <v>10</v>
      </c>
      <c r="C141" t="s">
        <v>12</v>
      </c>
      <c r="D141" s="1">
        <v>45757</v>
      </c>
      <c r="E141">
        <v>89</v>
      </c>
      <c r="F141">
        <v>0</v>
      </c>
      <c r="G141">
        <f>IF(Gym_Expansion_Data[[#This Row],[Churned]]=0,1,0)</f>
        <v>1</v>
      </c>
      <c r="H141" t="str">
        <f>IF(Gym_Expansion_Data[[#This Row],[Active Member]]=1,Gym_Expansion_Data[[#This Row],[Tier]],"Inactive")</f>
        <v>Premium</v>
      </c>
    </row>
    <row r="142" spans="1:8" x14ac:dyDescent="0.2">
      <c r="A142">
        <v>1141</v>
      </c>
      <c r="B142" t="s">
        <v>9</v>
      </c>
      <c r="C142" t="s">
        <v>7</v>
      </c>
      <c r="D142" s="1">
        <v>45566</v>
      </c>
      <c r="E142">
        <v>49</v>
      </c>
      <c r="F142">
        <v>0</v>
      </c>
      <c r="G142">
        <f>IF(Gym_Expansion_Data[[#This Row],[Churned]]=0,1,0)</f>
        <v>1</v>
      </c>
      <c r="H142" t="str">
        <f>IF(Gym_Expansion_Data[[#This Row],[Active Member]]=1,Gym_Expansion_Data[[#This Row],[Tier]],"Inactive")</f>
        <v>Basic</v>
      </c>
    </row>
    <row r="143" spans="1:8" x14ac:dyDescent="0.2">
      <c r="A143">
        <v>1142</v>
      </c>
      <c r="B143" t="s">
        <v>9</v>
      </c>
      <c r="C143" t="s">
        <v>7</v>
      </c>
      <c r="D143" s="1">
        <v>45978</v>
      </c>
      <c r="E143">
        <v>49</v>
      </c>
      <c r="F143">
        <v>0</v>
      </c>
      <c r="G143">
        <f>IF(Gym_Expansion_Data[[#This Row],[Churned]]=0,1,0)</f>
        <v>1</v>
      </c>
      <c r="H143" t="str">
        <f>IF(Gym_Expansion_Data[[#This Row],[Active Member]]=1,Gym_Expansion_Data[[#This Row],[Tier]],"Inactive")</f>
        <v>Basic</v>
      </c>
    </row>
    <row r="144" spans="1:8" x14ac:dyDescent="0.2">
      <c r="A144">
        <v>1143</v>
      </c>
      <c r="B144" t="s">
        <v>11</v>
      </c>
      <c r="C144" t="s">
        <v>8</v>
      </c>
      <c r="D144" s="1">
        <v>45846</v>
      </c>
      <c r="E144">
        <v>129</v>
      </c>
      <c r="F144">
        <v>0</v>
      </c>
      <c r="G144">
        <f>IF(Gym_Expansion_Data[[#This Row],[Churned]]=0,1,0)</f>
        <v>1</v>
      </c>
      <c r="H144" t="str">
        <f>IF(Gym_Expansion_Data[[#This Row],[Active Member]]=1,Gym_Expansion_Data[[#This Row],[Tier]],"Inactive")</f>
        <v>Elite</v>
      </c>
    </row>
    <row r="145" spans="1:8" x14ac:dyDescent="0.2">
      <c r="A145">
        <v>1144</v>
      </c>
      <c r="B145" t="s">
        <v>10</v>
      </c>
      <c r="C145" t="s">
        <v>12</v>
      </c>
      <c r="D145" s="1">
        <v>45687</v>
      </c>
      <c r="E145">
        <v>89</v>
      </c>
      <c r="F145">
        <v>0</v>
      </c>
      <c r="G145">
        <f>IF(Gym_Expansion_Data[[#This Row],[Churned]]=0,1,0)</f>
        <v>1</v>
      </c>
      <c r="H145" t="str">
        <f>IF(Gym_Expansion_Data[[#This Row],[Active Member]]=1,Gym_Expansion_Data[[#This Row],[Tier]],"Inactive")</f>
        <v>Premium</v>
      </c>
    </row>
    <row r="146" spans="1:8" x14ac:dyDescent="0.2">
      <c r="A146">
        <v>1145</v>
      </c>
      <c r="B146" t="s">
        <v>10</v>
      </c>
      <c r="C146" t="s">
        <v>7</v>
      </c>
      <c r="D146" s="1">
        <v>45741</v>
      </c>
      <c r="E146">
        <v>49</v>
      </c>
      <c r="F146">
        <v>0</v>
      </c>
      <c r="G146">
        <f>IF(Gym_Expansion_Data[[#This Row],[Churned]]=0,1,0)</f>
        <v>1</v>
      </c>
      <c r="H146" t="str">
        <f>IF(Gym_Expansion_Data[[#This Row],[Active Member]]=1,Gym_Expansion_Data[[#This Row],[Tier]],"Inactive")</f>
        <v>Basic</v>
      </c>
    </row>
    <row r="147" spans="1:8" x14ac:dyDescent="0.2">
      <c r="A147">
        <v>1146</v>
      </c>
      <c r="B147" t="s">
        <v>6</v>
      </c>
      <c r="C147" t="s">
        <v>7</v>
      </c>
      <c r="D147" s="1">
        <v>45882</v>
      </c>
      <c r="E147">
        <v>49</v>
      </c>
      <c r="F147">
        <v>0</v>
      </c>
      <c r="G147">
        <f>IF(Gym_Expansion_Data[[#This Row],[Churned]]=0,1,0)</f>
        <v>1</v>
      </c>
      <c r="H147" t="str">
        <f>IF(Gym_Expansion_Data[[#This Row],[Active Member]]=1,Gym_Expansion_Data[[#This Row],[Tier]],"Inactive")</f>
        <v>Basic</v>
      </c>
    </row>
    <row r="148" spans="1:8" x14ac:dyDescent="0.2">
      <c r="A148">
        <v>1147</v>
      </c>
      <c r="B148" t="s">
        <v>9</v>
      </c>
      <c r="C148" t="s">
        <v>12</v>
      </c>
      <c r="D148" s="1">
        <v>45864</v>
      </c>
      <c r="E148">
        <v>89</v>
      </c>
      <c r="F148">
        <v>0</v>
      </c>
      <c r="G148">
        <f>IF(Gym_Expansion_Data[[#This Row],[Churned]]=0,1,0)</f>
        <v>1</v>
      </c>
      <c r="H148" t="str">
        <f>IF(Gym_Expansion_Data[[#This Row],[Active Member]]=1,Gym_Expansion_Data[[#This Row],[Tier]],"Inactive")</f>
        <v>Premium</v>
      </c>
    </row>
    <row r="149" spans="1:8" x14ac:dyDescent="0.2">
      <c r="A149">
        <v>1148</v>
      </c>
      <c r="B149" t="s">
        <v>6</v>
      </c>
      <c r="C149" t="s">
        <v>8</v>
      </c>
      <c r="D149" s="1">
        <v>45488</v>
      </c>
      <c r="E149">
        <v>129</v>
      </c>
      <c r="F149">
        <v>0</v>
      </c>
      <c r="G149">
        <f>IF(Gym_Expansion_Data[[#This Row],[Churned]]=0,1,0)</f>
        <v>1</v>
      </c>
      <c r="H149" t="str">
        <f>IF(Gym_Expansion_Data[[#This Row],[Active Member]]=1,Gym_Expansion_Data[[#This Row],[Tier]],"Inactive")</f>
        <v>Elite</v>
      </c>
    </row>
    <row r="150" spans="1:8" x14ac:dyDescent="0.2">
      <c r="A150">
        <v>1149</v>
      </c>
      <c r="B150" t="s">
        <v>9</v>
      </c>
      <c r="C150" t="s">
        <v>7</v>
      </c>
      <c r="D150" s="1">
        <v>45304</v>
      </c>
      <c r="E150">
        <v>49</v>
      </c>
      <c r="F150">
        <v>0</v>
      </c>
      <c r="G150">
        <f>IF(Gym_Expansion_Data[[#This Row],[Churned]]=0,1,0)</f>
        <v>1</v>
      </c>
      <c r="H150" t="str">
        <f>IF(Gym_Expansion_Data[[#This Row],[Active Member]]=1,Gym_Expansion_Data[[#This Row],[Tier]],"Inactive")</f>
        <v>Basic</v>
      </c>
    </row>
    <row r="151" spans="1:8" x14ac:dyDescent="0.2">
      <c r="A151">
        <v>1150</v>
      </c>
      <c r="B151" t="s">
        <v>9</v>
      </c>
      <c r="C151" t="s">
        <v>7</v>
      </c>
      <c r="D151" s="1">
        <v>45669</v>
      </c>
      <c r="E151">
        <v>49</v>
      </c>
      <c r="F151">
        <v>0</v>
      </c>
      <c r="G151">
        <f>IF(Gym_Expansion_Data[[#This Row],[Churned]]=0,1,0)</f>
        <v>1</v>
      </c>
      <c r="H151" t="str">
        <f>IF(Gym_Expansion_Data[[#This Row],[Active Member]]=1,Gym_Expansion_Data[[#This Row],[Tier]],"Inactive")</f>
        <v>Basic</v>
      </c>
    </row>
    <row r="152" spans="1:8" x14ac:dyDescent="0.2">
      <c r="A152">
        <v>1151</v>
      </c>
      <c r="B152" t="s">
        <v>10</v>
      </c>
      <c r="C152" t="s">
        <v>7</v>
      </c>
      <c r="D152" s="1">
        <v>45576</v>
      </c>
      <c r="E152">
        <v>49</v>
      </c>
      <c r="F152">
        <v>0</v>
      </c>
      <c r="G152">
        <f>IF(Gym_Expansion_Data[[#This Row],[Churned]]=0,1,0)</f>
        <v>1</v>
      </c>
      <c r="H152" t="str">
        <f>IF(Gym_Expansion_Data[[#This Row],[Active Member]]=1,Gym_Expansion_Data[[#This Row],[Tier]],"Inactive")</f>
        <v>Basic</v>
      </c>
    </row>
    <row r="153" spans="1:8" x14ac:dyDescent="0.2">
      <c r="A153">
        <v>1152</v>
      </c>
      <c r="B153" t="s">
        <v>9</v>
      </c>
      <c r="C153" t="s">
        <v>7</v>
      </c>
      <c r="D153" s="1">
        <v>45434</v>
      </c>
      <c r="E153">
        <v>49</v>
      </c>
      <c r="F153">
        <v>1</v>
      </c>
      <c r="G153">
        <f>IF(Gym_Expansion_Data[[#This Row],[Churned]]=0,1,0)</f>
        <v>0</v>
      </c>
      <c r="H153" t="str">
        <f>IF(Gym_Expansion_Data[[#This Row],[Active Member]]=1,Gym_Expansion_Data[[#This Row],[Tier]],"Inactive")</f>
        <v>Inactive</v>
      </c>
    </row>
    <row r="154" spans="1:8" x14ac:dyDescent="0.2">
      <c r="A154">
        <v>1153</v>
      </c>
      <c r="B154" t="s">
        <v>10</v>
      </c>
      <c r="C154" t="s">
        <v>7</v>
      </c>
      <c r="D154" s="1">
        <v>45691</v>
      </c>
      <c r="E154">
        <v>49</v>
      </c>
      <c r="F154">
        <v>0</v>
      </c>
      <c r="G154">
        <f>IF(Gym_Expansion_Data[[#This Row],[Churned]]=0,1,0)</f>
        <v>1</v>
      </c>
      <c r="H154" t="str">
        <f>IF(Gym_Expansion_Data[[#This Row],[Active Member]]=1,Gym_Expansion_Data[[#This Row],[Tier]],"Inactive")</f>
        <v>Basic</v>
      </c>
    </row>
    <row r="155" spans="1:8" x14ac:dyDescent="0.2">
      <c r="A155">
        <v>1154</v>
      </c>
      <c r="B155" t="s">
        <v>11</v>
      </c>
      <c r="C155" t="s">
        <v>8</v>
      </c>
      <c r="D155" s="1">
        <v>45529</v>
      </c>
      <c r="E155">
        <v>129</v>
      </c>
      <c r="F155">
        <v>0</v>
      </c>
      <c r="G155">
        <f>IF(Gym_Expansion_Data[[#This Row],[Churned]]=0,1,0)</f>
        <v>1</v>
      </c>
      <c r="H155" t="str">
        <f>IF(Gym_Expansion_Data[[#This Row],[Active Member]]=1,Gym_Expansion_Data[[#This Row],[Tier]],"Inactive")</f>
        <v>Elite</v>
      </c>
    </row>
    <row r="156" spans="1:8" x14ac:dyDescent="0.2">
      <c r="A156">
        <v>1155</v>
      </c>
      <c r="B156" t="s">
        <v>10</v>
      </c>
      <c r="C156" t="s">
        <v>8</v>
      </c>
      <c r="D156" s="1">
        <v>45825</v>
      </c>
      <c r="E156">
        <v>129</v>
      </c>
      <c r="F156">
        <v>0</v>
      </c>
      <c r="G156">
        <f>IF(Gym_Expansion_Data[[#This Row],[Churned]]=0,1,0)</f>
        <v>1</v>
      </c>
      <c r="H156" t="str">
        <f>IF(Gym_Expansion_Data[[#This Row],[Active Member]]=1,Gym_Expansion_Data[[#This Row],[Tier]],"Inactive")</f>
        <v>Elite</v>
      </c>
    </row>
    <row r="157" spans="1:8" x14ac:dyDescent="0.2">
      <c r="A157">
        <v>1156</v>
      </c>
      <c r="B157" t="s">
        <v>10</v>
      </c>
      <c r="C157" t="s">
        <v>8</v>
      </c>
      <c r="D157" s="1">
        <v>45378</v>
      </c>
      <c r="E157">
        <v>129</v>
      </c>
      <c r="F157">
        <v>0</v>
      </c>
      <c r="G157">
        <f>IF(Gym_Expansion_Data[[#This Row],[Churned]]=0,1,0)</f>
        <v>1</v>
      </c>
      <c r="H157" t="str">
        <f>IF(Gym_Expansion_Data[[#This Row],[Active Member]]=1,Gym_Expansion_Data[[#This Row],[Tier]],"Inactive")</f>
        <v>Elite</v>
      </c>
    </row>
    <row r="158" spans="1:8" x14ac:dyDescent="0.2">
      <c r="A158">
        <v>1157</v>
      </c>
      <c r="B158" t="s">
        <v>9</v>
      </c>
      <c r="C158" t="s">
        <v>7</v>
      </c>
      <c r="D158" s="1">
        <v>45754</v>
      </c>
      <c r="E158">
        <v>49</v>
      </c>
      <c r="F158">
        <v>0</v>
      </c>
      <c r="G158">
        <f>IF(Gym_Expansion_Data[[#This Row],[Churned]]=0,1,0)</f>
        <v>1</v>
      </c>
      <c r="H158" t="str">
        <f>IF(Gym_Expansion_Data[[#This Row],[Active Member]]=1,Gym_Expansion_Data[[#This Row],[Tier]],"Inactive")</f>
        <v>Basic</v>
      </c>
    </row>
    <row r="159" spans="1:8" x14ac:dyDescent="0.2">
      <c r="A159">
        <v>1158</v>
      </c>
      <c r="B159" t="s">
        <v>9</v>
      </c>
      <c r="C159" t="s">
        <v>12</v>
      </c>
      <c r="D159" s="1">
        <v>45570</v>
      </c>
      <c r="E159">
        <v>89</v>
      </c>
      <c r="F159">
        <v>0</v>
      </c>
      <c r="G159">
        <f>IF(Gym_Expansion_Data[[#This Row],[Churned]]=0,1,0)</f>
        <v>1</v>
      </c>
      <c r="H159" t="str">
        <f>IF(Gym_Expansion_Data[[#This Row],[Active Member]]=1,Gym_Expansion_Data[[#This Row],[Tier]],"Inactive")</f>
        <v>Premium</v>
      </c>
    </row>
    <row r="160" spans="1:8" x14ac:dyDescent="0.2">
      <c r="A160">
        <v>1159</v>
      </c>
      <c r="B160" t="s">
        <v>9</v>
      </c>
      <c r="C160" t="s">
        <v>8</v>
      </c>
      <c r="D160" s="1">
        <v>45585</v>
      </c>
      <c r="E160">
        <v>129</v>
      </c>
      <c r="F160">
        <v>0</v>
      </c>
      <c r="G160">
        <f>IF(Gym_Expansion_Data[[#This Row],[Churned]]=0,1,0)</f>
        <v>1</v>
      </c>
      <c r="H160" t="str">
        <f>IF(Gym_Expansion_Data[[#This Row],[Active Member]]=1,Gym_Expansion_Data[[#This Row],[Tier]],"Inactive")</f>
        <v>Elite</v>
      </c>
    </row>
    <row r="161" spans="1:8" x14ac:dyDescent="0.2">
      <c r="A161">
        <v>1160</v>
      </c>
      <c r="B161" t="s">
        <v>10</v>
      </c>
      <c r="C161" t="s">
        <v>8</v>
      </c>
      <c r="D161" s="1">
        <v>45837</v>
      </c>
      <c r="E161">
        <v>129</v>
      </c>
      <c r="F161">
        <v>0</v>
      </c>
      <c r="G161">
        <f>IF(Gym_Expansion_Data[[#This Row],[Churned]]=0,1,0)</f>
        <v>1</v>
      </c>
      <c r="H161" t="str">
        <f>IF(Gym_Expansion_Data[[#This Row],[Active Member]]=1,Gym_Expansion_Data[[#This Row],[Tier]],"Inactive")</f>
        <v>Elite</v>
      </c>
    </row>
    <row r="162" spans="1:8" x14ac:dyDescent="0.2">
      <c r="A162">
        <v>1161</v>
      </c>
      <c r="B162" t="s">
        <v>6</v>
      </c>
      <c r="C162" t="s">
        <v>8</v>
      </c>
      <c r="D162" s="1">
        <v>45335</v>
      </c>
      <c r="E162">
        <v>129</v>
      </c>
      <c r="F162">
        <v>0</v>
      </c>
      <c r="G162">
        <f>IF(Gym_Expansion_Data[[#This Row],[Churned]]=0,1,0)</f>
        <v>1</v>
      </c>
      <c r="H162" t="str">
        <f>IF(Gym_Expansion_Data[[#This Row],[Active Member]]=1,Gym_Expansion_Data[[#This Row],[Tier]],"Inactive")</f>
        <v>Elite</v>
      </c>
    </row>
    <row r="163" spans="1:8" x14ac:dyDescent="0.2">
      <c r="A163">
        <v>1162</v>
      </c>
      <c r="B163" t="s">
        <v>11</v>
      </c>
      <c r="C163" t="s">
        <v>7</v>
      </c>
      <c r="D163" s="1">
        <v>45894</v>
      </c>
      <c r="E163">
        <v>49</v>
      </c>
      <c r="F163">
        <v>1</v>
      </c>
      <c r="G163">
        <f>IF(Gym_Expansion_Data[[#This Row],[Churned]]=0,1,0)</f>
        <v>0</v>
      </c>
      <c r="H163" t="str">
        <f>IF(Gym_Expansion_Data[[#This Row],[Active Member]]=1,Gym_Expansion_Data[[#This Row],[Tier]],"Inactive")</f>
        <v>Inactive</v>
      </c>
    </row>
    <row r="164" spans="1:8" x14ac:dyDescent="0.2">
      <c r="A164">
        <v>1163</v>
      </c>
      <c r="B164" t="s">
        <v>10</v>
      </c>
      <c r="C164" t="s">
        <v>7</v>
      </c>
      <c r="D164" s="1">
        <v>45488</v>
      </c>
      <c r="E164">
        <v>49</v>
      </c>
      <c r="F164">
        <v>0</v>
      </c>
      <c r="G164">
        <f>IF(Gym_Expansion_Data[[#This Row],[Churned]]=0,1,0)</f>
        <v>1</v>
      </c>
      <c r="H164" t="str">
        <f>IF(Gym_Expansion_Data[[#This Row],[Active Member]]=1,Gym_Expansion_Data[[#This Row],[Tier]],"Inactive")</f>
        <v>Basic</v>
      </c>
    </row>
    <row r="165" spans="1:8" x14ac:dyDescent="0.2">
      <c r="A165">
        <v>1164</v>
      </c>
      <c r="B165" t="s">
        <v>9</v>
      </c>
      <c r="C165" t="s">
        <v>8</v>
      </c>
      <c r="D165" s="1">
        <v>45516</v>
      </c>
      <c r="E165">
        <v>129</v>
      </c>
      <c r="F165">
        <v>0</v>
      </c>
      <c r="G165">
        <f>IF(Gym_Expansion_Data[[#This Row],[Churned]]=0,1,0)</f>
        <v>1</v>
      </c>
      <c r="H165" t="str">
        <f>IF(Gym_Expansion_Data[[#This Row],[Active Member]]=1,Gym_Expansion_Data[[#This Row],[Tier]],"Inactive")</f>
        <v>Elite</v>
      </c>
    </row>
    <row r="166" spans="1:8" x14ac:dyDescent="0.2">
      <c r="A166">
        <v>1165</v>
      </c>
      <c r="B166" t="s">
        <v>11</v>
      </c>
      <c r="C166" t="s">
        <v>7</v>
      </c>
      <c r="D166" s="1">
        <v>45598</v>
      </c>
      <c r="E166">
        <v>49</v>
      </c>
      <c r="F166">
        <v>0</v>
      </c>
      <c r="G166">
        <f>IF(Gym_Expansion_Data[[#This Row],[Churned]]=0,1,0)</f>
        <v>1</v>
      </c>
      <c r="H166" t="str">
        <f>IF(Gym_Expansion_Data[[#This Row],[Active Member]]=1,Gym_Expansion_Data[[#This Row],[Tier]],"Inactive")</f>
        <v>Basic</v>
      </c>
    </row>
    <row r="167" spans="1:8" x14ac:dyDescent="0.2">
      <c r="A167">
        <v>1166</v>
      </c>
      <c r="B167" t="s">
        <v>9</v>
      </c>
      <c r="C167" t="s">
        <v>7</v>
      </c>
      <c r="D167" s="1">
        <v>45522</v>
      </c>
      <c r="E167">
        <v>49</v>
      </c>
      <c r="F167">
        <v>0</v>
      </c>
      <c r="G167">
        <f>IF(Gym_Expansion_Data[[#This Row],[Churned]]=0,1,0)</f>
        <v>1</v>
      </c>
      <c r="H167" t="str">
        <f>IF(Gym_Expansion_Data[[#This Row],[Active Member]]=1,Gym_Expansion_Data[[#This Row],[Tier]],"Inactive")</f>
        <v>Basic</v>
      </c>
    </row>
    <row r="168" spans="1:8" x14ac:dyDescent="0.2">
      <c r="A168">
        <v>1167</v>
      </c>
      <c r="B168" t="s">
        <v>11</v>
      </c>
      <c r="C168" t="s">
        <v>12</v>
      </c>
      <c r="D168" s="1">
        <v>45425</v>
      </c>
      <c r="E168">
        <v>89</v>
      </c>
      <c r="F168">
        <v>0</v>
      </c>
      <c r="G168">
        <f>IF(Gym_Expansion_Data[[#This Row],[Churned]]=0,1,0)</f>
        <v>1</v>
      </c>
      <c r="H168" t="str">
        <f>IF(Gym_Expansion_Data[[#This Row],[Active Member]]=1,Gym_Expansion_Data[[#This Row],[Tier]],"Inactive")</f>
        <v>Premium</v>
      </c>
    </row>
    <row r="169" spans="1:8" x14ac:dyDescent="0.2">
      <c r="A169">
        <v>1168</v>
      </c>
      <c r="B169" t="s">
        <v>9</v>
      </c>
      <c r="C169" t="s">
        <v>7</v>
      </c>
      <c r="D169" s="1">
        <v>45319</v>
      </c>
      <c r="E169">
        <v>49</v>
      </c>
      <c r="F169">
        <v>0</v>
      </c>
      <c r="G169">
        <f>IF(Gym_Expansion_Data[[#This Row],[Churned]]=0,1,0)</f>
        <v>1</v>
      </c>
      <c r="H169" t="str">
        <f>IF(Gym_Expansion_Data[[#This Row],[Active Member]]=1,Gym_Expansion_Data[[#This Row],[Tier]],"Inactive")</f>
        <v>Basic</v>
      </c>
    </row>
    <row r="170" spans="1:8" x14ac:dyDescent="0.2">
      <c r="A170">
        <v>1169</v>
      </c>
      <c r="B170" t="s">
        <v>9</v>
      </c>
      <c r="C170" t="s">
        <v>7</v>
      </c>
      <c r="D170" s="1">
        <v>45934</v>
      </c>
      <c r="E170">
        <v>49</v>
      </c>
      <c r="F170">
        <v>0</v>
      </c>
      <c r="G170">
        <f>IF(Gym_Expansion_Data[[#This Row],[Churned]]=0,1,0)</f>
        <v>1</v>
      </c>
      <c r="H170" t="str">
        <f>IF(Gym_Expansion_Data[[#This Row],[Active Member]]=1,Gym_Expansion_Data[[#This Row],[Tier]],"Inactive")</f>
        <v>Basic</v>
      </c>
    </row>
    <row r="171" spans="1:8" x14ac:dyDescent="0.2">
      <c r="A171">
        <v>1170</v>
      </c>
      <c r="B171" t="s">
        <v>9</v>
      </c>
      <c r="C171" t="s">
        <v>7</v>
      </c>
      <c r="D171" s="1">
        <v>45361</v>
      </c>
      <c r="E171">
        <v>49</v>
      </c>
      <c r="F171">
        <v>0</v>
      </c>
      <c r="G171">
        <f>IF(Gym_Expansion_Data[[#This Row],[Churned]]=0,1,0)</f>
        <v>1</v>
      </c>
      <c r="H171" t="str">
        <f>IF(Gym_Expansion_Data[[#This Row],[Active Member]]=1,Gym_Expansion_Data[[#This Row],[Tier]],"Inactive")</f>
        <v>Basic</v>
      </c>
    </row>
    <row r="172" spans="1:8" x14ac:dyDescent="0.2">
      <c r="A172">
        <v>1171</v>
      </c>
      <c r="B172" t="s">
        <v>10</v>
      </c>
      <c r="C172" t="s">
        <v>7</v>
      </c>
      <c r="D172" s="1">
        <v>45891</v>
      </c>
      <c r="E172">
        <v>49</v>
      </c>
      <c r="F172">
        <v>0</v>
      </c>
      <c r="G172">
        <f>IF(Gym_Expansion_Data[[#This Row],[Churned]]=0,1,0)</f>
        <v>1</v>
      </c>
      <c r="H172" t="str">
        <f>IF(Gym_Expansion_Data[[#This Row],[Active Member]]=1,Gym_Expansion_Data[[#This Row],[Tier]],"Inactive")</f>
        <v>Basic</v>
      </c>
    </row>
    <row r="173" spans="1:8" x14ac:dyDescent="0.2">
      <c r="A173">
        <v>1172</v>
      </c>
      <c r="B173" t="s">
        <v>11</v>
      </c>
      <c r="C173" t="s">
        <v>7</v>
      </c>
      <c r="D173" s="1">
        <v>45407</v>
      </c>
      <c r="E173">
        <v>49</v>
      </c>
      <c r="F173">
        <v>0</v>
      </c>
      <c r="G173">
        <f>IF(Gym_Expansion_Data[[#This Row],[Churned]]=0,1,0)</f>
        <v>1</v>
      </c>
      <c r="H173" t="str">
        <f>IF(Gym_Expansion_Data[[#This Row],[Active Member]]=1,Gym_Expansion_Data[[#This Row],[Tier]],"Inactive")</f>
        <v>Basic</v>
      </c>
    </row>
    <row r="174" spans="1:8" x14ac:dyDescent="0.2">
      <c r="A174">
        <v>1173</v>
      </c>
      <c r="B174" t="s">
        <v>11</v>
      </c>
      <c r="C174" t="s">
        <v>7</v>
      </c>
      <c r="D174" s="1">
        <v>45913</v>
      </c>
      <c r="E174">
        <v>49</v>
      </c>
      <c r="F174">
        <v>0</v>
      </c>
      <c r="G174">
        <f>IF(Gym_Expansion_Data[[#This Row],[Churned]]=0,1,0)</f>
        <v>1</v>
      </c>
      <c r="H174" t="str">
        <f>IF(Gym_Expansion_Data[[#This Row],[Active Member]]=1,Gym_Expansion_Data[[#This Row],[Tier]],"Inactive")</f>
        <v>Basic</v>
      </c>
    </row>
    <row r="175" spans="1:8" x14ac:dyDescent="0.2">
      <c r="A175">
        <v>1174</v>
      </c>
      <c r="B175" t="s">
        <v>11</v>
      </c>
      <c r="C175" t="s">
        <v>7</v>
      </c>
      <c r="D175" s="1">
        <v>45328</v>
      </c>
      <c r="E175">
        <v>49</v>
      </c>
      <c r="F175">
        <v>0</v>
      </c>
      <c r="G175">
        <f>IF(Gym_Expansion_Data[[#This Row],[Churned]]=0,1,0)</f>
        <v>1</v>
      </c>
      <c r="H175" t="str">
        <f>IF(Gym_Expansion_Data[[#This Row],[Active Member]]=1,Gym_Expansion_Data[[#This Row],[Tier]],"Inactive")</f>
        <v>Basic</v>
      </c>
    </row>
    <row r="176" spans="1:8" x14ac:dyDescent="0.2">
      <c r="A176">
        <v>1175</v>
      </c>
      <c r="B176" t="s">
        <v>11</v>
      </c>
      <c r="C176" t="s">
        <v>7</v>
      </c>
      <c r="D176" s="1">
        <v>45703</v>
      </c>
      <c r="E176">
        <v>49</v>
      </c>
      <c r="F176">
        <v>1</v>
      </c>
      <c r="G176">
        <f>IF(Gym_Expansion_Data[[#This Row],[Churned]]=0,1,0)</f>
        <v>0</v>
      </c>
      <c r="H176" t="str">
        <f>IF(Gym_Expansion_Data[[#This Row],[Active Member]]=1,Gym_Expansion_Data[[#This Row],[Tier]],"Inactive")</f>
        <v>Inactive</v>
      </c>
    </row>
    <row r="177" spans="1:8" x14ac:dyDescent="0.2">
      <c r="A177">
        <v>1176</v>
      </c>
      <c r="B177" t="s">
        <v>9</v>
      </c>
      <c r="C177" t="s">
        <v>12</v>
      </c>
      <c r="D177" s="1">
        <v>45462</v>
      </c>
      <c r="E177">
        <v>89</v>
      </c>
      <c r="F177">
        <v>0</v>
      </c>
      <c r="G177">
        <f>IF(Gym_Expansion_Data[[#This Row],[Churned]]=0,1,0)</f>
        <v>1</v>
      </c>
      <c r="H177" t="str">
        <f>IF(Gym_Expansion_Data[[#This Row],[Active Member]]=1,Gym_Expansion_Data[[#This Row],[Tier]],"Inactive")</f>
        <v>Premium</v>
      </c>
    </row>
    <row r="178" spans="1:8" x14ac:dyDescent="0.2">
      <c r="A178">
        <v>1177</v>
      </c>
      <c r="B178" t="s">
        <v>6</v>
      </c>
      <c r="C178" t="s">
        <v>12</v>
      </c>
      <c r="D178" s="1">
        <v>45901</v>
      </c>
      <c r="E178">
        <v>89</v>
      </c>
      <c r="F178">
        <v>0</v>
      </c>
      <c r="G178">
        <f>IF(Gym_Expansion_Data[[#This Row],[Churned]]=0,1,0)</f>
        <v>1</v>
      </c>
      <c r="H178" t="str">
        <f>IF(Gym_Expansion_Data[[#This Row],[Active Member]]=1,Gym_Expansion_Data[[#This Row],[Tier]],"Inactive")</f>
        <v>Premium</v>
      </c>
    </row>
    <row r="179" spans="1:8" x14ac:dyDescent="0.2">
      <c r="A179">
        <v>1178</v>
      </c>
      <c r="B179" t="s">
        <v>11</v>
      </c>
      <c r="C179" t="s">
        <v>12</v>
      </c>
      <c r="D179" s="1">
        <v>45772</v>
      </c>
      <c r="E179">
        <v>89</v>
      </c>
      <c r="F179">
        <v>0</v>
      </c>
      <c r="G179">
        <f>IF(Gym_Expansion_Data[[#This Row],[Churned]]=0,1,0)</f>
        <v>1</v>
      </c>
      <c r="H179" t="str">
        <f>IF(Gym_Expansion_Data[[#This Row],[Active Member]]=1,Gym_Expansion_Data[[#This Row],[Tier]],"Inactive")</f>
        <v>Premium</v>
      </c>
    </row>
    <row r="180" spans="1:8" x14ac:dyDescent="0.2">
      <c r="A180">
        <v>1179</v>
      </c>
      <c r="B180" t="s">
        <v>10</v>
      </c>
      <c r="C180" t="s">
        <v>7</v>
      </c>
      <c r="D180" s="1">
        <v>45510</v>
      </c>
      <c r="E180">
        <v>49</v>
      </c>
      <c r="F180">
        <v>0</v>
      </c>
      <c r="G180">
        <f>IF(Gym_Expansion_Data[[#This Row],[Churned]]=0,1,0)</f>
        <v>1</v>
      </c>
      <c r="H180" t="str">
        <f>IF(Gym_Expansion_Data[[#This Row],[Active Member]]=1,Gym_Expansion_Data[[#This Row],[Tier]],"Inactive")</f>
        <v>Basic</v>
      </c>
    </row>
    <row r="181" spans="1:8" x14ac:dyDescent="0.2">
      <c r="A181">
        <v>1180</v>
      </c>
      <c r="B181" t="s">
        <v>10</v>
      </c>
      <c r="C181" t="s">
        <v>8</v>
      </c>
      <c r="D181" s="1">
        <v>45332</v>
      </c>
      <c r="E181">
        <v>129</v>
      </c>
      <c r="F181">
        <v>0</v>
      </c>
      <c r="G181">
        <f>IF(Gym_Expansion_Data[[#This Row],[Churned]]=0,1,0)</f>
        <v>1</v>
      </c>
      <c r="H181" t="str">
        <f>IF(Gym_Expansion_Data[[#This Row],[Active Member]]=1,Gym_Expansion_Data[[#This Row],[Tier]],"Inactive")</f>
        <v>Elite</v>
      </c>
    </row>
    <row r="182" spans="1:8" x14ac:dyDescent="0.2">
      <c r="A182">
        <v>1181</v>
      </c>
      <c r="B182" t="s">
        <v>6</v>
      </c>
      <c r="C182" t="s">
        <v>12</v>
      </c>
      <c r="D182" s="1">
        <v>45796</v>
      </c>
      <c r="E182">
        <v>89</v>
      </c>
      <c r="F182">
        <v>0</v>
      </c>
      <c r="G182">
        <f>IF(Gym_Expansion_Data[[#This Row],[Churned]]=0,1,0)</f>
        <v>1</v>
      </c>
      <c r="H182" t="str">
        <f>IF(Gym_Expansion_Data[[#This Row],[Active Member]]=1,Gym_Expansion_Data[[#This Row],[Tier]],"Inactive")</f>
        <v>Premium</v>
      </c>
    </row>
    <row r="183" spans="1:8" x14ac:dyDescent="0.2">
      <c r="A183">
        <v>1182</v>
      </c>
      <c r="B183" t="s">
        <v>6</v>
      </c>
      <c r="C183" t="s">
        <v>8</v>
      </c>
      <c r="D183" s="1">
        <v>45436</v>
      </c>
      <c r="E183">
        <v>129</v>
      </c>
      <c r="F183">
        <v>1</v>
      </c>
      <c r="G183">
        <f>IF(Gym_Expansion_Data[[#This Row],[Churned]]=0,1,0)</f>
        <v>0</v>
      </c>
      <c r="H183" t="str">
        <f>IF(Gym_Expansion_Data[[#This Row],[Active Member]]=1,Gym_Expansion_Data[[#This Row],[Tier]],"Inactive")</f>
        <v>Inactive</v>
      </c>
    </row>
    <row r="184" spans="1:8" x14ac:dyDescent="0.2">
      <c r="A184">
        <v>1183</v>
      </c>
      <c r="B184" t="s">
        <v>9</v>
      </c>
      <c r="C184" t="s">
        <v>12</v>
      </c>
      <c r="D184" s="1">
        <v>45627</v>
      </c>
      <c r="E184">
        <v>89</v>
      </c>
      <c r="F184">
        <v>0</v>
      </c>
      <c r="G184">
        <f>IF(Gym_Expansion_Data[[#This Row],[Churned]]=0,1,0)</f>
        <v>1</v>
      </c>
      <c r="H184" t="str">
        <f>IF(Gym_Expansion_Data[[#This Row],[Active Member]]=1,Gym_Expansion_Data[[#This Row],[Tier]],"Inactive")</f>
        <v>Premium</v>
      </c>
    </row>
    <row r="185" spans="1:8" x14ac:dyDescent="0.2">
      <c r="A185">
        <v>1184</v>
      </c>
      <c r="B185" t="s">
        <v>9</v>
      </c>
      <c r="C185" t="s">
        <v>12</v>
      </c>
      <c r="D185" s="1">
        <v>45363</v>
      </c>
      <c r="E185">
        <v>89</v>
      </c>
      <c r="F185">
        <v>0</v>
      </c>
      <c r="G185">
        <f>IF(Gym_Expansion_Data[[#This Row],[Churned]]=0,1,0)</f>
        <v>1</v>
      </c>
      <c r="H185" t="str">
        <f>IF(Gym_Expansion_Data[[#This Row],[Active Member]]=1,Gym_Expansion_Data[[#This Row],[Tier]],"Inactive")</f>
        <v>Premium</v>
      </c>
    </row>
    <row r="186" spans="1:8" x14ac:dyDescent="0.2">
      <c r="A186">
        <v>1185</v>
      </c>
      <c r="B186" t="s">
        <v>10</v>
      </c>
      <c r="C186" t="s">
        <v>7</v>
      </c>
      <c r="D186" s="1">
        <v>45767</v>
      </c>
      <c r="E186">
        <v>49</v>
      </c>
      <c r="F186">
        <v>0</v>
      </c>
      <c r="G186">
        <f>IF(Gym_Expansion_Data[[#This Row],[Churned]]=0,1,0)</f>
        <v>1</v>
      </c>
      <c r="H186" t="str">
        <f>IF(Gym_Expansion_Data[[#This Row],[Active Member]]=1,Gym_Expansion_Data[[#This Row],[Tier]],"Inactive")</f>
        <v>Basic</v>
      </c>
    </row>
    <row r="187" spans="1:8" x14ac:dyDescent="0.2">
      <c r="A187">
        <v>1186</v>
      </c>
      <c r="B187" t="s">
        <v>10</v>
      </c>
      <c r="C187" t="s">
        <v>12</v>
      </c>
      <c r="D187" s="1">
        <v>45868</v>
      </c>
      <c r="E187">
        <v>89</v>
      </c>
      <c r="F187">
        <v>0</v>
      </c>
      <c r="G187">
        <f>IF(Gym_Expansion_Data[[#This Row],[Churned]]=0,1,0)</f>
        <v>1</v>
      </c>
      <c r="H187" t="str">
        <f>IF(Gym_Expansion_Data[[#This Row],[Active Member]]=1,Gym_Expansion_Data[[#This Row],[Tier]],"Inactive")</f>
        <v>Premium</v>
      </c>
    </row>
    <row r="188" spans="1:8" x14ac:dyDescent="0.2">
      <c r="A188">
        <v>1187</v>
      </c>
      <c r="B188" t="s">
        <v>6</v>
      </c>
      <c r="C188" t="s">
        <v>7</v>
      </c>
      <c r="D188" s="1">
        <v>45304</v>
      </c>
      <c r="E188">
        <v>49</v>
      </c>
      <c r="F188">
        <v>0</v>
      </c>
      <c r="G188">
        <f>IF(Gym_Expansion_Data[[#This Row],[Churned]]=0,1,0)</f>
        <v>1</v>
      </c>
      <c r="H188" t="str">
        <f>IF(Gym_Expansion_Data[[#This Row],[Active Member]]=1,Gym_Expansion_Data[[#This Row],[Tier]],"Inactive")</f>
        <v>Basic</v>
      </c>
    </row>
    <row r="189" spans="1:8" x14ac:dyDescent="0.2">
      <c r="A189">
        <v>1188</v>
      </c>
      <c r="B189" t="s">
        <v>10</v>
      </c>
      <c r="C189" t="s">
        <v>7</v>
      </c>
      <c r="D189" s="1">
        <v>45959</v>
      </c>
      <c r="E189">
        <v>49</v>
      </c>
      <c r="F189">
        <v>0</v>
      </c>
      <c r="G189">
        <f>IF(Gym_Expansion_Data[[#This Row],[Churned]]=0,1,0)</f>
        <v>1</v>
      </c>
      <c r="H189" t="str">
        <f>IF(Gym_Expansion_Data[[#This Row],[Active Member]]=1,Gym_Expansion_Data[[#This Row],[Tier]],"Inactive")</f>
        <v>Basic</v>
      </c>
    </row>
    <row r="190" spans="1:8" x14ac:dyDescent="0.2">
      <c r="A190">
        <v>1189</v>
      </c>
      <c r="B190" t="s">
        <v>9</v>
      </c>
      <c r="C190" t="s">
        <v>8</v>
      </c>
      <c r="D190" s="1">
        <v>45738</v>
      </c>
      <c r="E190">
        <v>129</v>
      </c>
      <c r="F190">
        <v>0</v>
      </c>
      <c r="G190">
        <f>IF(Gym_Expansion_Data[[#This Row],[Churned]]=0,1,0)</f>
        <v>1</v>
      </c>
      <c r="H190" t="str">
        <f>IF(Gym_Expansion_Data[[#This Row],[Active Member]]=1,Gym_Expansion_Data[[#This Row],[Tier]],"Inactive")</f>
        <v>Elite</v>
      </c>
    </row>
    <row r="191" spans="1:8" x14ac:dyDescent="0.2">
      <c r="A191">
        <v>1190</v>
      </c>
      <c r="B191" t="s">
        <v>9</v>
      </c>
      <c r="C191" t="s">
        <v>8</v>
      </c>
      <c r="D191" s="1">
        <v>45337</v>
      </c>
      <c r="E191">
        <v>129</v>
      </c>
      <c r="F191">
        <v>0</v>
      </c>
      <c r="G191">
        <f>IF(Gym_Expansion_Data[[#This Row],[Churned]]=0,1,0)</f>
        <v>1</v>
      </c>
      <c r="H191" t="str">
        <f>IF(Gym_Expansion_Data[[#This Row],[Active Member]]=1,Gym_Expansion_Data[[#This Row],[Tier]],"Inactive")</f>
        <v>Elite</v>
      </c>
    </row>
    <row r="192" spans="1:8" x14ac:dyDescent="0.2">
      <c r="A192">
        <v>1191</v>
      </c>
      <c r="B192" t="s">
        <v>9</v>
      </c>
      <c r="C192" t="s">
        <v>7</v>
      </c>
      <c r="D192" s="1">
        <v>45538</v>
      </c>
      <c r="E192">
        <v>49</v>
      </c>
      <c r="F192">
        <v>0</v>
      </c>
      <c r="G192">
        <f>IF(Gym_Expansion_Data[[#This Row],[Churned]]=0,1,0)</f>
        <v>1</v>
      </c>
      <c r="H192" t="str">
        <f>IF(Gym_Expansion_Data[[#This Row],[Active Member]]=1,Gym_Expansion_Data[[#This Row],[Tier]],"Inactive")</f>
        <v>Basic</v>
      </c>
    </row>
    <row r="193" spans="1:8" x14ac:dyDescent="0.2">
      <c r="A193">
        <v>1192</v>
      </c>
      <c r="B193" t="s">
        <v>10</v>
      </c>
      <c r="C193" t="s">
        <v>7</v>
      </c>
      <c r="D193" s="1">
        <v>45555</v>
      </c>
      <c r="E193">
        <v>49</v>
      </c>
      <c r="F193">
        <v>0</v>
      </c>
      <c r="G193">
        <f>IF(Gym_Expansion_Data[[#This Row],[Churned]]=0,1,0)</f>
        <v>1</v>
      </c>
      <c r="H193" t="str">
        <f>IF(Gym_Expansion_Data[[#This Row],[Active Member]]=1,Gym_Expansion_Data[[#This Row],[Tier]],"Inactive")</f>
        <v>Basic</v>
      </c>
    </row>
    <row r="194" spans="1:8" x14ac:dyDescent="0.2">
      <c r="A194">
        <v>1193</v>
      </c>
      <c r="B194" t="s">
        <v>9</v>
      </c>
      <c r="C194" t="s">
        <v>7</v>
      </c>
      <c r="D194" s="1">
        <v>45698</v>
      </c>
      <c r="E194">
        <v>49</v>
      </c>
      <c r="F194">
        <v>0</v>
      </c>
      <c r="G194">
        <f>IF(Gym_Expansion_Data[[#This Row],[Churned]]=0,1,0)</f>
        <v>1</v>
      </c>
      <c r="H194" t="str">
        <f>IF(Gym_Expansion_Data[[#This Row],[Active Member]]=1,Gym_Expansion_Data[[#This Row],[Tier]],"Inactive")</f>
        <v>Basic</v>
      </c>
    </row>
    <row r="195" spans="1:8" x14ac:dyDescent="0.2">
      <c r="A195">
        <v>1194</v>
      </c>
      <c r="B195" t="s">
        <v>9</v>
      </c>
      <c r="C195" t="s">
        <v>7</v>
      </c>
      <c r="D195" s="1">
        <v>45444</v>
      </c>
      <c r="E195">
        <v>49</v>
      </c>
      <c r="F195">
        <v>1</v>
      </c>
      <c r="G195">
        <f>IF(Gym_Expansion_Data[[#This Row],[Churned]]=0,1,0)</f>
        <v>0</v>
      </c>
      <c r="H195" t="str">
        <f>IF(Gym_Expansion_Data[[#This Row],[Active Member]]=1,Gym_Expansion_Data[[#This Row],[Tier]],"Inactive")</f>
        <v>Inactive</v>
      </c>
    </row>
    <row r="196" spans="1:8" x14ac:dyDescent="0.2">
      <c r="A196">
        <v>1195</v>
      </c>
      <c r="B196" t="s">
        <v>9</v>
      </c>
      <c r="C196" t="s">
        <v>7</v>
      </c>
      <c r="D196" s="1">
        <v>45558</v>
      </c>
      <c r="E196">
        <v>49</v>
      </c>
      <c r="F196">
        <v>1</v>
      </c>
      <c r="G196">
        <f>IF(Gym_Expansion_Data[[#This Row],[Churned]]=0,1,0)</f>
        <v>0</v>
      </c>
      <c r="H196" t="str">
        <f>IF(Gym_Expansion_Data[[#This Row],[Active Member]]=1,Gym_Expansion_Data[[#This Row],[Tier]],"Inactive")</f>
        <v>Inactive</v>
      </c>
    </row>
    <row r="197" spans="1:8" x14ac:dyDescent="0.2">
      <c r="A197">
        <v>1196</v>
      </c>
      <c r="B197" t="s">
        <v>9</v>
      </c>
      <c r="C197" t="s">
        <v>7</v>
      </c>
      <c r="D197" s="1">
        <v>45548</v>
      </c>
      <c r="E197">
        <v>49</v>
      </c>
      <c r="F197">
        <v>0</v>
      </c>
      <c r="G197">
        <f>IF(Gym_Expansion_Data[[#This Row],[Churned]]=0,1,0)</f>
        <v>1</v>
      </c>
      <c r="H197" t="str">
        <f>IF(Gym_Expansion_Data[[#This Row],[Active Member]]=1,Gym_Expansion_Data[[#This Row],[Tier]],"Inactive")</f>
        <v>Basic</v>
      </c>
    </row>
    <row r="198" spans="1:8" x14ac:dyDescent="0.2">
      <c r="A198">
        <v>1197</v>
      </c>
      <c r="B198" t="s">
        <v>11</v>
      </c>
      <c r="C198" t="s">
        <v>12</v>
      </c>
      <c r="D198" s="1">
        <v>45477</v>
      </c>
      <c r="E198">
        <v>89</v>
      </c>
      <c r="F198">
        <v>0</v>
      </c>
      <c r="G198">
        <f>IF(Gym_Expansion_Data[[#This Row],[Churned]]=0,1,0)</f>
        <v>1</v>
      </c>
      <c r="H198" t="str">
        <f>IF(Gym_Expansion_Data[[#This Row],[Active Member]]=1,Gym_Expansion_Data[[#This Row],[Tier]],"Inactive")</f>
        <v>Premium</v>
      </c>
    </row>
    <row r="199" spans="1:8" x14ac:dyDescent="0.2">
      <c r="A199">
        <v>1198</v>
      </c>
      <c r="B199" t="s">
        <v>9</v>
      </c>
      <c r="C199" t="s">
        <v>7</v>
      </c>
      <c r="D199" s="1">
        <v>45865</v>
      </c>
      <c r="E199">
        <v>49</v>
      </c>
      <c r="F199">
        <v>0</v>
      </c>
      <c r="G199">
        <f>IF(Gym_Expansion_Data[[#This Row],[Churned]]=0,1,0)</f>
        <v>1</v>
      </c>
      <c r="H199" t="str">
        <f>IF(Gym_Expansion_Data[[#This Row],[Active Member]]=1,Gym_Expansion_Data[[#This Row],[Tier]],"Inactive")</f>
        <v>Basic</v>
      </c>
    </row>
    <row r="200" spans="1:8" x14ac:dyDescent="0.2">
      <c r="A200">
        <v>1199</v>
      </c>
      <c r="B200" t="s">
        <v>10</v>
      </c>
      <c r="C200" t="s">
        <v>7</v>
      </c>
      <c r="D200" s="1">
        <v>45754</v>
      </c>
      <c r="E200">
        <v>49</v>
      </c>
      <c r="F200">
        <v>0</v>
      </c>
      <c r="G200">
        <f>IF(Gym_Expansion_Data[[#This Row],[Churned]]=0,1,0)</f>
        <v>1</v>
      </c>
      <c r="H200" t="str">
        <f>IF(Gym_Expansion_Data[[#This Row],[Active Member]]=1,Gym_Expansion_Data[[#This Row],[Tier]],"Inactive")</f>
        <v>Basic</v>
      </c>
    </row>
    <row r="201" spans="1:8" x14ac:dyDescent="0.2">
      <c r="A201">
        <v>1200</v>
      </c>
      <c r="B201" t="s">
        <v>10</v>
      </c>
      <c r="C201" t="s">
        <v>8</v>
      </c>
      <c r="D201" s="1">
        <v>45454</v>
      </c>
      <c r="E201">
        <v>129</v>
      </c>
      <c r="F201">
        <v>0</v>
      </c>
      <c r="G201">
        <f>IF(Gym_Expansion_Data[[#This Row],[Churned]]=0,1,0)</f>
        <v>1</v>
      </c>
      <c r="H201" t="str">
        <f>IF(Gym_Expansion_Data[[#This Row],[Active Member]]=1,Gym_Expansion_Data[[#This Row],[Tier]],"Inactive")</f>
        <v>Elite</v>
      </c>
    </row>
    <row r="202" spans="1:8" x14ac:dyDescent="0.2">
      <c r="A202">
        <v>1201</v>
      </c>
      <c r="B202" t="s">
        <v>6</v>
      </c>
      <c r="C202" t="s">
        <v>7</v>
      </c>
      <c r="D202" s="1">
        <v>45385</v>
      </c>
      <c r="E202">
        <v>49</v>
      </c>
      <c r="F202">
        <v>0</v>
      </c>
      <c r="G202">
        <f>IF(Gym_Expansion_Data[[#This Row],[Churned]]=0,1,0)</f>
        <v>1</v>
      </c>
      <c r="H202" t="str">
        <f>IF(Gym_Expansion_Data[[#This Row],[Active Member]]=1,Gym_Expansion_Data[[#This Row],[Tier]],"Inactive")</f>
        <v>Basic</v>
      </c>
    </row>
    <row r="203" spans="1:8" x14ac:dyDescent="0.2">
      <c r="A203">
        <v>1202</v>
      </c>
      <c r="B203" t="s">
        <v>11</v>
      </c>
      <c r="C203" t="s">
        <v>12</v>
      </c>
      <c r="D203" s="1">
        <v>45524</v>
      </c>
      <c r="E203">
        <v>89</v>
      </c>
      <c r="F203">
        <v>0</v>
      </c>
      <c r="G203">
        <f>IF(Gym_Expansion_Data[[#This Row],[Churned]]=0,1,0)</f>
        <v>1</v>
      </c>
      <c r="H203" t="str">
        <f>IF(Gym_Expansion_Data[[#This Row],[Active Member]]=1,Gym_Expansion_Data[[#This Row],[Tier]],"Inactive")</f>
        <v>Premium</v>
      </c>
    </row>
    <row r="204" spans="1:8" x14ac:dyDescent="0.2">
      <c r="A204">
        <v>1203</v>
      </c>
      <c r="B204" t="s">
        <v>6</v>
      </c>
      <c r="C204" t="s">
        <v>7</v>
      </c>
      <c r="D204" s="1">
        <v>45796</v>
      </c>
      <c r="E204">
        <v>49</v>
      </c>
      <c r="F204">
        <v>0</v>
      </c>
      <c r="G204">
        <f>IF(Gym_Expansion_Data[[#This Row],[Churned]]=0,1,0)</f>
        <v>1</v>
      </c>
      <c r="H204" t="str">
        <f>IF(Gym_Expansion_Data[[#This Row],[Active Member]]=1,Gym_Expansion_Data[[#This Row],[Tier]],"Inactive")</f>
        <v>Basic</v>
      </c>
    </row>
    <row r="205" spans="1:8" x14ac:dyDescent="0.2">
      <c r="A205">
        <v>1204</v>
      </c>
      <c r="B205" t="s">
        <v>11</v>
      </c>
      <c r="C205" t="s">
        <v>7</v>
      </c>
      <c r="D205" s="1">
        <v>45674</v>
      </c>
      <c r="E205">
        <v>49</v>
      </c>
      <c r="F205">
        <v>1</v>
      </c>
      <c r="G205">
        <f>IF(Gym_Expansion_Data[[#This Row],[Churned]]=0,1,0)</f>
        <v>0</v>
      </c>
      <c r="H205" t="str">
        <f>IF(Gym_Expansion_Data[[#This Row],[Active Member]]=1,Gym_Expansion_Data[[#This Row],[Tier]],"Inactive")</f>
        <v>Inactive</v>
      </c>
    </row>
    <row r="206" spans="1:8" x14ac:dyDescent="0.2">
      <c r="A206">
        <v>1205</v>
      </c>
      <c r="B206" t="s">
        <v>9</v>
      </c>
      <c r="C206" t="s">
        <v>12</v>
      </c>
      <c r="D206" s="1">
        <v>45546</v>
      </c>
      <c r="E206">
        <v>89</v>
      </c>
      <c r="F206">
        <v>0</v>
      </c>
      <c r="G206">
        <f>IF(Gym_Expansion_Data[[#This Row],[Churned]]=0,1,0)</f>
        <v>1</v>
      </c>
      <c r="H206" t="str">
        <f>IF(Gym_Expansion_Data[[#This Row],[Active Member]]=1,Gym_Expansion_Data[[#This Row],[Tier]],"Inactive")</f>
        <v>Premium</v>
      </c>
    </row>
    <row r="207" spans="1:8" x14ac:dyDescent="0.2">
      <c r="A207">
        <v>1206</v>
      </c>
      <c r="B207" t="s">
        <v>11</v>
      </c>
      <c r="C207" t="s">
        <v>12</v>
      </c>
      <c r="D207" s="1">
        <v>45836</v>
      </c>
      <c r="E207">
        <v>89</v>
      </c>
      <c r="F207">
        <v>0</v>
      </c>
      <c r="G207">
        <f>IF(Gym_Expansion_Data[[#This Row],[Churned]]=0,1,0)</f>
        <v>1</v>
      </c>
      <c r="H207" t="str">
        <f>IF(Gym_Expansion_Data[[#This Row],[Active Member]]=1,Gym_Expansion_Data[[#This Row],[Tier]],"Inactive")</f>
        <v>Premium</v>
      </c>
    </row>
    <row r="208" spans="1:8" x14ac:dyDescent="0.2">
      <c r="A208">
        <v>1207</v>
      </c>
      <c r="B208" t="s">
        <v>6</v>
      </c>
      <c r="C208" t="s">
        <v>7</v>
      </c>
      <c r="D208" s="1">
        <v>45569</v>
      </c>
      <c r="E208">
        <v>49</v>
      </c>
      <c r="F208">
        <v>0</v>
      </c>
      <c r="G208">
        <f>IF(Gym_Expansion_Data[[#This Row],[Churned]]=0,1,0)</f>
        <v>1</v>
      </c>
      <c r="H208" t="str">
        <f>IF(Gym_Expansion_Data[[#This Row],[Active Member]]=1,Gym_Expansion_Data[[#This Row],[Tier]],"Inactive")</f>
        <v>Basic</v>
      </c>
    </row>
    <row r="209" spans="1:8" x14ac:dyDescent="0.2">
      <c r="A209">
        <v>1208</v>
      </c>
      <c r="B209" t="s">
        <v>11</v>
      </c>
      <c r="C209" t="s">
        <v>7</v>
      </c>
      <c r="D209" s="1">
        <v>45676</v>
      </c>
      <c r="E209">
        <v>49</v>
      </c>
      <c r="F209">
        <v>0</v>
      </c>
      <c r="G209">
        <f>IF(Gym_Expansion_Data[[#This Row],[Churned]]=0,1,0)</f>
        <v>1</v>
      </c>
      <c r="H209" t="str">
        <f>IF(Gym_Expansion_Data[[#This Row],[Active Member]]=1,Gym_Expansion_Data[[#This Row],[Tier]],"Inactive")</f>
        <v>Basic</v>
      </c>
    </row>
    <row r="210" spans="1:8" x14ac:dyDescent="0.2">
      <c r="A210">
        <v>1209</v>
      </c>
      <c r="B210" t="s">
        <v>9</v>
      </c>
      <c r="C210" t="s">
        <v>12</v>
      </c>
      <c r="D210" s="1">
        <v>45395</v>
      </c>
      <c r="E210">
        <v>89</v>
      </c>
      <c r="F210">
        <v>0</v>
      </c>
      <c r="G210">
        <f>IF(Gym_Expansion_Data[[#This Row],[Churned]]=0,1,0)</f>
        <v>1</v>
      </c>
      <c r="H210" t="str">
        <f>IF(Gym_Expansion_Data[[#This Row],[Active Member]]=1,Gym_Expansion_Data[[#This Row],[Tier]],"Inactive")</f>
        <v>Premium</v>
      </c>
    </row>
    <row r="211" spans="1:8" x14ac:dyDescent="0.2">
      <c r="A211">
        <v>1210</v>
      </c>
      <c r="B211" t="s">
        <v>9</v>
      </c>
      <c r="C211" t="s">
        <v>12</v>
      </c>
      <c r="D211" s="1">
        <v>45974</v>
      </c>
      <c r="E211">
        <v>89</v>
      </c>
      <c r="F211">
        <v>0</v>
      </c>
      <c r="G211">
        <f>IF(Gym_Expansion_Data[[#This Row],[Churned]]=0,1,0)</f>
        <v>1</v>
      </c>
      <c r="H211" t="str">
        <f>IF(Gym_Expansion_Data[[#This Row],[Active Member]]=1,Gym_Expansion_Data[[#This Row],[Tier]],"Inactive")</f>
        <v>Premium</v>
      </c>
    </row>
    <row r="212" spans="1:8" x14ac:dyDescent="0.2">
      <c r="A212">
        <v>1211</v>
      </c>
      <c r="B212" t="s">
        <v>11</v>
      </c>
      <c r="C212" t="s">
        <v>12</v>
      </c>
      <c r="D212" s="1">
        <v>45402</v>
      </c>
      <c r="E212">
        <v>89</v>
      </c>
      <c r="F212">
        <v>0</v>
      </c>
      <c r="G212">
        <f>IF(Gym_Expansion_Data[[#This Row],[Churned]]=0,1,0)</f>
        <v>1</v>
      </c>
      <c r="H212" t="str">
        <f>IF(Gym_Expansion_Data[[#This Row],[Active Member]]=1,Gym_Expansion_Data[[#This Row],[Tier]],"Inactive")</f>
        <v>Premium</v>
      </c>
    </row>
    <row r="213" spans="1:8" x14ac:dyDescent="0.2">
      <c r="A213">
        <v>1212</v>
      </c>
      <c r="B213" t="s">
        <v>10</v>
      </c>
      <c r="C213" t="s">
        <v>7</v>
      </c>
      <c r="D213" s="1">
        <v>45738</v>
      </c>
      <c r="E213">
        <v>49</v>
      </c>
      <c r="F213">
        <v>0</v>
      </c>
      <c r="G213">
        <f>IF(Gym_Expansion_Data[[#This Row],[Churned]]=0,1,0)</f>
        <v>1</v>
      </c>
      <c r="H213" t="str">
        <f>IF(Gym_Expansion_Data[[#This Row],[Active Member]]=1,Gym_Expansion_Data[[#This Row],[Tier]],"Inactive")</f>
        <v>Basic</v>
      </c>
    </row>
    <row r="214" spans="1:8" x14ac:dyDescent="0.2">
      <c r="A214">
        <v>1213</v>
      </c>
      <c r="B214" t="s">
        <v>9</v>
      </c>
      <c r="C214" t="s">
        <v>7</v>
      </c>
      <c r="D214" s="1">
        <v>45538</v>
      </c>
      <c r="E214">
        <v>49</v>
      </c>
      <c r="F214">
        <v>0</v>
      </c>
      <c r="G214">
        <f>IF(Gym_Expansion_Data[[#This Row],[Churned]]=0,1,0)</f>
        <v>1</v>
      </c>
      <c r="H214" t="str">
        <f>IF(Gym_Expansion_Data[[#This Row],[Active Member]]=1,Gym_Expansion_Data[[#This Row],[Tier]],"Inactive")</f>
        <v>Basic</v>
      </c>
    </row>
    <row r="215" spans="1:8" x14ac:dyDescent="0.2">
      <c r="A215">
        <v>1214</v>
      </c>
      <c r="B215" t="s">
        <v>9</v>
      </c>
      <c r="C215" t="s">
        <v>7</v>
      </c>
      <c r="D215" s="1">
        <v>45946</v>
      </c>
      <c r="E215">
        <v>49</v>
      </c>
      <c r="F215">
        <v>0</v>
      </c>
      <c r="G215">
        <f>IF(Gym_Expansion_Data[[#This Row],[Churned]]=0,1,0)</f>
        <v>1</v>
      </c>
      <c r="H215" t="str">
        <f>IF(Gym_Expansion_Data[[#This Row],[Active Member]]=1,Gym_Expansion_Data[[#This Row],[Tier]],"Inactive")</f>
        <v>Basic</v>
      </c>
    </row>
    <row r="216" spans="1:8" x14ac:dyDescent="0.2">
      <c r="A216">
        <v>1215</v>
      </c>
      <c r="B216" t="s">
        <v>11</v>
      </c>
      <c r="C216" t="s">
        <v>7</v>
      </c>
      <c r="D216" s="1">
        <v>45511</v>
      </c>
      <c r="E216">
        <v>49</v>
      </c>
      <c r="F216">
        <v>0</v>
      </c>
      <c r="G216">
        <f>IF(Gym_Expansion_Data[[#This Row],[Churned]]=0,1,0)</f>
        <v>1</v>
      </c>
      <c r="H216" t="str">
        <f>IF(Gym_Expansion_Data[[#This Row],[Active Member]]=1,Gym_Expansion_Data[[#This Row],[Tier]],"Inactive")</f>
        <v>Basic</v>
      </c>
    </row>
    <row r="217" spans="1:8" x14ac:dyDescent="0.2">
      <c r="A217">
        <v>1216</v>
      </c>
      <c r="B217" t="s">
        <v>6</v>
      </c>
      <c r="C217" t="s">
        <v>8</v>
      </c>
      <c r="D217" s="1">
        <v>45877</v>
      </c>
      <c r="E217">
        <v>129</v>
      </c>
      <c r="F217">
        <v>0</v>
      </c>
      <c r="G217">
        <f>IF(Gym_Expansion_Data[[#This Row],[Churned]]=0,1,0)</f>
        <v>1</v>
      </c>
      <c r="H217" t="str">
        <f>IF(Gym_Expansion_Data[[#This Row],[Active Member]]=1,Gym_Expansion_Data[[#This Row],[Tier]],"Inactive")</f>
        <v>Elite</v>
      </c>
    </row>
    <row r="218" spans="1:8" x14ac:dyDescent="0.2">
      <c r="A218">
        <v>1217</v>
      </c>
      <c r="B218" t="s">
        <v>11</v>
      </c>
      <c r="C218" t="s">
        <v>7</v>
      </c>
      <c r="D218" s="1">
        <v>45830</v>
      </c>
      <c r="E218">
        <v>49</v>
      </c>
      <c r="F218">
        <v>0</v>
      </c>
      <c r="G218">
        <f>IF(Gym_Expansion_Data[[#This Row],[Churned]]=0,1,0)</f>
        <v>1</v>
      </c>
      <c r="H218" t="str">
        <f>IF(Gym_Expansion_Data[[#This Row],[Active Member]]=1,Gym_Expansion_Data[[#This Row],[Tier]],"Inactive")</f>
        <v>Basic</v>
      </c>
    </row>
    <row r="219" spans="1:8" x14ac:dyDescent="0.2">
      <c r="A219">
        <v>1218</v>
      </c>
      <c r="B219" t="s">
        <v>11</v>
      </c>
      <c r="C219" t="s">
        <v>7</v>
      </c>
      <c r="D219" s="1">
        <v>45780</v>
      </c>
      <c r="E219">
        <v>49</v>
      </c>
      <c r="F219">
        <v>0</v>
      </c>
      <c r="G219">
        <f>IF(Gym_Expansion_Data[[#This Row],[Churned]]=0,1,0)</f>
        <v>1</v>
      </c>
      <c r="H219" t="str">
        <f>IF(Gym_Expansion_Data[[#This Row],[Active Member]]=1,Gym_Expansion_Data[[#This Row],[Tier]],"Inactive")</f>
        <v>Basic</v>
      </c>
    </row>
    <row r="220" spans="1:8" x14ac:dyDescent="0.2">
      <c r="A220">
        <v>1219</v>
      </c>
      <c r="B220" t="s">
        <v>11</v>
      </c>
      <c r="C220" t="s">
        <v>12</v>
      </c>
      <c r="D220" s="1">
        <v>45794</v>
      </c>
      <c r="E220">
        <v>89</v>
      </c>
      <c r="F220">
        <v>0</v>
      </c>
      <c r="G220">
        <f>IF(Gym_Expansion_Data[[#This Row],[Churned]]=0,1,0)</f>
        <v>1</v>
      </c>
      <c r="H220" t="str">
        <f>IF(Gym_Expansion_Data[[#This Row],[Active Member]]=1,Gym_Expansion_Data[[#This Row],[Tier]],"Inactive")</f>
        <v>Premium</v>
      </c>
    </row>
    <row r="221" spans="1:8" x14ac:dyDescent="0.2">
      <c r="A221">
        <v>1220</v>
      </c>
      <c r="B221" t="s">
        <v>6</v>
      </c>
      <c r="C221" t="s">
        <v>7</v>
      </c>
      <c r="D221" s="1">
        <v>45612</v>
      </c>
      <c r="E221">
        <v>49</v>
      </c>
      <c r="F221">
        <v>1</v>
      </c>
      <c r="G221">
        <f>IF(Gym_Expansion_Data[[#This Row],[Churned]]=0,1,0)</f>
        <v>0</v>
      </c>
      <c r="H221" t="str">
        <f>IF(Gym_Expansion_Data[[#This Row],[Active Member]]=1,Gym_Expansion_Data[[#This Row],[Tier]],"Inactive")</f>
        <v>Inactive</v>
      </c>
    </row>
    <row r="222" spans="1:8" x14ac:dyDescent="0.2">
      <c r="A222">
        <v>1221</v>
      </c>
      <c r="B222" t="s">
        <v>11</v>
      </c>
      <c r="C222" t="s">
        <v>7</v>
      </c>
      <c r="D222" s="1">
        <v>45807</v>
      </c>
      <c r="E222">
        <v>49</v>
      </c>
      <c r="F222">
        <v>0</v>
      </c>
      <c r="G222">
        <f>IF(Gym_Expansion_Data[[#This Row],[Churned]]=0,1,0)</f>
        <v>1</v>
      </c>
      <c r="H222" t="str">
        <f>IF(Gym_Expansion_Data[[#This Row],[Active Member]]=1,Gym_Expansion_Data[[#This Row],[Tier]],"Inactive")</f>
        <v>Basic</v>
      </c>
    </row>
    <row r="223" spans="1:8" x14ac:dyDescent="0.2">
      <c r="A223">
        <v>1222</v>
      </c>
      <c r="B223" t="s">
        <v>9</v>
      </c>
      <c r="C223" t="s">
        <v>7</v>
      </c>
      <c r="D223" s="1">
        <v>45966</v>
      </c>
      <c r="E223">
        <v>49</v>
      </c>
      <c r="F223">
        <v>1</v>
      </c>
      <c r="G223">
        <f>IF(Gym_Expansion_Data[[#This Row],[Churned]]=0,1,0)</f>
        <v>0</v>
      </c>
      <c r="H223" t="str">
        <f>IF(Gym_Expansion_Data[[#This Row],[Active Member]]=1,Gym_Expansion_Data[[#This Row],[Tier]],"Inactive")</f>
        <v>Inactive</v>
      </c>
    </row>
    <row r="224" spans="1:8" x14ac:dyDescent="0.2">
      <c r="A224">
        <v>1223</v>
      </c>
      <c r="B224" t="s">
        <v>11</v>
      </c>
      <c r="C224" t="s">
        <v>8</v>
      </c>
      <c r="D224" s="1">
        <v>45437</v>
      </c>
      <c r="E224">
        <v>129</v>
      </c>
      <c r="F224">
        <v>0</v>
      </c>
      <c r="G224">
        <f>IF(Gym_Expansion_Data[[#This Row],[Churned]]=0,1,0)</f>
        <v>1</v>
      </c>
      <c r="H224" t="str">
        <f>IF(Gym_Expansion_Data[[#This Row],[Active Member]]=1,Gym_Expansion_Data[[#This Row],[Tier]],"Inactive")</f>
        <v>Elite</v>
      </c>
    </row>
    <row r="225" spans="1:8" x14ac:dyDescent="0.2">
      <c r="A225">
        <v>1224</v>
      </c>
      <c r="B225" t="s">
        <v>6</v>
      </c>
      <c r="C225" t="s">
        <v>8</v>
      </c>
      <c r="D225" s="1">
        <v>45639</v>
      </c>
      <c r="E225">
        <v>129</v>
      </c>
      <c r="F225">
        <v>0</v>
      </c>
      <c r="G225">
        <f>IF(Gym_Expansion_Data[[#This Row],[Churned]]=0,1,0)</f>
        <v>1</v>
      </c>
      <c r="H225" t="str">
        <f>IF(Gym_Expansion_Data[[#This Row],[Active Member]]=1,Gym_Expansion_Data[[#This Row],[Tier]],"Inactive")</f>
        <v>Elite</v>
      </c>
    </row>
    <row r="226" spans="1:8" x14ac:dyDescent="0.2">
      <c r="A226">
        <v>1225</v>
      </c>
      <c r="B226" t="s">
        <v>9</v>
      </c>
      <c r="C226" t="s">
        <v>8</v>
      </c>
      <c r="D226" s="1">
        <v>45844</v>
      </c>
      <c r="E226">
        <v>129</v>
      </c>
      <c r="F226">
        <v>0</v>
      </c>
      <c r="G226">
        <f>IF(Gym_Expansion_Data[[#This Row],[Churned]]=0,1,0)</f>
        <v>1</v>
      </c>
      <c r="H226" t="str">
        <f>IF(Gym_Expansion_Data[[#This Row],[Active Member]]=1,Gym_Expansion_Data[[#This Row],[Tier]],"Inactive")</f>
        <v>Elite</v>
      </c>
    </row>
    <row r="227" spans="1:8" x14ac:dyDescent="0.2">
      <c r="A227">
        <v>1226</v>
      </c>
      <c r="B227" t="s">
        <v>6</v>
      </c>
      <c r="C227" t="s">
        <v>7</v>
      </c>
      <c r="D227" s="1">
        <v>45849</v>
      </c>
      <c r="E227">
        <v>49</v>
      </c>
      <c r="F227">
        <v>0</v>
      </c>
      <c r="G227">
        <f>IF(Gym_Expansion_Data[[#This Row],[Churned]]=0,1,0)</f>
        <v>1</v>
      </c>
      <c r="H227" t="str">
        <f>IF(Gym_Expansion_Data[[#This Row],[Active Member]]=1,Gym_Expansion_Data[[#This Row],[Tier]],"Inactive")</f>
        <v>Basic</v>
      </c>
    </row>
    <row r="228" spans="1:8" x14ac:dyDescent="0.2">
      <c r="A228">
        <v>1227</v>
      </c>
      <c r="B228" t="s">
        <v>9</v>
      </c>
      <c r="C228" t="s">
        <v>7</v>
      </c>
      <c r="D228" s="1">
        <v>45946</v>
      </c>
      <c r="E228">
        <v>49</v>
      </c>
      <c r="F228">
        <v>0</v>
      </c>
      <c r="G228">
        <f>IF(Gym_Expansion_Data[[#This Row],[Churned]]=0,1,0)</f>
        <v>1</v>
      </c>
      <c r="H228" t="str">
        <f>IF(Gym_Expansion_Data[[#This Row],[Active Member]]=1,Gym_Expansion_Data[[#This Row],[Tier]],"Inactive")</f>
        <v>Basic</v>
      </c>
    </row>
    <row r="229" spans="1:8" x14ac:dyDescent="0.2">
      <c r="A229">
        <v>1228</v>
      </c>
      <c r="B229" t="s">
        <v>9</v>
      </c>
      <c r="C229" t="s">
        <v>12</v>
      </c>
      <c r="D229" s="1">
        <v>45753</v>
      </c>
      <c r="E229">
        <v>89</v>
      </c>
      <c r="F229">
        <v>1</v>
      </c>
      <c r="G229">
        <f>IF(Gym_Expansion_Data[[#This Row],[Churned]]=0,1,0)</f>
        <v>0</v>
      </c>
      <c r="H229" t="str">
        <f>IF(Gym_Expansion_Data[[#This Row],[Active Member]]=1,Gym_Expansion_Data[[#This Row],[Tier]],"Inactive")</f>
        <v>Inactive</v>
      </c>
    </row>
    <row r="230" spans="1:8" x14ac:dyDescent="0.2">
      <c r="A230">
        <v>1229</v>
      </c>
      <c r="B230" t="s">
        <v>9</v>
      </c>
      <c r="C230" t="s">
        <v>7</v>
      </c>
      <c r="D230" s="1">
        <v>45807</v>
      </c>
      <c r="E230">
        <v>49</v>
      </c>
      <c r="F230">
        <v>0</v>
      </c>
      <c r="G230">
        <f>IF(Gym_Expansion_Data[[#This Row],[Churned]]=0,1,0)</f>
        <v>1</v>
      </c>
      <c r="H230" t="str">
        <f>IF(Gym_Expansion_Data[[#This Row],[Active Member]]=1,Gym_Expansion_Data[[#This Row],[Tier]],"Inactive")</f>
        <v>Basic</v>
      </c>
    </row>
    <row r="231" spans="1:8" x14ac:dyDescent="0.2">
      <c r="A231">
        <v>1230</v>
      </c>
      <c r="B231" t="s">
        <v>9</v>
      </c>
      <c r="C231" t="s">
        <v>8</v>
      </c>
      <c r="D231" s="1">
        <v>45466</v>
      </c>
      <c r="E231">
        <v>129</v>
      </c>
      <c r="F231">
        <v>1</v>
      </c>
      <c r="G231">
        <f>IF(Gym_Expansion_Data[[#This Row],[Churned]]=0,1,0)</f>
        <v>0</v>
      </c>
      <c r="H231" t="str">
        <f>IF(Gym_Expansion_Data[[#This Row],[Active Member]]=1,Gym_Expansion_Data[[#This Row],[Tier]],"Inactive")</f>
        <v>Inactive</v>
      </c>
    </row>
    <row r="232" spans="1:8" x14ac:dyDescent="0.2">
      <c r="A232">
        <v>1231</v>
      </c>
      <c r="B232" t="s">
        <v>11</v>
      </c>
      <c r="C232" t="s">
        <v>7</v>
      </c>
      <c r="D232" s="1">
        <v>45849</v>
      </c>
      <c r="E232">
        <v>49</v>
      </c>
      <c r="F232">
        <v>1</v>
      </c>
      <c r="G232">
        <f>IF(Gym_Expansion_Data[[#This Row],[Churned]]=0,1,0)</f>
        <v>0</v>
      </c>
      <c r="H232" t="str">
        <f>IF(Gym_Expansion_Data[[#This Row],[Active Member]]=1,Gym_Expansion_Data[[#This Row],[Tier]],"Inactive")</f>
        <v>Inactive</v>
      </c>
    </row>
    <row r="233" spans="1:8" x14ac:dyDescent="0.2">
      <c r="A233">
        <v>1232</v>
      </c>
      <c r="B233" t="s">
        <v>9</v>
      </c>
      <c r="C233" t="s">
        <v>8</v>
      </c>
      <c r="D233" s="1">
        <v>45416</v>
      </c>
      <c r="E233">
        <v>129</v>
      </c>
      <c r="F233">
        <v>1</v>
      </c>
      <c r="G233">
        <f>IF(Gym_Expansion_Data[[#This Row],[Churned]]=0,1,0)</f>
        <v>0</v>
      </c>
      <c r="H233" t="str">
        <f>IF(Gym_Expansion_Data[[#This Row],[Active Member]]=1,Gym_Expansion_Data[[#This Row],[Tier]],"Inactive")</f>
        <v>Inactive</v>
      </c>
    </row>
    <row r="234" spans="1:8" x14ac:dyDescent="0.2">
      <c r="A234">
        <v>1233</v>
      </c>
      <c r="B234" t="s">
        <v>9</v>
      </c>
      <c r="C234" t="s">
        <v>7</v>
      </c>
      <c r="D234" s="1">
        <v>45302</v>
      </c>
      <c r="E234">
        <v>49</v>
      </c>
      <c r="F234">
        <v>0</v>
      </c>
      <c r="G234">
        <f>IF(Gym_Expansion_Data[[#This Row],[Churned]]=0,1,0)</f>
        <v>1</v>
      </c>
      <c r="H234" t="str">
        <f>IF(Gym_Expansion_Data[[#This Row],[Active Member]]=1,Gym_Expansion_Data[[#This Row],[Tier]],"Inactive")</f>
        <v>Basic</v>
      </c>
    </row>
    <row r="235" spans="1:8" x14ac:dyDescent="0.2">
      <c r="A235">
        <v>1234</v>
      </c>
      <c r="B235" t="s">
        <v>9</v>
      </c>
      <c r="C235" t="s">
        <v>8</v>
      </c>
      <c r="D235" s="1">
        <v>45721</v>
      </c>
      <c r="E235">
        <v>129</v>
      </c>
      <c r="F235">
        <v>0</v>
      </c>
      <c r="G235">
        <f>IF(Gym_Expansion_Data[[#This Row],[Churned]]=0,1,0)</f>
        <v>1</v>
      </c>
      <c r="H235" t="str">
        <f>IF(Gym_Expansion_Data[[#This Row],[Active Member]]=1,Gym_Expansion_Data[[#This Row],[Tier]],"Inactive")</f>
        <v>Elite</v>
      </c>
    </row>
    <row r="236" spans="1:8" x14ac:dyDescent="0.2">
      <c r="A236">
        <v>1235</v>
      </c>
      <c r="B236" t="s">
        <v>6</v>
      </c>
      <c r="C236" t="s">
        <v>7</v>
      </c>
      <c r="D236" s="1">
        <v>45725</v>
      </c>
      <c r="E236">
        <v>49</v>
      </c>
      <c r="F236">
        <v>1</v>
      </c>
      <c r="G236">
        <f>IF(Gym_Expansion_Data[[#This Row],[Churned]]=0,1,0)</f>
        <v>0</v>
      </c>
      <c r="H236" t="str">
        <f>IF(Gym_Expansion_Data[[#This Row],[Active Member]]=1,Gym_Expansion_Data[[#This Row],[Tier]],"Inactive")</f>
        <v>Inactive</v>
      </c>
    </row>
    <row r="237" spans="1:8" x14ac:dyDescent="0.2">
      <c r="A237">
        <v>1236</v>
      </c>
      <c r="B237" t="s">
        <v>6</v>
      </c>
      <c r="C237" t="s">
        <v>8</v>
      </c>
      <c r="D237" s="1">
        <v>45891</v>
      </c>
      <c r="E237">
        <v>129</v>
      </c>
      <c r="F237">
        <v>0</v>
      </c>
      <c r="G237">
        <f>IF(Gym_Expansion_Data[[#This Row],[Churned]]=0,1,0)</f>
        <v>1</v>
      </c>
      <c r="H237" t="str">
        <f>IF(Gym_Expansion_Data[[#This Row],[Active Member]]=1,Gym_Expansion_Data[[#This Row],[Tier]],"Inactive")</f>
        <v>Elite</v>
      </c>
    </row>
    <row r="238" spans="1:8" x14ac:dyDescent="0.2">
      <c r="A238">
        <v>1237</v>
      </c>
      <c r="B238" t="s">
        <v>9</v>
      </c>
      <c r="C238" t="s">
        <v>12</v>
      </c>
      <c r="D238" s="1">
        <v>45869</v>
      </c>
      <c r="E238">
        <v>89</v>
      </c>
      <c r="F238">
        <v>0</v>
      </c>
      <c r="G238">
        <f>IF(Gym_Expansion_Data[[#This Row],[Churned]]=0,1,0)</f>
        <v>1</v>
      </c>
      <c r="H238" t="str">
        <f>IF(Gym_Expansion_Data[[#This Row],[Active Member]]=1,Gym_Expansion_Data[[#This Row],[Tier]],"Inactive")</f>
        <v>Premium</v>
      </c>
    </row>
    <row r="239" spans="1:8" x14ac:dyDescent="0.2">
      <c r="A239">
        <v>1238</v>
      </c>
      <c r="B239" t="s">
        <v>6</v>
      </c>
      <c r="C239" t="s">
        <v>12</v>
      </c>
      <c r="D239" s="1">
        <v>45732</v>
      </c>
      <c r="E239">
        <v>89</v>
      </c>
      <c r="F239">
        <v>0</v>
      </c>
      <c r="G239">
        <f>IF(Gym_Expansion_Data[[#This Row],[Churned]]=0,1,0)</f>
        <v>1</v>
      </c>
      <c r="H239" t="str">
        <f>IF(Gym_Expansion_Data[[#This Row],[Active Member]]=1,Gym_Expansion_Data[[#This Row],[Tier]],"Inactive")</f>
        <v>Premium</v>
      </c>
    </row>
    <row r="240" spans="1:8" x14ac:dyDescent="0.2">
      <c r="A240">
        <v>1239</v>
      </c>
      <c r="B240" t="s">
        <v>11</v>
      </c>
      <c r="C240" t="s">
        <v>7</v>
      </c>
      <c r="D240" s="1">
        <v>45383</v>
      </c>
      <c r="E240">
        <v>49</v>
      </c>
      <c r="F240">
        <v>1</v>
      </c>
      <c r="G240">
        <f>IF(Gym_Expansion_Data[[#This Row],[Churned]]=0,1,0)</f>
        <v>0</v>
      </c>
      <c r="H240" t="str">
        <f>IF(Gym_Expansion_Data[[#This Row],[Active Member]]=1,Gym_Expansion_Data[[#This Row],[Tier]],"Inactive")</f>
        <v>Inactive</v>
      </c>
    </row>
    <row r="241" spans="1:8" x14ac:dyDescent="0.2">
      <c r="A241">
        <v>1240</v>
      </c>
      <c r="B241" t="s">
        <v>11</v>
      </c>
      <c r="C241" t="s">
        <v>7</v>
      </c>
      <c r="D241" s="1">
        <v>45927</v>
      </c>
      <c r="E241">
        <v>49</v>
      </c>
      <c r="F241">
        <v>0</v>
      </c>
      <c r="G241">
        <f>IF(Gym_Expansion_Data[[#This Row],[Churned]]=0,1,0)</f>
        <v>1</v>
      </c>
      <c r="H241" t="str">
        <f>IF(Gym_Expansion_Data[[#This Row],[Active Member]]=1,Gym_Expansion_Data[[#This Row],[Tier]],"Inactive")</f>
        <v>Basic</v>
      </c>
    </row>
    <row r="242" spans="1:8" x14ac:dyDescent="0.2">
      <c r="A242">
        <v>1241</v>
      </c>
      <c r="B242" t="s">
        <v>9</v>
      </c>
      <c r="C242" t="s">
        <v>12</v>
      </c>
      <c r="D242" s="1">
        <v>45306</v>
      </c>
      <c r="E242">
        <v>89</v>
      </c>
      <c r="F242">
        <v>0</v>
      </c>
      <c r="G242">
        <f>IF(Gym_Expansion_Data[[#This Row],[Churned]]=0,1,0)</f>
        <v>1</v>
      </c>
      <c r="H242" t="str">
        <f>IF(Gym_Expansion_Data[[#This Row],[Active Member]]=1,Gym_Expansion_Data[[#This Row],[Tier]],"Inactive")</f>
        <v>Premium</v>
      </c>
    </row>
    <row r="243" spans="1:8" x14ac:dyDescent="0.2">
      <c r="A243">
        <v>1242</v>
      </c>
      <c r="B243" t="s">
        <v>11</v>
      </c>
      <c r="C243" t="s">
        <v>7</v>
      </c>
      <c r="D243" s="1">
        <v>45852</v>
      </c>
      <c r="E243">
        <v>49</v>
      </c>
      <c r="F243">
        <v>1</v>
      </c>
      <c r="G243">
        <f>IF(Gym_Expansion_Data[[#This Row],[Churned]]=0,1,0)</f>
        <v>0</v>
      </c>
      <c r="H243" t="str">
        <f>IF(Gym_Expansion_Data[[#This Row],[Active Member]]=1,Gym_Expansion_Data[[#This Row],[Tier]],"Inactive")</f>
        <v>Inactive</v>
      </c>
    </row>
    <row r="244" spans="1:8" x14ac:dyDescent="0.2">
      <c r="A244">
        <v>1243</v>
      </c>
      <c r="B244" t="s">
        <v>9</v>
      </c>
      <c r="C244" t="s">
        <v>12</v>
      </c>
      <c r="D244" s="1">
        <v>45770</v>
      </c>
      <c r="E244">
        <v>89</v>
      </c>
      <c r="F244">
        <v>0</v>
      </c>
      <c r="G244">
        <f>IF(Gym_Expansion_Data[[#This Row],[Churned]]=0,1,0)</f>
        <v>1</v>
      </c>
      <c r="H244" t="str">
        <f>IF(Gym_Expansion_Data[[#This Row],[Active Member]]=1,Gym_Expansion_Data[[#This Row],[Tier]],"Inactive")</f>
        <v>Premium</v>
      </c>
    </row>
    <row r="245" spans="1:8" x14ac:dyDescent="0.2">
      <c r="A245">
        <v>1244</v>
      </c>
      <c r="B245" t="s">
        <v>9</v>
      </c>
      <c r="C245" t="s">
        <v>12</v>
      </c>
      <c r="D245" s="1">
        <v>45351</v>
      </c>
      <c r="E245">
        <v>89</v>
      </c>
      <c r="F245">
        <v>0</v>
      </c>
      <c r="G245">
        <f>IF(Gym_Expansion_Data[[#This Row],[Churned]]=0,1,0)</f>
        <v>1</v>
      </c>
      <c r="H245" t="str">
        <f>IF(Gym_Expansion_Data[[#This Row],[Active Member]]=1,Gym_Expansion_Data[[#This Row],[Tier]],"Inactive")</f>
        <v>Premium</v>
      </c>
    </row>
    <row r="246" spans="1:8" x14ac:dyDescent="0.2">
      <c r="A246">
        <v>1245</v>
      </c>
      <c r="B246" t="s">
        <v>11</v>
      </c>
      <c r="C246" t="s">
        <v>7</v>
      </c>
      <c r="D246" s="1">
        <v>45679</v>
      </c>
      <c r="E246">
        <v>49</v>
      </c>
      <c r="F246">
        <v>0</v>
      </c>
      <c r="G246">
        <f>IF(Gym_Expansion_Data[[#This Row],[Churned]]=0,1,0)</f>
        <v>1</v>
      </c>
      <c r="H246" t="str">
        <f>IF(Gym_Expansion_Data[[#This Row],[Active Member]]=1,Gym_Expansion_Data[[#This Row],[Tier]],"Inactive")</f>
        <v>Basic</v>
      </c>
    </row>
    <row r="247" spans="1:8" x14ac:dyDescent="0.2">
      <c r="A247">
        <v>1246</v>
      </c>
      <c r="B247" t="s">
        <v>11</v>
      </c>
      <c r="C247" t="s">
        <v>12</v>
      </c>
      <c r="D247" s="1">
        <v>45651</v>
      </c>
      <c r="E247">
        <v>89</v>
      </c>
      <c r="F247">
        <v>0</v>
      </c>
      <c r="G247">
        <f>IF(Gym_Expansion_Data[[#This Row],[Churned]]=0,1,0)</f>
        <v>1</v>
      </c>
      <c r="H247" t="str">
        <f>IF(Gym_Expansion_Data[[#This Row],[Active Member]]=1,Gym_Expansion_Data[[#This Row],[Tier]],"Inactive")</f>
        <v>Premium</v>
      </c>
    </row>
    <row r="248" spans="1:8" x14ac:dyDescent="0.2">
      <c r="A248">
        <v>1247</v>
      </c>
      <c r="B248" t="s">
        <v>9</v>
      </c>
      <c r="C248" t="s">
        <v>12</v>
      </c>
      <c r="D248" s="1">
        <v>45455</v>
      </c>
      <c r="E248">
        <v>89</v>
      </c>
      <c r="F248">
        <v>0</v>
      </c>
      <c r="G248">
        <f>IF(Gym_Expansion_Data[[#This Row],[Churned]]=0,1,0)</f>
        <v>1</v>
      </c>
      <c r="H248" t="str">
        <f>IF(Gym_Expansion_Data[[#This Row],[Active Member]]=1,Gym_Expansion_Data[[#This Row],[Tier]],"Inactive")</f>
        <v>Premium</v>
      </c>
    </row>
    <row r="249" spans="1:8" x14ac:dyDescent="0.2">
      <c r="A249">
        <v>1248</v>
      </c>
      <c r="B249" t="s">
        <v>9</v>
      </c>
      <c r="C249" t="s">
        <v>7</v>
      </c>
      <c r="D249" s="1">
        <v>45570</v>
      </c>
      <c r="E249">
        <v>49</v>
      </c>
      <c r="F249">
        <v>0</v>
      </c>
      <c r="G249">
        <f>IF(Gym_Expansion_Data[[#This Row],[Churned]]=0,1,0)</f>
        <v>1</v>
      </c>
      <c r="H249" t="str">
        <f>IF(Gym_Expansion_Data[[#This Row],[Active Member]]=1,Gym_Expansion_Data[[#This Row],[Tier]],"Inactive")</f>
        <v>Basic</v>
      </c>
    </row>
    <row r="250" spans="1:8" x14ac:dyDescent="0.2">
      <c r="A250">
        <v>1249</v>
      </c>
      <c r="B250" t="s">
        <v>11</v>
      </c>
      <c r="C250" t="s">
        <v>12</v>
      </c>
      <c r="D250" s="1">
        <v>45843</v>
      </c>
      <c r="E250">
        <v>89</v>
      </c>
      <c r="F250">
        <v>0</v>
      </c>
      <c r="G250">
        <f>IF(Gym_Expansion_Data[[#This Row],[Churned]]=0,1,0)</f>
        <v>1</v>
      </c>
      <c r="H250" t="str">
        <f>IF(Gym_Expansion_Data[[#This Row],[Active Member]]=1,Gym_Expansion_Data[[#This Row],[Tier]],"Inactive")</f>
        <v>Premium</v>
      </c>
    </row>
    <row r="251" spans="1:8" x14ac:dyDescent="0.2">
      <c r="A251">
        <v>1250</v>
      </c>
      <c r="B251" t="s">
        <v>6</v>
      </c>
      <c r="C251" t="s">
        <v>12</v>
      </c>
      <c r="D251" s="1">
        <v>45948</v>
      </c>
      <c r="E251">
        <v>89</v>
      </c>
      <c r="F251">
        <v>0</v>
      </c>
      <c r="G251">
        <f>IF(Gym_Expansion_Data[[#This Row],[Churned]]=0,1,0)</f>
        <v>1</v>
      </c>
      <c r="H251" t="str">
        <f>IF(Gym_Expansion_Data[[#This Row],[Active Member]]=1,Gym_Expansion_Data[[#This Row],[Tier]],"Inactive")</f>
        <v>Premium</v>
      </c>
    </row>
    <row r="252" spans="1:8" x14ac:dyDescent="0.2">
      <c r="A252">
        <v>1251</v>
      </c>
      <c r="B252" t="s">
        <v>9</v>
      </c>
      <c r="C252" t="s">
        <v>7</v>
      </c>
      <c r="D252" s="1">
        <v>45697</v>
      </c>
      <c r="E252">
        <v>49</v>
      </c>
      <c r="F252">
        <v>0</v>
      </c>
      <c r="G252">
        <f>IF(Gym_Expansion_Data[[#This Row],[Churned]]=0,1,0)</f>
        <v>1</v>
      </c>
      <c r="H252" t="str">
        <f>IF(Gym_Expansion_Data[[#This Row],[Active Member]]=1,Gym_Expansion_Data[[#This Row],[Tier]],"Inactive")</f>
        <v>Basic</v>
      </c>
    </row>
    <row r="253" spans="1:8" x14ac:dyDescent="0.2">
      <c r="A253">
        <v>1252</v>
      </c>
      <c r="B253" t="s">
        <v>9</v>
      </c>
      <c r="C253" t="s">
        <v>7</v>
      </c>
      <c r="D253" s="1">
        <v>45317</v>
      </c>
      <c r="E253">
        <v>49</v>
      </c>
      <c r="F253">
        <v>0</v>
      </c>
      <c r="G253">
        <f>IF(Gym_Expansion_Data[[#This Row],[Churned]]=0,1,0)</f>
        <v>1</v>
      </c>
      <c r="H253" t="str">
        <f>IF(Gym_Expansion_Data[[#This Row],[Active Member]]=1,Gym_Expansion_Data[[#This Row],[Tier]],"Inactive")</f>
        <v>Basic</v>
      </c>
    </row>
    <row r="254" spans="1:8" x14ac:dyDescent="0.2">
      <c r="A254">
        <v>1253</v>
      </c>
      <c r="B254" t="s">
        <v>9</v>
      </c>
      <c r="C254" t="s">
        <v>7</v>
      </c>
      <c r="D254" s="1">
        <v>45801</v>
      </c>
      <c r="E254">
        <v>49</v>
      </c>
      <c r="F254">
        <v>0</v>
      </c>
      <c r="G254">
        <f>IF(Gym_Expansion_Data[[#This Row],[Churned]]=0,1,0)</f>
        <v>1</v>
      </c>
      <c r="H254" t="str">
        <f>IF(Gym_Expansion_Data[[#This Row],[Active Member]]=1,Gym_Expansion_Data[[#This Row],[Tier]],"Inactive")</f>
        <v>Basic</v>
      </c>
    </row>
    <row r="255" spans="1:8" x14ac:dyDescent="0.2">
      <c r="A255">
        <v>1254</v>
      </c>
      <c r="B255" t="s">
        <v>11</v>
      </c>
      <c r="C255" t="s">
        <v>12</v>
      </c>
      <c r="D255" s="1">
        <v>45738</v>
      </c>
      <c r="E255">
        <v>89</v>
      </c>
      <c r="F255">
        <v>0</v>
      </c>
      <c r="G255">
        <f>IF(Gym_Expansion_Data[[#This Row],[Churned]]=0,1,0)</f>
        <v>1</v>
      </c>
      <c r="H255" t="str">
        <f>IF(Gym_Expansion_Data[[#This Row],[Active Member]]=1,Gym_Expansion_Data[[#This Row],[Tier]],"Inactive")</f>
        <v>Premium</v>
      </c>
    </row>
    <row r="256" spans="1:8" x14ac:dyDescent="0.2">
      <c r="A256">
        <v>1255</v>
      </c>
      <c r="B256" t="s">
        <v>9</v>
      </c>
      <c r="C256" t="s">
        <v>12</v>
      </c>
      <c r="D256" s="1">
        <v>45670</v>
      </c>
      <c r="E256">
        <v>89</v>
      </c>
      <c r="F256">
        <v>0</v>
      </c>
      <c r="G256">
        <f>IF(Gym_Expansion_Data[[#This Row],[Churned]]=0,1,0)</f>
        <v>1</v>
      </c>
      <c r="H256" t="str">
        <f>IF(Gym_Expansion_Data[[#This Row],[Active Member]]=1,Gym_Expansion_Data[[#This Row],[Tier]],"Inactive")</f>
        <v>Premium</v>
      </c>
    </row>
    <row r="257" spans="1:8" x14ac:dyDescent="0.2">
      <c r="A257">
        <v>1256</v>
      </c>
      <c r="B257" t="s">
        <v>10</v>
      </c>
      <c r="C257" t="s">
        <v>12</v>
      </c>
      <c r="D257" s="1">
        <v>45940</v>
      </c>
      <c r="E257">
        <v>89</v>
      </c>
      <c r="F257">
        <v>0</v>
      </c>
      <c r="G257">
        <f>IF(Gym_Expansion_Data[[#This Row],[Churned]]=0,1,0)</f>
        <v>1</v>
      </c>
      <c r="H257" t="str">
        <f>IF(Gym_Expansion_Data[[#This Row],[Active Member]]=1,Gym_Expansion_Data[[#This Row],[Tier]],"Inactive")</f>
        <v>Premium</v>
      </c>
    </row>
    <row r="258" spans="1:8" x14ac:dyDescent="0.2">
      <c r="A258">
        <v>1257</v>
      </c>
      <c r="B258" t="s">
        <v>9</v>
      </c>
      <c r="C258" t="s">
        <v>12</v>
      </c>
      <c r="D258" s="1">
        <v>45394</v>
      </c>
      <c r="E258">
        <v>89</v>
      </c>
      <c r="F258">
        <v>0</v>
      </c>
      <c r="G258">
        <f>IF(Gym_Expansion_Data[[#This Row],[Churned]]=0,1,0)</f>
        <v>1</v>
      </c>
      <c r="H258" t="str">
        <f>IF(Gym_Expansion_Data[[#This Row],[Active Member]]=1,Gym_Expansion_Data[[#This Row],[Tier]],"Inactive")</f>
        <v>Premium</v>
      </c>
    </row>
    <row r="259" spans="1:8" x14ac:dyDescent="0.2">
      <c r="A259">
        <v>1258</v>
      </c>
      <c r="B259" t="s">
        <v>11</v>
      </c>
      <c r="C259" t="s">
        <v>7</v>
      </c>
      <c r="D259" s="1">
        <v>45926</v>
      </c>
      <c r="E259">
        <v>49</v>
      </c>
      <c r="F259">
        <v>1</v>
      </c>
      <c r="G259">
        <f>IF(Gym_Expansion_Data[[#This Row],[Churned]]=0,1,0)</f>
        <v>0</v>
      </c>
      <c r="H259" t="str">
        <f>IF(Gym_Expansion_Data[[#This Row],[Active Member]]=1,Gym_Expansion_Data[[#This Row],[Tier]],"Inactive")</f>
        <v>Inactive</v>
      </c>
    </row>
    <row r="260" spans="1:8" x14ac:dyDescent="0.2">
      <c r="A260">
        <v>1259</v>
      </c>
      <c r="B260" t="s">
        <v>11</v>
      </c>
      <c r="C260" t="s">
        <v>7</v>
      </c>
      <c r="D260" s="1">
        <v>45917</v>
      </c>
      <c r="E260">
        <v>49</v>
      </c>
      <c r="F260">
        <v>0</v>
      </c>
      <c r="G260">
        <f>IF(Gym_Expansion_Data[[#This Row],[Churned]]=0,1,0)</f>
        <v>1</v>
      </c>
      <c r="H260" t="str">
        <f>IF(Gym_Expansion_Data[[#This Row],[Active Member]]=1,Gym_Expansion_Data[[#This Row],[Tier]],"Inactive")</f>
        <v>Basic</v>
      </c>
    </row>
    <row r="261" spans="1:8" x14ac:dyDescent="0.2">
      <c r="A261">
        <v>1260</v>
      </c>
      <c r="B261" t="s">
        <v>10</v>
      </c>
      <c r="C261" t="s">
        <v>7</v>
      </c>
      <c r="D261" s="1">
        <v>45585</v>
      </c>
      <c r="E261">
        <v>49</v>
      </c>
      <c r="F261">
        <v>1</v>
      </c>
      <c r="G261">
        <f>IF(Gym_Expansion_Data[[#This Row],[Churned]]=0,1,0)</f>
        <v>0</v>
      </c>
      <c r="H261" t="str">
        <f>IF(Gym_Expansion_Data[[#This Row],[Active Member]]=1,Gym_Expansion_Data[[#This Row],[Tier]],"Inactive")</f>
        <v>Inactive</v>
      </c>
    </row>
    <row r="262" spans="1:8" x14ac:dyDescent="0.2">
      <c r="A262">
        <v>1261</v>
      </c>
      <c r="B262" t="s">
        <v>10</v>
      </c>
      <c r="C262" t="s">
        <v>8</v>
      </c>
      <c r="D262" s="1">
        <v>45653</v>
      </c>
      <c r="E262">
        <v>129</v>
      </c>
      <c r="F262">
        <v>0</v>
      </c>
      <c r="G262">
        <f>IF(Gym_Expansion_Data[[#This Row],[Churned]]=0,1,0)</f>
        <v>1</v>
      </c>
      <c r="H262" t="str">
        <f>IF(Gym_Expansion_Data[[#This Row],[Active Member]]=1,Gym_Expansion_Data[[#This Row],[Tier]],"Inactive")</f>
        <v>Elite</v>
      </c>
    </row>
    <row r="263" spans="1:8" x14ac:dyDescent="0.2">
      <c r="A263">
        <v>1262</v>
      </c>
      <c r="B263" t="s">
        <v>9</v>
      </c>
      <c r="C263" t="s">
        <v>12</v>
      </c>
      <c r="D263" s="1">
        <v>45908</v>
      </c>
      <c r="E263">
        <v>89</v>
      </c>
      <c r="F263">
        <v>0</v>
      </c>
      <c r="G263">
        <f>IF(Gym_Expansion_Data[[#This Row],[Churned]]=0,1,0)</f>
        <v>1</v>
      </c>
      <c r="H263" t="str">
        <f>IF(Gym_Expansion_Data[[#This Row],[Active Member]]=1,Gym_Expansion_Data[[#This Row],[Tier]],"Inactive")</f>
        <v>Premium</v>
      </c>
    </row>
    <row r="264" spans="1:8" x14ac:dyDescent="0.2">
      <c r="A264">
        <v>1263</v>
      </c>
      <c r="B264" t="s">
        <v>9</v>
      </c>
      <c r="C264" t="s">
        <v>7</v>
      </c>
      <c r="D264" s="1">
        <v>45380</v>
      </c>
      <c r="E264">
        <v>49</v>
      </c>
      <c r="F264">
        <v>0</v>
      </c>
      <c r="G264">
        <f>IF(Gym_Expansion_Data[[#This Row],[Churned]]=0,1,0)</f>
        <v>1</v>
      </c>
      <c r="H264" t="str">
        <f>IF(Gym_Expansion_Data[[#This Row],[Active Member]]=1,Gym_Expansion_Data[[#This Row],[Tier]],"Inactive")</f>
        <v>Basic</v>
      </c>
    </row>
    <row r="265" spans="1:8" x14ac:dyDescent="0.2">
      <c r="A265">
        <v>1264</v>
      </c>
      <c r="B265" t="s">
        <v>6</v>
      </c>
      <c r="C265" t="s">
        <v>7</v>
      </c>
      <c r="D265" s="1">
        <v>45475</v>
      </c>
      <c r="E265">
        <v>49</v>
      </c>
      <c r="F265">
        <v>0</v>
      </c>
      <c r="G265">
        <f>IF(Gym_Expansion_Data[[#This Row],[Churned]]=0,1,0)</f>
        <v>1</v>
      </c>
      <c r="H265" t="str">
        <f>IF(Gym_Expansion_Data[[#This Row],[Active Member]]=1,Gym_Expansion_Data[[#This Row],[Tier]],"Inactive")</f>
        <v>Basic</v>
      </c>
    </row>
    <row r="266" spans="1:8" x14ac:dyDescent="0.2">
      <c r="A266">
        <v>1265</v>
      </c>
      <c r="B266" t="s">
        <v>11</v>
      </c>
      <c r="C266" t="s">
        <v>7</v>
      </c>
      <c r="D266" s="1">
        <v>45627</v>
      </c>
      <c r="E266">
        <v>49</v>
      </c>
      <c r="F266">
        <v>0</v>
      </c>
      <c r="G266">
        <f>IF(Gym_Expansion_Data[[#This Row],[Churned]]=0,1,0)</f>
        <v>1</v>
      </c>
      <c r="H266" t="str">
        <f>IF(Gym_Expansion_Data[[#This Row],[Active Member]]=1,Gym_Expansion_Data[[#This Row],[Tier]],"Inactive")</f>
        <v>Basic</v>
      </c>
    </row>
    <row r="267" spans="1:8" x14ac:dyDescent="0.2">
      <c r="A267">
        <v>1266</v>
      </c>
      <c r="B267" t="s">
        <v>9</v>
      </c>
      <c r="C267" t="s">
        <v>7</v>
      </c>
      <c r="D267" s="1">
        <v>45990</v>
      </c>
      <c r="E267">
        <v>49</v>
      </c>
      <c r="F267">
        <v>0</v>
      </c>
      <c r="G267">
        <f>IF(Gym_Expansion_Data[[#This Row],[Churned]]=0,1,0)</f>
        <v>1</v>
      </c>
      <c r="H267" t="str">
        <f>IF(Gym_Expansion_Data[[#This Row],[Active Member]]=1,Gym_Expansion_Data[[#This Row],[Tier]],"Inactive")</f>
        <v>Basic</v>
      </c>
    </row>
    <row r="268" spans="1:8" x14ac:dyDescent="0.2">
      <c r="A268">
        <v>1267</v>
      </c>
      <c r="B268" t="s">
        <v>6</v>
      </c>
      <c r="C268" t="s">
        <v>8</v>
      </c>
      <c r="D268" s="1">
        <v>45647</v>
      </c>
      <c r="E268">
        <v>129</v>
      </c>
      <c r="F268">
        <v>0</v>
      </c>
      <c r="G268">
        <f>IF(Gym_Expansion_Data[[#This Row],[Churned]]=0,1,0)</f>
        <v>1</v>
      </c>
      <c r="H268" t="str">
        <f>IF(Gym_Expansion_Data[[#This Row],[Active Member]]=1,Gym_Expansion_Data[[#This Row],[Tier]],"Inactive")</f>
        <v>Elite</v>
      </c>
    </row>
    <row r="269" spans="1:8" x14ac:dyDescent="0.2">
      <c r="A269">
        <v>1268</v>
      </c>
      <c r="B269" t="s">
        <v>9</v>
      </c>
      <c r="C269" t="s">
        <v>8</v>
      </c>
      <c r="D269" s="1">
        <v>45617</v>
      </c>
      <c r="E269">
        <v>129</v>
      </c>
      <c r="F269">
        <v>1</v>
      </c>
      <c r="G269">
        <f>IF(Gym_Expansion_Data[[#This Row],[Churned]]=0,1,0)</f>
        <v>0</v>
      </c>
      <c r="H269" t="str">
        <f>IF(Gym_Expansion_Data[[#This Row],[Active Member]]=1,Gym_Expansion_Data[[#This Row],[Tier]],"Inactive")</f>
        <v>Inactive</v>
      </c>
    </row>
    <row r="270" spans="1:8" x14ac:dyDescent="0.2">
      <c r="A270">
        <v>1269</v>
      </c>
      <c r="B270" t="s">
        <v>6</v>
      </c>
      <c r="C270" t="s">
        <v>8</v>
      </c>
      <c r="D270" s="1">
        <v>45555</v>
      </c>
      <c r="E270">
        <v>129</v>
      </c>
      <c r="F270">
        <v>0</v>
      </c>
      <c r="G270">
        <f>IF(Gym_Expansion_Data[[#This Row],[Churned]]=0,1,0)</f>
        <v>1</v>
      </c>
      <c r="H270" t="str">
        <f>IF(Gym_Expansion_Data[[#This Row],[Active Member]]=1,Gym_Expansion_Data[[#This Row],[Tier]],"Inactive")</f>
        <v>Elite</v>
      </c>
    </row>
    <row r="271" spans="1:8" x14ac:dyDescent="0.2">
      <c r="A271">
        <v>1270</v>
      </c>
      <c r="B271" t="s">
        <v>6</v>
      </c>
      <c r="C271" t="s">
        <v>8</v>
      </c>
      <c r="D271" s="1">
        <v>45384</v>
      </c>
      <c r="E271">
        <v>129</v>
      </c>
      <c r="F271">
        <v>0</v>
      </c>
      <c r="G271">
        <f>IF(Gym_Expansion_Data[[#This Row],[Churned]]=0,1,0)</f>
        <v>1</v>
      </c>
      <c r="H271" t="str">
        <f>IF(Gym_Expansion_Data[[#This Row],[Active Member]]=1,Gym_Expansion_Data[[#This Row],[Tier]],"Inactive")</f>
        <v>Elite</v>
      </c>
    </row>
    <row r="272" spans="1:8" x14ac:dyDescent="0.2">
      <c r="A272">
        <v>1271</v>
      </c>
      <c r="B272" t="s">
        <v>9</v>
      </c>
      <c r="C272" t="s">
        <v>7</v>
      </c>
      <c r="D272" s="1">
        <v>45624</v>
      </c>
      <c r="E272">
        <v>49</v>
      </c>
      <c r="F272">
        <v>1</v>
      </c>
      <c r="G272">
        <f>IF(Gym_Expansion_Data[[#This Row],[Churned]]=0,1,0)</f>
        <v>0</v>
      </c>
      <c r="H272" t="str">
        <f>IF(Gym_Expansion_Data[[#This Row],[Active Member]]=1,Gym_Expansion_Data[[#This Row],[Tier]],"Inactive")</f>
        <v>Inactive</v>
      </c>
    </row>
    <row r="273" spans="1:8" x14ac:dyDescent="0.2">
      <c r="A273">
        <v>1272</v>
      </c>
      <c r="B273" t="s">
        <v>10</v>
      </c>
      <c r="C273" t="s">
        <v>8</v>
      </c>
      <c r="D273" s="1">
        <v>45621</v>
      </c>
      <c r="E273">
        <v>129</v>
      </c>
      <c r="F273">
        <v>0</v>
      </c>
      <c r="G273">
        <f>IF(Gym_Expansion_Data[[#This Row],[Churned]]=0,1,0)</f>
        <v>1</v>
      </c>
      <c r="H273" t="str">
        <f>IF(Gym_Expansion_Data[[#This Row],[Active Member]]=1,Gym_Expansion_Data[[#This Row],[Tier]],"Inactive")</f>
        <v>Elite</v>
      </c>
    </row>
    <row r="274" spans="1:8" x14ac:dyDescent="0.2">
      <c r="A274">
        <v>1273</v>
      </c>
      <c r="B274" t="s">
        <v>11</v>
      </c>
      <c r="C274" t="s">
        <v>7</v>
      </c>
      <c r="D274" s="1">
        <v>45975</v>
      </c>
      <c r="E274">
        <v>49</v>
      </c>
      <c r="F274">
        <v>0</v>
      </c>
      <c r="G274">
        <f>IF(Gym_Expansion_Data[[#This Row],[Churned]]=0,1,0)</f>
        <v>1</v>
      </c>
      <c r="H274" t="str">
        <f>IF(Gym_Expansion_Data[[#This Row],[Active Member]]=1,Gym_Expansion_Data[[#This Row],[Tier]],"Inactive")</f>
        <v>Basic</v>
      </c>
    </row>
    <row r="275" spans="1:8" x14ac:dyDescent="0.2">
      <c r="A275">
        <v>1274</v>
      </c>
      <c r="B275" t="s">
        <v>9</v>
      </c>
      <c r="C275" t="s">
        <v>7</v>
      </c>
      <c r="D275" s="1">
        <v>45570</v>
      </c>
      <c r="E275">
        <v>49</v>
      </c>
      <c r="F275">
        <v>0</v>
      </c>
      <c r="G275">
        <f>IF(Gym_Expansion_Data[[#This Row],[Churned]]=0,1,0)</f>
        <v>1</v>
      </c>
      <c r="H275" t="str">
        <f>IF(Gym_Expansion_Data[[#This Row],[Active Member]]=1,Gym_Expansion_Data[[#This Row],[Tier]],"Inactive")</f>
        <v>Basic</v>
      </c>
    </row>
    <row r="276" spans="1:8" x14ac:dyDescent="0.2">
      <c r="A276">
        <v>1275</v>
      </c>
      <c r="B276" t="s">
        <v>6</v>
      </c>
      <c r="C276" t="s">
        <v>7</v>
      </c>
      <c r="D276" s="1">
        <v>45542</v>
      </c>
      <c r="E276">
        <v>49</v>
      </c>
      <c r="F276">
        <v>0</v>
      </c>
      <c r="G276">
        <f>IF(Gym_Expansion_Data[[#This Row],[Churned]]=0,1,0)</f>
        <v>1</v>
      </c>
      <c r="H276" t="str">
        <f>IF(Gym_Expansion_Data[[#This Row],[Active Member]]=1,Gym_Expansion_Data[[#This Row],[Tier]],"Inactive")</f>
        <v>Basic</v>
      </c>
    </row>
    <row r="277" spans="1:8" x14ac:dyDescent="0.2">
      <c r="A277">
        <v>1276</v>
      </c>
      <c r="B277" t="s">
        <v>9</v>
      </c>
      <c r="C277" t="s">
        <v>12</v>
      </c>
      <c r="D277" s="1">
        <v>45765</v>
      </c>
      <c r="E277">
        <v>89</v>
      </c>
      <c r="F277">
        <v>0</v>
      </c>
      <c r="G277">
        <f>IF(Gym_Expansion_Data[[#This Row],[Churned]]=0,1,0)</f>
        <v>1</v>
      </c>
      <c r="H277" t="str">
        <f>IF(Gym_Expansion_Data[[#This Row],[Active Member]]=1,Gym_Expansion_Data[[#This Row],[Tier]],"Inactive")</f>
        <v>Premium</v>
      </c>
    </row>
    <row r="278" spans="1:8" x14ac:dyDescent="0.2">
      <c r="A278">
        <v>1277</v>
      </c>
      <c r="B278" t="s">
        <v>9</v>
      </c>
      <c r="C278" t="s">
        <v>7</v>
      </c>
      <c r="D278" s="1">
        <v>45717</v>
      </c>
      <c r="E278">
        <v>49</v>
      </c>
      <c r="F278">
        <v>0</v>
      </c>
      <c r="G278">
        <f>IF(Gym_Expansion_Data[[#This Row],[Churned]]=0,1,0)</f>
        <v>1</v>
      </c>
      <c r="H278" t="str">
        <f>IF(Gym_Expansion_Data[[#This Row],[Active Member]]=1,Gym_Expansion_Data[[#This Row],[Tier]],"Inactive")</f>
        <v>Basic</v>
      </c>
    </row>
    <row r="279" spans="1:8" x14ac:dyDescent="0.2">
      <c r="A279">
        <v>1278</v>
      </c>
      <c r="B279" t="s">
        <v>11</v>
      </c>
      <c r="C279" t="s">
        <v>12</v>
      </c>
      <c r="D279" s="1">
        <v>45910</v>
      </c>
      <c r="E279">
        <v>89</v>
      </c>
      <c r="F279">
        <v>0</v>
      </c>
      <c r="G279">
        <f>IF(Gym_Expansion_Data[[#This Row],[Churned]]=0,1,0)</f>
        <v>1</v>
      </c>
      <c r="H279" t="str">
        <f>IF(Gym_Expansion_Data[[#This Row],[Active Member]]=1,Gym_Expansion_Data[[#This Row],[Tier]],"Inactive")</f>
        <v>Premium</v>
      </c>
    </row>
    <row r="280" spans="1:8" x14ac:dyDescent="0.2">
      <c r="A280">
        <v>1279</v>
      </c>
      <c r="B280" t="s">
        <v>11</v>
      </c>
      <c r="C280" t="s">
        <v>7</v>
      </c>
      <c r="D280" s="1">
        <v>45784</v>
      </c>
      <c r="E280">
        <v>49</v>
      </c>
      <c r="F280">
        <v>0</v>
      </c>
      <c r="G280">
        <f>IF(Gym_Expansion_Data[[#This Row],[Churned]]=0,1,0)</f>
        <v>1</v>
      </c>
      <c r="H280" t="str">
        <f>IF(Gym_Expansion_Data[[#This Row],[Active Member]]=1,Gym_Expansion_Data[[#This Row],[Tier]],"Inactive")</f>
        <v>Basic</v>
      </c>
    </row>
    <row r="281" spans="1:8" x14ac:dyDescent="0.2">
      <c r="A281">
        <v>1280</v>
      </c>
      <c r="B281" t="s">
        <v>11</v>
      </c>
      <c r="C281" t="s">
        <v>12</v>
      </c>
      <c r="D281" s="1">
        <v>45298</v>
      </c>
      <c r="E281">
        <v>89</v>
      </c>
      <c r="F281">
        <v>0</v>
      </c>
      <c r="G281">
        <f>IF(Gym_Expansion_Data[[#This Row],[Churned]]=0,1,0)</f>
        <v>1</v>
      </c>
      <c r="H281" t="str">
        <f>IF(Gym_Expansion_Data[[#This Row],[Active Member]]=1,Gym_Expansion_Data[[#This Row],[Tier]],"Inactive")</f>
        <v>Premium</v>
      </c>
    </row>
    <row r="282" spans="1:8" x14ac:dyDescent="0.2">
      <c r="A282">
        <v>1281</v>
      </c>
      <c r="B282" t="s">
        <v>11</v>
      </c>
      <c r="C282" t="s">
        <v>12</v>
      </c>
      <c r="D282" s="1">
        <v>45386</v>
      </c>
      <c r="E282">
        <v>89</v>
      </c>
      <c r="F282">
        <v>0</v>
      </c>
      <c r="G282">
        <f>IF(Gym_Expansion_Data[[#This Row],[Churned]]=0,1,0)</f>
        <v>1</v>
      </c>
      <c r="H282" t="str">
        <f>IF(Gym_Expansion_Data[[#This Row],[Active Member]]=1,Gym_Expansion_Data[[#This Row],[Tier]],"Inactive")</f>
        <v>Premium</v>
      </c>
    </row>
    <row r="283" spans="1:8" x14ac:dyDescent="0.2">
      <c r="A283">
        <v>1282</v>
      </c>
      <c r="B283" t="s">
        <v>9</v>
      </c>
      <c r="C283" t="s">
        <v>7</v>
      </c>
      <c r="D283" s="1">
        <v>45883</v>
      </c>
      <c r="E283">
        <v>49</v>
      </c>
      <c r="F283">
        <v>0</v>
      </c>
      <c r="G283">
        <f>IF(Gym_Expansion_Data[[#This Row],[Churned]]=0,1,0)</f>
        <v>1</v>
      </c>
      <c r="H283" t="str">
        <f>IF(Gym_Expansion_Data[[#This Row],[Active Member]]=1,Gym_Expansion_Data[[#This Row],[Tier]],"Inactive")</f>
        <v>Basic</v>
      </c>
    </row>
    <row r="284" spans="1:8" x14ac:dyDescent="0.2">
      <c r="A284">
        <v>1283</v>
      </c>
      <c r="B284" t="s">
        <v>9</v>
      </c>
      <c r="C284" t="s">
        <v>7</v>
      </c>
      <c r="D284" s="1">
        <v>45885</v>
      </c>
      <c r="E284">
        <v>49</v>
      </c>
      <c r="F284">
        <v>0</v>
      </c>
      <c r="G284">
        <f>IF(Gym_Expansion_Data[[#This Row],[Churned]]=0,1,0)</f>
        <v>1</v>
      </c>
      <c r="H284" t="str">
        <f>IF(Gym_Expansion_Data[[#This Row],[Active Member]]=1,Gym_Expansion_Data[[#This Row],[Tier]],"Inactive")</f>
        <v>Basic</v>
      </c>
    </row>
    <row r="285" spans="1:8" x14ac:dyDescent="0.2">
      <c r="A285">
        <v>1284</v>
      </c>
      <c r="B285" t="s">
        <v>6</v>
      </c>
      <c r="C285" t="s">
        <v>7</v>
      </c>
      <c r="D285" s="1">
        <v>45498</v>
      </c>
      <c r="E285">
        <v>49</v>
      </c>
      <c r="F285">
        <v>0</v>
      </c>
      <c r="G285">
        <f>IF(Gym_Expansion_Data[[#This Row],[Churned]]=0,1,0)</f>
        <v>1</v>
      </c>
      <c r="H285" t="str">
        <f>IF(Gym_Expansion_Data[[#This Row],[Active Member]]=1,Gym_Expansion_Data[[#This Row],[Tier]],"Inactive")</f>
        <v>Basic</v>
      </c>
    </row>
    <row r="286" spans="1:8" x14ac:dyDescent="0.2">
      <c r="A286">
        <v>1285</v>
      </c>
      <c r="B286" t="s">
        <v>9</v>
      </c>
      <c r="C286" t="s">
        <v>12</v>
      </c>
      <c r="D286" s="1">
        <v>45414</v>
      </c>
      <c r="E286">
        <v>89</v>
      </c>
      <c r="F286">
        <v>0</v>
      </c>
      <c r="G286">
        <f>IF(Gym_Expansion_Data[[#This Row],[Churned]]=0,1,0)</f>
        <v>1</v>
      </c>
      <c r="H286" t="str">
        <f>IF(Gym_Expansion_Data[[#This Row],[Active Member]]=1,Gym_Expansion_Data[[#This Row],[Tier]],"Inactive")</f>
        <v>Premium</v>
      </c>
    </row>
    <row r="287" spans="1:8" x14ac:dyDescent="0.2">
      <c r="A287">
        <v>1286</v>
      </c>
      <c r="B287" t="s">
        <v>9</v>
      </c>
      <c r="C287" t="s">
        <v>12</v>
      </c>
      <c r="D287" s="1">
        <v>45888</v>
      </c>
      <c r="E287">
        <v>89</v>
      </c>
      <c r="F287">
        <v>1</v>
      </c>
      <c r="G287">
        <f>IF(Gym_Expansion_Data[[#This Row],[Churned]]=0,1,0)</f>
        <v>0</v>
      </c>
      <c r="H287" t="str">
        <f>IF(Gym_Expansion_Data[[#This Row],[Active Member]]=1,Gym_Expansion_Data[[#This Row],[Tier]],"Inactive")</f>
        <v>Inactive</v>
      </c>
    </row>
    <row r="288" spans="1:8" x14ac:dyDescent="0.2">
      <c r="A288">
        <v>1287</v>
      </c>
      <c r="B288" t="s">
        <v>11</v>
      </c>
      <c r="C288" t="s">
        <v>7</v>
      </c>
      <c r="D288" s="1">
        <v>45942</v>
      </c>
      <c r="E288">
        <v>49</v>
      </c>
      <c r="F288">
        <v>0</v>
      </c>
      <c r="G288">
        <f>IF(Gym_Expansion_Data[[#This Row],[Churned]]=0,1,0)</f>
        <v>1</v>
      </c>
      <c r="H288" t="str">
        <f>IF(Gym_Expansion_Data[[#This Row],[Active Member]]=1,Gym_Expansion_Data[[#This Row],[Tier]],"Inactive")</f>
        <v>Basic</v>
      </c>
    </row>
    <row r="289" spans="1:8" x14ac:dyDescent="0.2">
      <c r="A289">
        <v>1288</v>
      </c>
      <c r="B289" t="s">
        <v>9</v>
      </c>
      <c r="C289" t="s">
        <v>7</v>
      </c>
      <c r="D289" s="1">
        <v>45797</v>
      </c>
      <c r="E289">
        <v>49</v>
      </c>
      <c r="F289">
        <v>1</v>
      </c>
      <c r="G289">
        <f>IF(Gym_Expansion_Data[[#This Row],[Churned]]=0,1,0)</f>
        <v>0</v>
      </c>
      <c r="H289" t="str">
        <f>IF(Gym_Expansion_Data[[#This Row],[Active Member]]=1,Gym_Expansion_Data[[#This Row],[Tier]],"Inactive")</f>
        <v>Inactive</v>
      </c>
    </row>
    <row r="290" spans="1:8" x14ac:dyDescent="0.2">
      <c r="A290">
        <v>1289</v>
      </c>
      <c r="B290" t="s">
        <v>9</v>
      </c>
      <c r="C290" t="s">
        <v>12</v>
      </c>
      <c r="D290" s="1">
        <v>45522</v>
      </c>
      <c r="E290">
        <v>89</v>
      </c>
      <c r="F290">
        <v>0</v>
      </c>
      <c r="G290">
        <f>IF(Gym_Expansion_Data[[#This Row],[Churned]]=0,1,0)</f>
        <v>1</v>
      </c>
      <c r="H290" t="str">
        <f>IF(Gym_Expansion_Data[[#This Row],[Active Member]]=1,Gym_Expansion_Data[[#This Row],[Tier]],"Inactive")</f>
        <v>Premium</v>
      </c>
    </row>
    <row r="291" spans="1:8" x14ac:dyDescent="0.2">
      <c r="A291">
        <v>1290</v>
      </c>
      <c r="B291" t="s">
        <v>9</v>
      </c>
      <c r="C291" t="s">
        <v>7</v>
      </c>
      <c r="D291" s="1">
        <v>45751</v>
      </c>
      <c r="E291">
        <v>49</v>
      </c>
      <c r="F291">
        <v>1</v>
      </c>
      <c r="G291">
        <f>IF(Gym_Expansion_Data[[#This Row],[Churned]]=0,1,0)</f>
        <v>0</v>
      </c>
      <c r="H291" t="str">
        <f>IF(Gym_Expansion_Data[[#This Row],[Active Member]]=1,Gym_Expansion_Data[[#This Row],[Tier]],"Inactive")</f>
        <v>Inactive</v>
      </c>
    </row>
    <row r="292" spans="1:8" x14ac:dyDescent="0.2">
      <c r="A292">
        <v>1291</v>
      </c>
      <c r="B292" t="s">
        <v>6</v>
      </c>
      <c r="C292" t="s">
        <v>7</v>
      </c>
      <c r="D292" s="1">
        <v>45763</v>
      </c>
      <c r="E292">
        <v>49</v>
      </c>
      <c r="F292">
        <v>0</v>
      </c>
      <c r="G292">
        <f>IF(Gym_Expansion_Data[[#This Row],[Churned]]=0,1,0)</f>
        <v>1</v>
      </c>
      <c r="H292" t="str">
        <f>IF(Gym_Expansion_Data[[#This Row],[Active Member]]=1,Gym_Expansion_Data[[#This Row],[Tier]],"Inactive")</f>
        <v>Basic</v>
      </c>
    </row>
    <row r="293" spans="1:8" x14ac:dyDescent="0.2">
      <c r="A293">
        <v>1292</v>
      </c>
      <c r="B293" t="s">
        <v>10</v>
      </c>
      <c r="C293" t="s">
        <v>12</v>
      </c>
      <c r="D293" s="1">
        <v>45958</v>
      </c>
      <c r="E293">
        <v>89</v>
      </c>
      <c r="F293">
        <v>1</v>
      </c>
      <c r="G293">
        <f>IF(Gym_Expansion_Data[[#This Row],[Churned]]=0,1,0)</f>
        <v>0</v>
      </c>
      <c r="H293" t="str">
        <f>IF(Gym_Expansion_Data[[#This Row],[Active Member]]=1,Gym_Expansion_Data[[#This Row],[Tier]],"Inactive")</f>
        <v>Inactive</v>
      </c>
    </row>
    <row r="294" spans="1:8" x14ac:dyDescent="0.2">
      <c r="A294">
        <v>1293</v>
      </c>
      <c r="B294" t="s">
        <v>9</v>
      </c>
      <c r="C294" t="s">
        <v>7</v>
      </c>
      <c r="D294" s="1">
        <v>45826</v>
      </c>
      <c r="E294">
        <v>49</v>
      </c>
      <c r="F294">
        <v>0</v>
      </c>
      <c r="G294">
        <f>IF(Gym_Expansion_Data[[#This Row],[Churned]]=0,1,0)</f>
        <v>1</v>
      </c>
      <c r="H294" t="str">
        <f>IF(Gym_Expansion_Data[[#This Row],[Active Member]]=1,Gym_Expansion_Data[[#This Row],[Tier]],"Inactive")</f>
        <v>Basic</v>
      </c>
    </row>
    <row r="295" spans="1:8" x14ac:dyDescent="0.2">
      <c r="A295">
        <v>1294</v>
      </c>
      <c r="B295" t="s">
        <v>11</v>
      </c>
      <c r="C295" t="s">
        <v>7</v>
      </c>
      <c r="D295" s="1">
        <v>45571</v>
      </c>
      <c r="E295">
        <v>49</v>
      </c>
      <c r="F295">
        <v>0</v>
      </c>
      <c r="G295">
        <f>IF(Gym_Expansion_Data[[#This Row],[Churned]]=0,1,0)</f>
        <v>1</v>
      </c>
      <c r="H295" t="str">
        <f>IF(Gym_Expansion_Data[[#This Row],[Active Member]]=1,Gym_Expansion_Data[[#This Row],[Tier]],"Inactive")</f>
        <v>Basic</v>
      </c>
    </row>
    <row r="296" spans="1:8" x14ac:dyDescent="0.2">
      <c r="A296">
        <v>1295</v>
      </c>
      <c r="B296" t="s">
        <v>9</v>
      </c>
      <c r="C296" t="s">
        <v>12</v>
      </c>
      <c r="D296" s="1">
        <v>45754</v>
      </c>
      <c r="E296">
        <v>89</v>
      </c>
      <c r="F296">
        <v>0</v>
      </c>
      <c r="G296">
        <f>IF(Gym_Expansion_Data[[#This Row],[Churned]]=0,1,0)</f>
        <v>1</v>
      </c>
      <c r="H296" t="str">
        <f>IF(Gym_Expansion_Data[[#This Row],[Active Member]]=1,Gym_Expansion_Data[[#This Row],[Tier]],"Inactive")</f>
        <v>Premium</v>
      </c>
    </row>
    <row r="297" spans="1:8" x14ac:dyDescent="0.2">
      <c r="A297">
        <v>1296</v>
      </c>
      <c r="B297" t="s">
        <v>9</v>
      </c>
      <c r="C297" t="s">
        <v>7</v>
      </c>
      <c r="D297" s="1">
        <v>45456</v>
      </c>
      <c r="E297">
        <v>49</v>
      </c>
      <c r="F297">
        <v>1</v>
      </c>
      <c r="G297">
        <f>IF(Gym_Expansion_Data[[#This Row],[Churned]]=0,1,0)</f>
        <v>0</v>
      </c>
      <c r="H297" t="str">
        <f>IF(Gym_Expansion_Data[[#This Row],[Active Member]]=1,Gym_Expansion_Data[[#This Row],[Tier]],"Inactive")</f>
        <v>Inactive</v>
      </c>
    </row>
    <row r="298" spans="1:8" x14ac:dyDescent="0.2">
      <c r="A298">
        <v>1297</v>
      </c>
      <c r="B298" t="s">
        <v>10</v>
      </c>
      <c r="C298" t="s">
        <v>12</v>
      </c>
      <c r="D298" s="1">
        <v>45388</v>
      </c>
      <c r="E298">
        <v>89</v>
      </c>
      <c r="F298">
        <v>0</v>
      </c>
      <c r="G298">
        <f>IF(Gym_Expansion_Data[[#This Row],[Churned]]=0,1,0)</f>
        <v>1</v>
      </c>
      <c r="H298" t="str">
        <f>IF(Gym_Expansion_Data[[#This Row],[Active Member]]=1,Gym_Expansion_Data[[#This Row],[Tier]],"Inactive")</f>
        <v>Premium</v>
      </c>
    </row>
    <row r="299" spans="1:8" x14ac:dyDescent="0.2">
      <c r="A299">
        <v>1298</v>
      </c>
      <c r="B299" t="s">
        <v>10</v>
      </c>
      <c r="C299" t="s">
        <v>7</v>
      </c>
      <c r="D299" s="1">
        <v>45670</v>
      </c>
      <c r="E299">
        <v>49</v>
      </c>
      <c r="F299">
        <v>0</v>
      </c>
      <c r="G299">
        <f>IF(Gym_Expansion_Data[[#This Row],[Churned]]=0,1,0)</f>
        <v>1</v>
      </c>
      <c r="H299" t="str">
        <f>IF(Gym_Expansion_Data[[#This Row],[Active Member]]=1,Gym_Expansion_Data[[#This Row],[Tier]],"Inactive")</f>
        <v>Basic</v>
      </c>
    </row>
    <row r="300" spans="1:8" x14ac:dyDescent="0.2">
      <c r="A300">
        <v>1299</v>
      </c>
      <c r="B300" t="s">
        <v>9</v>
      </c>
      <c r="C300" t="s">
        <v>7</v>
      </c>
      <c r="D300" s="1">
        <v>45910</v>
      </c>
      <c r="E300">
        <v>49</v>
      </c>
      <c r="F300">
        <v>0</v>
      </c>
      <c r="G300">
        <f>IF(Gym_Expansion_Data[[#This Row],[Churned]]=0,1,0)</f>
        <v>1</v>
      </c>
      <c r="H300" t="str">
        <f>IF(Gym_Expansion_Data[[#This Row],[Active Member]]=1,Gym_Expansion_Data[[#This Row],[Tier]],"Inactive")</f>
        <v>Basic</v>
      </c>
    </row>
    <row r="301" spans="1:8" x14ac:dyDescent="0.2">
      <c r="A301">
        <v>1300</v>
      </c>
      <c r="B301" t="s">
        <v>9</v>
      </c>
      <c r="C301" t="s">
        <v>7</v>
      </c>
      <c r="D301" s="1">
        <v>45855</v>
      </c>
      <c r="E301">
        <v>49</v>
      </c>
      <c r="F301">
        <v>0</v>
      </c>
      <c r="G301">
        <f>IF(Gym_Expansion_Data[[#This Row],[Churned]]=0,1,0)</f>
        <v>1</v>
      </c>
      <c r="H301" t="str">
        <f>IF(Gym_Expansion_Data[[#This Row],[Active Member]]=1,Gym_Expansion_Data[[#This Row],[Tier]],"Inactive")</f>
        <v>Basic</v>
      </c>
    </row>
    <row r="302" spans="1:8" x14ac:dyDescent="0.2">
      <c r="A302">
        <v>1301</v>
      </c>
      <c r="B302" t="s">
        <v>11</v>
      </c>
      <c r="C302" t="s">
        <v>8</v>
      </c>
      <c r="D302" s="1">
        <v>45317</v>
      </c>
      <c r="E302">
        <v>129</v>
      </c>
      <c r="F302">
        <v>0</v>
      </c>
      <c r="G302">
        <f>IF(Gym_Expansion_Data[[#This Row],[Churned]]=0,1,0)</f>
        <v>1</v>
      </c>
      <c r="H302" t="str">
        <f>IF(Gym_Expansion_Data[[#This Row],[Active Member]]=1,Gym_Expansion_Data[[#This Row],[Tier]],"Inactive")</f>
        <v>Elite</v>
      </c>
    </row>
    <row r="303" spans="1:8" x14ac:dyDescent="0.2">
      <c r="A303">
        <v>1302</v>
      </c>
      <c r="B303" t="s">
        <v>11</v>
      </c>
      <c r="C303" t="s">
        <v>8</v>
      </c>
      <c r="D303" s="1">
        <v>45339</v>
      </c>
      <c r="E303">
        <v>129</v>
      </c>
      <c r="F303">
        <v>0</v>
      </c>
      <c r="G303">
        <f>IF(Gym_Expansion_Data[[#This Row],[Churned]]=0,1,0)</f>
        <v>1</v>
      </c>
      <c r="H303" t="str">
        <f>IF(Gym_Expansion_Data[[#This Row],[Active Member]]=1,Gym_Expansion_Data[[#This Row],[Tier]],"Inactive")</f>
        <v>Elite</v>
      </c>
    </row>
    <row r="304" spans="1:8" x14ac:dyDescent="0.2">
      <c r="A304">
        <v>1303</v>
      </c>
      <c r="B304" t="s">
        <v>9</v>
      </c>
      <c r="C304" t="s">
        <v>7</v>
      </c>
      <c r="D304" s="1">
        <v>45835</v>
      </c>
      <c r="E304">
        <v>49</v>
      </c>
      <c r="F304">
        <v>0</v>
      </c>
      <c r="G304">
        <f>IF(Gym_Expansion_Data[[#This Row],[Churned]]=0,1,0)</f>
        <v>1</v>
      </c>
      <c r="H304" t="str">
        <f>IF(Gym_Expansion_Data[[#This Row],[Active Member]]=1,Gym_Expansion_Data[[#This Row],[Tier]],"Inactive")</f>
        <v>Basic</v>
      </c>
    </row>
    <row r="305" spans="1:8" x14ac:dyDescent="0.2">
      <c r="A305">
        <v>1304</v>
      </c>
      <c r="B305" t="s">
        <v>9</v>
      </c>
      <c r="C305" t="s">
        <v>8</v>
      </c>
      <c r="D305" s="1">
        <v>45914</v>
      </c>
      <c r="E305">
        <v>129</v>
      </c>
      <c r="F305">
        <v>0</v>
      </c>
      <c r="G305">
        <f>IF(Gym_Expansion_Data[[#This Row],[Churned]]=0,1,0)</f>
        <v>1</v>
      </c>
      <c r="H305" t="str">
        <f>IF(Gym_Expansion_Data[[#This Row],[Active Member]]=1,Gym_Expansion_Data[[#This Row],[Tier]],"Inactive")</f>
        <v>Elite</v>
      </c>
    </row>
    <row r="306" spans="1:8" x14ac:dyDescent="0.2">
      <c r="A306">
        <v>1305</v>
      </c>
      <c r="B306" t="s">
        <v>6</v>
      </c>
      <c r="C306" t="s">
        <v>7</v>
      </c>
      <c r="D306" s="1">
        <v>45762</v>
      </c>
      <c r="E306">
        <v>49</v>
      </c>
      <c r="F306">
        <v>0</v>
      </c>
      <c r="G306">
        <f>IF(Gym_Expansion_Data[[#This Row],[Churned]]=0,1,0)</f>
        <v>1</v>
      </c>
      <c r="H306" t="str">
        <f>IF(Gym_Expansion_Data[[#This Row],[Active Member]]=1,Gym_Expansion_Data[[#This Row],[Tier]],"Inactive")</f>
        <v>Basic</v>
      </c>
    </row>
    <row r="307" spans="1:8" x14ac:dyDescent="0.2">
      <c r="A307">
        <v>1306</v>
      </c>
      <c r="B307" t="s">
        <v>6</v>
      </c>
      <c r="C307" t="s">
        <v>7</v>
      </c>
      <c r="D307" s="1">
        <v>45298</v>
      </c>
      <c r="E307">
        <v>49</v>
      </c>
      <c r="F307">
        <v>0</v>
      </c>
      <c r="G307">
        <f>IF(Gym_Expansion_Data[[#This Row],[Churned]]=0,1,0)</f>
        <v>1</v>
      </c>
      <c r="H307" t="str">
        <f>IF(Gym_Expansion_Data[[#This Row],[Active Member]]=1,Gym_Expansion_Data[[#This Row],[Tier]],"Inactive")</f>
        <v>Basic</v>
      </c>
    </row>
    <row r="308" spans="1:8" x14ac:dyDescent="0.2">
      <c r="A308">
        <v>1307</v>
      </c>
      <c r="B308" t="s">
        <v>11</v>
      </c>
      <c r="C308" t="s">
        <v>7</v>
      </c>
      <c r="D308" s="1">
        <v>45414</v>
      </c>
      <c r="E308">
        <v>49</v>
      </c>
      <c r="F308">
        <v>0</v>
      </c>
      <c r="G308">
        <f>IF(Gym_Expansion_Data[[#This Row],[Churned]]=0,1,0)</f>
        <v>1</v>
      </c>
      <c r="H308" t="str">
        <f>IF(Gym_Expansion_Data[[#This Row],[Active Member]]=1,Gym_Expansion_Data[[#This Row],[Tier]],"Inactive")</f>
        <v>Basic</v>
      </c>
    </row>
    <row r="309" spans="1:8" x14ac:dyDescent="0.2">
      <c r="A309">
        <v>1308</v>
      </c>
      <c r="B309" t="s">
        <v>9</v>
      </c>
      <c r="C309" t="s">
        <v>7</v>
      </c>
      <c r="D309" s="1">
        <v>45465</v>
      </c>
      <c r="E309">
        <v>49</v>
      </c>
      <c r="F309">
        <v>1</v>
      </c>
      <c r="G309">
        <f>IF(Gym_Expansion_Data[[#This Row],[Churned]]=0,1,0)</f>
        <v>0</v>
      </c>
      <c r="H309" t="str">
        <f>IF(Gym_Expansion_Data[[#This Row],[Active Member]]=1,Gym_Expansion_Data[[#This Row],[Tier]],"Inactive")</f>
        <v>Inactive</v>
      </c>
    </row>
    <row r="310" spans="1:8" x14ac:dyDescent="0.2">
      <c r="A310">
        <v>1309</v>
      </c>
      <c r="B310" t="s">
        <v>9</v>
      </c>
      <c r="C310" t="s">
        <v>7</v>
      </c>
      <c r="D310" s="1">
        <v>45500</v>
      </c>
      <c r="E310">
        <v>49</v>
      </c>
      <c r="F310">
        <v>0</v>
      </c>
      <c r="G310">
        <f>IF(Gym_Expansion_Data[[#This Row],[Churned]]=0,1,0)</f>
        <v>1</v>
      </c>
      <c r="H310" t="str">
        <f>IF(Gym_Expansion_Data[[#This Row],[Active Member]]=1,Gym_Expansion_Data[[#This Row],[Tier]],"Inactive")</f>
        <v>Basic</v>
      </c>
    </row>
    <row r="311" spans="1:8" x14ac:dyDescent="0.2">
      <c r="A311">
        <v>1310</v>
      </c>
      <c r="B311" t="s">
        <v>9</v>
      </c>
      <c r="C311" t="s">
        <v>7</v>
      </c>
      <c r="D311" s="1">
        <v>45618</v>
      </c>
      <c r="E311">
        <v>49</v>
      </c>
      <c r="F311">
        <v>0</v>
      </c>
      <c r="G311">
        <f>IF(Gym_Expansion_Data[[#This Row],[Churned]]=0,1,0)</f>
        <v>1</v>
      </c>
      <c r="H311" t="str">
        <f>IF(Gym_Expansion_Data[[#This Row],[Active Member]]=1,Gym_Expansion_Data[[#This Row],[Tier]],"Inactive")</f>
        <v>Basic</v>
      </c>
    </row>
    <row r="312" spans="1:8" x14ac:dyDescent="0.2">
      <c r="A312">
        <v>1311</v>
      </c>
      <c r="B312" t="s">
        <v>9</v>
      </c>
      <c r="C312" t="s">
        <v>8</v>
      </c>
      <c r="D312" s="1">
        <v>45567</v>
      </c>
      <c r="E312">
        <v>129</v>
      </c>
      <c r="F312">
        <v>0</v>
      </c>
      <c r="G312">
        <f>IF(Gym_Expansion_Data[[#This Row],[Churned]]=0,1,0)</f>
        <v>1</v>
      </c>
      <c r="H312" t="str">
        <f>IF(Gym_Expansion_Data[[#This Row],[Active Member]]=1,Gym_Expansion_Data[[#This Row],[Tier]],"Inactive")</f>
        <v>Elite</v>
      </c>
    </row>
    <row r="313" spans="1:8" x14ac:dyDescent="0.2">
      <c r="A313">
        <v>1312</v>
      </c>
      <c r="B313" t="s">
        <v>6</v>
      </c>
      <c r="C313" t="s">
        <v>12</v>
      </c>
      <c r="D313" s="1">
        <v>45639</v>
      </c>
      <c r="E313">
        <v>89</v>
      </c>
      <c r="F313">
        <v>0</v>
      </c>
      <c r="G313">
        <f>IF(Gym_Expansion_Data[[#This Row],[Churned]]=0,1,0)</f>
        <v>1</v>
      </c>
      <c r="H313" t="str">
        <f>IF(Gym_Expansion_Data[[#This Row],[Active Member]]=1,Gym_Expansion_Data[[#This Row],[Tier]],"Inactive")</f>
        <v>Premium</v>
      </c>
    </row>
    <row r="314" spans="1:8" x14ac:dyDescent="0.2">
      <c r="A314">
        <v>1313</v>
      </c>
      <c r="B314" t="s">
        <v>11</v>
      </c>
      <c r="C314" t="s">
        <v>7</v>
      </c>
      <c r="D314" s="1">
        <v>45503</v>
      </c>
      <c r="E314">
        <v>49</v>
      </c>
      <c r="F314">
        <v>0</v>
      </c>
      <c r="G314">
        <f>IF(Gym_Expansion_Data[[#This Row],[Churned]]=0,1,0)</f>
        <v>1</v>
      </c>
      <c r="H314" t="str">
        <f>IF(Gym_Expansion_Data[[#This Row],[Active Member]]=1,Gym_Expansion_Data[[#This Row],[Tier]],"Inactive")</f>
        <v>Basic</v>
      </c>
    </row>
    <row r="315" spans="1:8" x14ac:dyDescent="0.2">
      <c r="A315">
        <v>1314</v>
      </c>
      <c r="B315" t="s">
        <v>9</v>
      </c>
      <c r="C315" t="s">
        <v>8</v>
      </c>
      <c r="D315" s="1">
        <v>45910</v>
      </c>
      <c r="E315">
        <v>129</v>
      </c>
      <c r="F315">
        <v>0</v>
      </c>
      <c r="G315">
        <f>IF(Gym_Expansion_Data[[#This Row],[Churned]]=0,1,0)</f>
        <v>1</v>
      </c>
      <c r="H315" t="str">
        <f>IF(Gym_Expansion_Data[[#This Row],[Active Member]]=1,Gym_Expansion_Data[[#This Row],[Tier]],"Inactive")</f>
        <v>Elite</v>
      </c>
    </row>
    <row r="316" spans="1:8" x14ac:dyDescent="0.2">
      <c r="A316">
        <v>1315</v>
      </c>
      <c r="B316" t="s">
        <v>9</v>
      </c>
      <c r="C316" t="s">
        <v>7</v>
      </c>
      <c r="D316" s="1">
        <v>45488</v>
      </c>
      <c r="E316">
        <v>49</v>
      </c>
      <c r="F316">
        <v>0</v>
      </c>
      <c r="G316">
        <f>IF(Gym_Expansion_Data[[#This Row],[Churned]]=0,1,0)</f>
        <v>1</v>
      </c>
      <c r="H316" t="str">
        <f>IF(Gym_Expansion_Data[[#This Row],[Active Member]]=1,Gym_Expansion_Data[[#This Row],[Tier]],"Inactive")</f>
        <v>Basic</v>
      </c>
    </row>
    <row r="317" spans="1:8" x14ac:dyDescent="0.2">
      <c r="A317">
        <v>1316</v>
      </c>
      <c r="B317" t="s">
        <v>6</v>
      </c>
      <c r="C317" t="s">
        <v>7</v>
      </c>
      <c r="D317" s="1">
        <v>45416</v>
      </c>
      <c r="E317">
        <v>49</v>
      </c>
      <c r="F317">
        <v>0</v>
      </c>
      <c r="G317">
        <f>IF(Gym_Expansion_Data[[#This Row],[Churned]]=0,1,0)</f>
        <v>1</v>
      </c>
      <c r="H317" t="str">
        <f>IF(Gym_Expansion_Data[[#This Row],[Active Member]]=1,Gym_Expansion_Data[[#This Row],[Tier]],"Inactive")</f>
        <v>Basic</v>
      </c>
    </row>
    <row r="318" spans="1:8" x14ac:dyDescent="0.2">
      <c r="A318">
        <v>1317</v>
      </c>
      <c r="B318" t="s">
        <v>9</v>
      </c>
      <c r="C318" t="s">
        <v>8</v>
      </c>
      <c r="D318" s="1">
        <v>45786</v>
      </c>
      <c r="E318">
        <v>129</v>
      </c>
      <c r="F318">
        <v>0</v>
      </c>
      <c r="G318">
        <f>IF(Gym_Expansion_Data[[#This Row],[Churned]]=0,1,0)</f>
        <v>1</v>
      </c>
      <c r="H318" t="str">
        <f>IF(Gym_Expansion_Data[[#This Row],[Active Member]]=1,Gym_Expansion_Data[[#This Row],[Tier]],"Inactive")</f>
        <v>Elite</v>
      </c>
    </row>
    <row r="319" spans="1:8" x14ac:dyDescent="0.2">
      <c r="A319">
        <v>1318</v>
      </c>
      <c r="B319" t="s">
        <v>10</v>
      </c>
      <c r="C319" t="s">
        <v>8</v>
      </c>
      <c r="D319" s="1">
        <v>45621</v>
      </c>
      <c r="E319">
        <v>129</v>
      </c>
      <c r="F319">
        <v>1</v>
      </c>
      <c r="G319">
        <f>IF(Gym_Expansion_Data[[#This Row],[Churned]]=0,1,0)</f>
        <v>0</v>
      </c>
      <c r="H319" t="str">
        <f>IF(Gym_Expansion_Data[[#This Row],[Active Member]]=1,Gym_Expansion_Data[[#This Row],[Tier]],"Inactive")</f>
        <v>Inactive</v>
      </c>
    </row>
    <row r="320" spans="1:8" x14ac:dyDescent="0.2">
      <c r="A320">
        <v>1319</v>
      </c>
      <c r="B320" t="s">
        <v>6</v>
      </c>
      <c r="C320" t="s">
        <v>7</v>
      </c>
      <c r="D320" s="1">
        <v>45572</v>
      </c>
      <c r="E320">
        <v>49</v>
      </c>
      <c r="F320">
        <v>0</v>
      </c>
      <c r="G320">
        <f>IF(Gym_Expansion_Data[[#This Row],[Churned]]=0,1,0)</f>
        <v>1</v>
      </c>
      <c r="H320" t="str">
        <f>IF(Gym_Expansion_Data[[#This Row],[Active Member]]=1,Gym_Expansion_Data[[#This Row],[Tier]],"Inactive")</f>
        <v>Basic</v>
      </c>
    </row>
    <row r="321" spans="1:8" x14ac:dyDescent="0.2">
      <c r="A321">
        <v>1320</v>
      </c>
      <c r="B321" t="s">
        <v>6</v>
      </c>
      <c r="C321" t="s">
        <v>8</v>
      </c>
      <c r="D321" s="1">
        <v>45745</v>
      </c>
      <c r="E321">
        <v>129</v>
      </c>
      <c r="F321">
        <v>0</v>
      </c>
      <c r="G321">
        <f>IF(Gym_Expansion_Data[[#This Row],[Churned]]=0,1,0)</f>
        <v>1</v>
      </c>
      <c r="H321" t="str">
        <f>IF(Gym_Expansion_Data[[#This Row],[Active Member]]=1,Gym_Expansion_Data[[#This Row],[Tier]],"Inactive")</f>
        <v>Elite</v>
      </c>
    </row>
    <row r="322" spans="1:8" x14ac:dyDescent="0.2">
      <c r="A322">
        <v>1321</v>
      </c>
      <c r="B322" t="s">
        <v>11</v>
      </c>
      <c r="C322" t="s">
        <v>7</v>
      </c>
      <c r="D322" s="1">
        <v>45343</v>
      </c>
      <c r="E322">
        <v>49</v>
      </c>
      <c r="F322">
        <v>0</v>
      </c>
      <c r="G322">
        <f>IF(Gym_Expansion_Data[[#This Row],[Churned]]=0,1,0)</f>
        <v>1</v>
      </c>
      <c r="H322" t="str">
        <f>IF(Gym_Expansion_Data[[#This Row],[Active Member]]=1,Gym_Expansion_Data[[#This Row],[Tier]],"Inactive")</f>
        <v>Basic</v>
      </c>
    </row>
    <row r="323" spans="1:8" x14ac:dyDescent="0.2">
      <c r="A323">
        <v>1322</v>
      </c>
      <c r="B323" t="s">
        <v>11</v>
      </c>
      <c r="C323" t="s">
        <v>12</v>
      </c>
      <c r="D323" s="1">
        <v>45528</v>
      </c>
      <c r="E323">
        <v>89</v>
      </c>
      <c r="F323">
        <v>0</v>
      </c>
      <c r="G323">
        <f>IF(Gym_Expansion_Data[[#This Row],[Churned]]=0,1,0)</f>
        <v>1</v>
      </c>
      <c r="H323" t="str">
        <f>IF(Gym_Expansion_Data[[#This Row],[Active Member]]=1,Gym_Expansion_Data[[#This Row],[Tier]],"Inactive")</f>
        <v>Premium</v>
      </c>
    </row>
    <row r="324" spans="1:8" x14ac:dyDescent="0.2">
      <c r="A324">
        <v>1323</v>
      </c>
      <c r="B324" t="s">
        <v>9</v>
      </c>
      <c r="C324" t="s">
        <v>7</v>
      </c>
      <c r="D324" s="1">
        <v>45622</v>
      </c>
      <c r="E324">
        <v>49</v>
      </c>
      <c r="F324">
        <v>0</v>
      </c>
      <c r="G324">
        <f>IF(Gym_Expansion_Data[[#This Row],[Churned]]=0,1,0)</f>
        <v>1</v>
      </c>
      <c r="H324" t="str">
        <f>IF(Gym_Expansion_Data[[#This Row],[Active Member]]=1,Gym_Expansion_Data[[#This Row],[Tier]],"Inactive")</f>
        <v>Basic</v>
      </c>
    </row>
    <row r="325" spans="1:8" x14ac:dyDescent="0.2">
      <c r="A325">
        <v>1324</v>
      </c>
      <c r="B325" t="s">
        <v>9</v>
      </c>
      <c r="C325" t="s">
        <v>12</v>
      </c>
      <c r="D325" s="1">
        <v>45912</v>
      </c>
      <c r="E325">
        <v>89</v>
      </c>
      <c r="F325">
        <v>0</v>
      </c>
      <c r="G325">
        <f>IF(Gym_Expansion_Data[[#This Row],[Churned]]=0,1,0)</f>
        <v>1</v>
      </c>
      <c r="H325" t="str">
        <f>IF(Gym_Expansion_Data[[#This Row],[Active Member]]=1,Gym_Expansion_Data[[#This Row],[Tier]],"Inactive")</f>
        <v>Premium</v>
      </c>
    </row>
    <row r="326" spans="1:8" x14ac:dyDescent="0.2">
      <c r="A326">
        <v>1325</v>
      </c>
      <c r="B326" t="s">
        <v>11</v>
      </c>
      <c r="C326" t="s">
        <v>12</v>
      </c>
      <c r="D326" s="1">
        <v>45605</v>
      </c>
      <c r="E326">
        <v>89</v>
      </c>
      <c r="F326">
        <v>0</v>
      </c>
      <c r="G326">
        <f>IF(Gym_Expansion_Data[[#This Row],[Churned]]=0,1,0)</f>
        <v>1</v>
      </c>
      <c r="H326" t="str">
        <f>IF(Gym_Expansion_Data[[#This Row],[Active Member]]=1,Gym_Expansion_Data[[#This Row],[Tier]],"Inactive")</f>
        <v>Premium</v>
      </c>
    </row>
    <row r="327" spans="1:8" x14ac:dyDescent="0.2">
      <c r="A327">
        <v>1326</v>
      </c>
      <c r="B327" t="s">
        <v>6</v>
      </c>
      <c r="C327" t="s">
        <v>8</v>
      </c>
      <c r="D327" s="1">
        <v>45639</v>
      </c>
      <c r="E327">
        <v>129</v>
      </c>
      <c r="F327">
        <v>0</v>
      </c>
      <c r="G327">
        <f>IF(Gym_Expansion_Data[[#This Row],[Churned]]=0,1,0)</f>
        <v>1</v>
      </c>
      <c r="H327" t="str">
        <f>IF(Gym_Expansion_Data[[#This Row],[Active Member]]=1,Gym_Expansion_Data[[#This Row],[Tier]],"Inactive")</f>
        <v>Elite</v>
      </c>
    </row>
    <row r="328" spans="1:8" x14ac:dyDescent="0.2">
      <c r="A328">
        <v>1327</v>
      </c>
      <c r="B328" t="s">
        <v>11</v>
      </c>
      <c r="C328" t="s">
        <v>7</v>
      </c>
      <c r="D328" s="1">
        <v>45428</v>
      </c>
      <c r="E328">
        <v>49</v>
      </c>
      <c r="F328">
        <v>1</v>
      </c>
      <c r="G328">
        <f>IF(Gym_Expansion_Data[[#This Row],[Churned]]=0,1,0)</f>
        <v>0</v>
      </c>
      <c r="H328" t="str">
        <f>IF(Gym_Expansion_Data[[#This Row],[Active Member]]=1,Gym_Expansion_Data[[#This Row],[Tier]],"Inactive")</f>
        <v>Inactive</v>
      </c>
    </row>
    <row r="329" spans="1:8" x14ac:dyDescent="0.2">
      <c r="A329">
        <v>1328</v>
      </c>
      <c r="B329" t="s">
        <v>6</v>
      </c>
      <c r="C329" t="s">
        <v>7</v>
      </c>
      <c r="D329" s="1">
        <v>45644</v>
      </c>
      <c r="E329">
        <v>49</v>
      </c>
      <c r="F329">
        <v>0</v>
      </c>
      <c r="G329">
        <f>IF(Gym_Expansion_Data[[#This Row],[Churned]]=0,1,0)</f>
        <v>1</v>
      </c>
      <c r="H329" t="str">
        <f>IF(Gym_Expansion_Data[[#This Row],[Active Member]]=1,Gym_Expansion_Data[[#This Row],[Tier]],"Inactive")</f>
        <v>Basic</v>
      </c>
    </row>
    <row r="330" spans="1:8" x14ac:dyDescent="0.2">
      <c r="A330">
        <v>1329</v>
      </c>
      <c r="B330" t="s">
        <v>10</v>
      </c>
      <c r="C330" t="s">
        <v>7</v>
      </c>
      <c r="D330" s="1">
        <v>45491</v>
      </c>
      <c r="E330">
        <v>49</v>
      </c>
      <c r="F330">
        <v>0</v>
      </c>
      <c r="G330">
        <f>IF(Gym_Expansion_Data[[#This Row],[Churned]]=0,1,0)</f>
        <v>1</v>
      </c>
      <c r="H330" t="str">
        <f>IF(Gym_Expansion_Data[[#This Row],[Active Member]]=1,Gym_Expansion_Data[[#This Row],[Tier]],"Inactive")</f>
        <v>Basic</v>
      </c>
    </row>
    <row r="331" spans="1:8" x14ac:dyDescent="0.2">
      <c r="A331">
        <v>1330</v>
      </c>
      <c r="B331" t="s">
        <v>10</v>
      </c>
      <c r="C331" t="s">
        <v>7</v>
      </c>
      <c r="D331" s="1">
        <v>45589</v>
      </c>
      <c r="E331">
        <v>49</v>
      </c>
      <c r="F331">
        <v>0</v>
      </c>
      <c r="G331">
        <f>IF(Gym_Expansion_Data[[#This Row],[Churned]]=0,1,0)</f>
        <v>1</v>
      </c>
      <c r="H331" t="str">
        <f>IF(Gym_Expansion_Data[[#This Row],[Active Member]]=1,Gym_Expansion_Data[[#This Row],[Tier]],"Inactive")</f>
        <v>Basic</v>
      </c>
    </row>
    <row r="332" spans="1:8" x14ac:dyDescent="0.2">
      <c r="A332">
        <v>1331</v>
      </c>
      <c r="B332" t="s">
        <v>6</v>
      </c>
      <c r="C332" t="s">
        <v>8</v>
      </c>
      <c r="D332" s="1">
        <v>45430</v>
      </c>
      <c r="E332">
        <v>129</v>
      </c>
      <c r="F332">
        <v>1</v>
      </c>
      <c r="G332">
        <f>IF(Gym_Expansion_Data[[#This Row],[Churned]]=0,1,0)</f>
        <v>0</v>
      </c>
      <c r="H332" t="str">
        <f>IF(Gym_Expansion_Data[[#This Row],[Active Member]]=1,Gym_Expansion_Data[[#This Row],[Tier]],"Inactive")</f>
        <v>Inactive</v>
      </c>
    </row>
    <row r="333" spans="1:8" x14ac:dyDescent="0.2">
      <c r="A333">
        <v>1332</v>
      </c>
      <c r="B333" t="s">
        <v>9</v>
      </c>
      <c r="C333" t="s">
        <v>7</v>
      </c>
      <c r="D333" s="1">
        <v>45809</v>
      </c>
      <c r="E333">
        <v>49</v>
      </c>
      <c r="F333">
        <v>0</v>
      </c>
      <c r="G333">
        <f>IF(Gym_Expansion_Data[[#This Row],[Churned]]=0,1,0)</f>
        <v>1</v>
      </c>
      <c r="H333" t="str">
        <f>IF(Gym_Expansion_Data[[#This Row],[Active Member]]=1,Gym_Expansion_Data[[#This Row],[Tier]],"Inactive")</f>
        <v>Basic</v>
      </c>
    </row>
    <row r="334" spans="1:8" x14ac:dyDescent="0.2">
      <c r="A334">
        <v>1333</v>
      </c>
      <c r="B334" t="s">
        <v>9</v>
      </c>
      <c r="C334" t="s">
        <v>7</v>
      </c>
      <c r="D334" s="1">
        <v>45788</v>
      </c>
      <c r="E334">
        <v>49</v>
      </c>
      <c r="F334">
        <v>1</v>
      </c>
      <c r="G334">
        <f>IF(Gym_Expansion_Data[[#This Row],[Churned]]=0,1,0)</f>
        <v>0</v>
      </c>
      <c r="H334" t="str">
        <f>IF(Gym_Expansion_Data[[#This Row],[Active Member]]=1,Gym_Expansion_Data[[#This Row],[Tier]],"Inactive")</f>
        <v>Inactive</v>
      </c>
    </row>
    <row r="335" spans="1:8" x14ac:dyDescent="0.2">
      <c r="A335">
        <v>1334</v>
      </c>
      <c r="B335" t="s">
        <v>11</v>
      </c>
      <c r="C335" t="s">
        <v>7</v>
      </c>
      <c r="D335" s="1">
        <v>45339</v>
      </c>
      <c r="E335">
        <v>49</v>
      </c>
      <c r="F335">
        <v>0</v>
      </c>
      <c r="G335">
        <f>IF(Gym_Expansion_Data[[#This Row],[Churned]]=0,1,0)</f>
        <v>1</v>
      </c>
      <c r="H335" t="str">
        <f>IF(Gym_Expansion_Data[[#This Row],[Active Member]]=1,Gym_Expansion_Data[[#This Row],[Tier]],"Inactive")</f>
        <v>Basic</v>
      </c>
    </row>
    <row r="336" spans="1:8" x14ac:dyDescent="0.2">
      <c r="A336">
        <v>1335</v>
      </c>
      <c r="B336" t="s">
        <v>10</v>
      </c>
      <c r="C336" t="s">
        <v>12</v>
      </c>
      <c r="D336" s="1">
        <v>45871</v>
      </c>
      <c r="E336">
        <v>89</v>
      </c>
      <c r="F336">
        <v>0</v>
      </c>
      <c r="G336">
        <f>IF(Gym_Expansion_Data[[#This Row],[Churned]]=0,1,0)</f>
        <v>1</v>
      </c>
      <c r="H336" t="str">
        <f>IF(Gym_Expansion_Data[[#This Row],[Active Member]]=1,Gym_Expansion_Data[[#This Row],[Tier]],"Inactive")</f>
        <v>Premium</v>
      </c>
    </row>
    <row r="337" spans="1:8" x14ac:dyDescent="0.2">
      <c r="A337">
        <v>1336</v>
      </c>
      <c r="B337" t="s">
        <v>11</v>
      </c>
      <c r="C337" t="s">
        <v>12</v>
      </c>
      <c r="D337" s="1">
        <v>45552</v>
      </c>
      <c r="E337">
        <v>89</v>
      </c>
      <c r="F337">
        <v>0</v>
      </c>
      <c r="G337">
        <f>IF(Gym_Expansion_Data[[#This Row],[Churned]]=0,1,0)</f>
        <v>1</v>
      </c>
      <c r="H337" t="str">
        <f>IF(Gym_Expansion_Data[[#This Row],[Active Member]]=1,Gym_Expansion_Data[[#This Row],[Tier]],"Inactive")</f>
        <v>Premium</v>
      </c>
    </row>
    <row r="338" spans="1:8" x14ac:dyDescent="0.2">
      <c r="A338">
        <v>1337</v>
      </c>
      <c r="B338" t="s">
        <v>11</v>
      </c>
      <c r="C338" t="s">
        <v>12</v>
      </c>
      <c r="D338" s="1">
        <v>45647</v>
      </c>
      <c r="E338">
        <v>89</v>
      </c>
      <c r="F338">
        <v>0</v>
      </c>
      <c r="G338">
        <f>IF(Gym_Expansion_Data[[#This Row],[Churned]]=0,1,0)</f>
        <v>1</v>
      </c>
      <c r="H338" t="str">
        <f>IF(Gym_Expansion_Data[[#This Row],[Active Member]]=1,Gym_Expansion_Data[[#This Row],[Tier]],"Inactive")</f>
        <v>Premium</v>
      </c>
    </row>
    <row r="339" spans="1:8" x14ac:dyDescent="0.2">
      <c r="A339">
        <v>1338</v>
      </c>
      <c r="B339" t="s">
        <v>9</v>
      </c>
      <c r="C339" t="s">
        <v>8</v>
      </c>
      <c r="D339" s="1">
        <v>45620</v>
      </c>
      <c r="E339">
        <v>129</v>
      </c>
      <c r="F339">
        <v>0</v>
      </c>
      <c r="G339">
        <f>IF(Gym_Expansion_Data[[#This Row],[Churned]]=0,1,0)</f>
        <v>1</v>
      </c>
      <c r="H339" t="str">
        <f>IF(Gym_Expansion_Data[[#This Row],[Active Member]]=1,Gym_Expansion_Data[[#This Row],[Tier]],"Inactive")</f>
        <v>Elite</v>
      </c>
    </row>
    <row r="340" spans="1:8" x14ac:dyDescent="0.2">
      <c r="A340">
        <v>1339</v>
      </c>
      <c r="B340" t="s">
        <v>6</v>
      </c>
      <c r="C340" t="s">
        <v>12</v>
      </c>
      <c r="D340" s="1">
        <v>45516</v>
      </c>
      <c r="E340">
        <v>89</v>
      </c>
      <c r="F340">
        <v>0</v>
      </c>
      <c r="G340">
        <f>IF(Gym_Expansion_Data[[#This Row],[Churned]]=0,1,0)</f>
        <v>1</v>
      </c>
      <c r="H340" t="str">
        <f>IF(Gym_Expansion_Data[[#This Row],[Active Member]]=1,Gym_Expansion_Data[[#This Row],[Tier]],"Inactive")</f>
        <v>Premium</v>
      </c>
    </row>
    <row r="341" spans="1:8" x14ac:dyDescent="0.2">
      <c r="A341">
        <v>1340</v>
      </c>
      <c r="B341" t="s">
        <v>9</v>
      </c>
      <c r="C341" t="s">
        <v>12</v>
      </c>
      <c r="D341" s="1">
        <v>45301</v>
      </c>
      <c r="E341">
        <v>89</v>
      </c>
      <c r="F341">
        <v>1</v>
      </c>
      <c r="G341">
        <f>IF(Gym_Expansion_Data[[#This Row],[Churned]]=0,1,0)</f>
        <v>0</v>
      </c>
      <c r="H341" t="str">
        <f>IF(Gym_Expansion_Data[[#This Row],[Active Member]]=1,Gym_Expansion_Data[[#This Row],[Tier]],"Inactive")</f>
        <v>Inactive</v>
      </c>
    </row>
    <row r="342" spans="1:8" x14ac:dyDescent="0.2">
      <c r="A342">
        <v>1341</v>
      </c>
      <c r="B342" t="s">
        <v>11</v>
      </c>
      <c r="C342" t="s">
        <v>12</v>
      </c>
      <c r="D342" s="1">
        <v>45500</v>
      </c>
      <c r="E342">
        <v>89</v>
      </c>
      <c r="F342">
        <v>0</v>
      </c>
      <c r="G342">
        <f>IF(Gym_Expansion_Data[[#This Row],[Churned]]=0,1,0)</f>
        <v>1</v>
      </c>
      <c r="H342" t="str">
        <f>IF(Gym_Expansion_Data[[#This Row],[Active Member]]=1,Gym_Expansion_Data[[#This Row],[Tier]],"Inactive")</f>
        <v>Premium</v>
      </c>
    </row>
    <row r="343" spans="1:8" x14ac:dyDescent="0.2">
      <c r="A343">
        <v>1342</v>
      </c>
      <c r="B343" t="s">
        <v>9</v>
      </c>
      <c r="C343" t="s">
        <v>7</v>
      </c>
      <c r="D343" s="1">
        <v>45420</v>
      </c>
      <c r="E343">
        <v>49</v>
      </c>
      <c r="F343">
        <v>1</v>
      </c>
      <c r="G343">
        <f>IF(Gym_Expansion_Data[[#This Row],[Churned]]=0,1,0)</f>
        <v>0</v>
      </c>
      <c r="H343" t="str">
        <f>IF(Gym_Expansion_Data[[#This Row],[Active Member]]=1,Gym_Expansion_Data[[#This Row],[Tier]],"Inactive")</f>
        <v>Inactive</v>
      </c>
    </row>
    <row r="344" spans="1:8" x14ac:dyDescent="0.2">
      <c r="A344">
        <v>1343</v>
      </c>
      <c r="B344" t="s">
        <v>10</v>
      </c>
      <c r="C344" t="s">
        <v>12</v>
      </c>
      <c r="D344" s="1">
        <v>45932</v>
      </c>
      <c r="E344">
        <v>89</v>
      </c>
      <c r="F344">
        <v>0</v>
      </c>
      <c r="G344">
        <f>IF(Gym_Expansion_Data[[#This Row],[Churned]]=0,1,0)</f>
        <v>1</v>
      </c>
      <c r="H344" t="str">
        <f>IF(Gym_Expansion_Data[[#This Row],[Active Member]]=1,Gym_Expansion_Data[[#This Row],[Tier]],"Inactive")</f>
        <v>Premium</v>
      </c>
    </row>
    <row r="345" spans="1:8" x14ac:dyDescent="0.2">
      <c r="A345">
        <v>1344</v>
      </c>
      <c r="B345" t="s">
        <v>11</v>
      </c>
      <c r="C345" t="s">
        <v>8</v>
      </c>
      <c r="D345" s="1">
        <v>45702</v>
      </c>
      <c r="E345">
        <v>129</v>
      </c>
      <c r="F345">
        <v>0</v>
      </c>
      <c r="G345">
        <f>IF(Gym_Expansion_Data[[#This Row],[Churned]]=0,1,0)</f>
        <v>1</v>
      </c>
      <c r="H345" t="str">
        <f>IF(Gym_Expansion_Data[[#This Row],[Active Member]]=1,Gym_Expansion_Data[[#This Row],[Tier]],"Inactive")</f>
        <v>Elite</v>
      </c>
    </row>
    <row r="346" spans="1:8" x14ac:dyDescent="0.2">
      <c r="A346">
        <v>1345</v>
      </c>
      <c r="B346" t="s">
        <v>9</v>
      </c>
      <c r="C346" t="s">
        <v>7</v>
      </c>
      <c r="D346" s="1">
        <v>45381</v>
      </c>
      <c r="E346">
        <v>49</v>
      </c>
      <c r="F346">
        <v>0</v>
      </c>
      <c r="G346">
        <f>IF(Gym_Expansion_Data[[#This Row],[Churned]]=0,1,0)</f>
        <v>1</v>
      </c>
      <c r="H346" t="str">
        <f>IF(Gym_Expansion_Data[[#This Row],[Active Member]]=1,Gym_Expansion_Data[[#This Row],[Tier]],"Inactive")</f>
        <v>Basic</v>
      </c>
    </row>
    <row r="347" spans="1:8" x14ac:dyDescent="0.2">
      <c r="A347">
        <v>1346</v>
      </c>
      <c r="B347" t="s">
        <v>9</v>
      </c>
      <c r="C347" t="s">
        <v>8</v>
      </c>
      <c r="D347" s="1">
        <v>45884</v>
      </c>
      <c r="E347">
        <v>129</v>
      </c>
      <c r="F347">
        <v>0</v>
      </c>
      <c r="G347">
        <f>IF(Gym_Expansion_Data[[#This Row],[Churned]]=0,1,0)</f>
        <v>1</v>
      </c>
      <c r="H347" t="str">
        <f>IF(Gym_Expansion_Data[[#This Row],[Active Member]]=1,Gym_Expansion_Data[[#This Row],[Tier]],"Inactive")</f>
        <v>Elite</v>
      </c>
    </row>
    <row r="348" spans="1:8" x14ac:dyDescent="0.2">
      <c r="A348">
        <v>1347</v>
      </c>
      <c r="B348" t="s">
        <v>6</v>
      </c>
      <c r="C348" t="s">
        <v>7</v>
      </c>
      <c r="D348" s="1">
        <v>45758</v>
      </c>
      <c r="E348">
        <v>49</v>
      </c>
      <c r="F348">
        <v>0</v>
      </c>
      <c r="G348">
        <f>IF(Gym_Expansion_Data[[#This Row],[Churned]]=0,1,0)</f>
        <v>1</v>
      </c>
      <c r="H348" t="str">
        <f>IF(Gym_Expansion_Data[[#This Row],[Active Member]]=1,Gym_Expansion_Data[[#This Row],[Tier]],"Inactive")</f>
        <v>Basic</v>
      </c>
    </row>
    <row r="349" spans="1:8" x14ac:dyDescent="0.2">
      <c r="A349">
        <v>1348</v>
      </c>
      <c r="B349" t="s">
        <v>11</v>
      </c>
      <c r="C349" t="s">
        <v>7</v>
      </c>
      <c r="D349" s="1">
        <v>45475</v>
      </c>
      <c r="E349">
        <v>49</v>
      </c>
      <c r="F349">
        <v>0</v>
      </c>
      <c r="G349">
        <f>IF(Gym_Expansion_Data[[#This Row],[Churned]]=0,1,0)</f>
        <v>1</v>
      </c>
      <c r="H349" t="str">
        <f>IF(Gym_Expansion_Data[[#This Row],[Active Member]]=1,Gym_Expansion_Data[[#This Row],[Tier]],"Inactive")</f>
        <v>Basic</v>
      </c>
    </row>
    <row r="350" spans="1:8" x14ac:dyDescent="0.2">
      <c r="A350">
        <v>1349</v>
      </c>
      <c r="B350" t="s">
        <v>6</v>
      </c>
      <c r="C350" t="s">
        <v>7</v>
      </c>
      <c r="D350" s="1">
        <v>45338</v>
      </c>
      <c r="E350">
        <v>49</v>
      </c>
      <c r="F350">
        <v>0</v>
      </c>
      <c r="G350">
        <f>IF(Gym_Expansion_Data[[#This Row],[Churned]]=0,1,0)</f>
        <v>1</v>
      </c>
      <c r="H350" t="str">
        <f>IF(Gym_Expansion_Data[[#This Row],[Active Member]]=1,Gym_Expansion_Data[[#This Row],[Tier]],"Inactive")</f>
        <v>Basic</v>
      </c>
    </row>
    <row r="351" spans="1:8" x14ac:dyDescent="0.2">
      <c r="A351">
        <v>1350</v>
      </c>
      <c r="B351" t="s">
        <v>6</v>
      </c>
      <c r="C351" t="s">
        <v>8</v>
      </c>
      <c r="D351" s="1">
        <v>45316</v>
      </c>
      <c r="E351">
        <v>129</v>
      </c>
      <c r="F351">
        <v>0</v>
      </c>
      <c r="G351">
        <f>IF(Gym_Expansion_Data[[#This Row],[Churned]]=0,1,0)</f>
        <v>1</v>
      </c>
      <c r="H351" t="str">
        <f>IF(Gym_Expansion_Data[[#This Row],[Active Member]]=1,Gym_Expansion_Data[[#This Row],[Tier]],"Inactive")</f>
        <v>Elite</v>
      </c>
    </row>
    <row r="352" spans="1:8" x14ac:dyDescent="0.2">
      <c r="A352">
        <v>1351</v>
      </c>
      <c r="B352" t="s">
        <v>11</v>
      </c>
      <c r="C352" t="s">
        <v>12</v>
      </c>
      <c r="D352" s="1">
        <v>45417</v>
      </c>
      <c r="E352">
        <v>89</v>
      </c>
      <c r="F352">
        <v>0</v>
      </c>
      <c r="G352">
        <f>IF(Gym_Expansion_Data[[#This Row],[Churned]]=0,1,0)</f>
        <v>1</v>
      </c>
      <c r="H352" t="str">
        <f>IF(Gym_Expansion_Data[[#This Row],[Active Member]]=1,Gym_Expansion_Data[[#This Row],[Tier]],"Inactive")</f>
        <v>Premium</v>
      </c>
    </row>
    <row r="353" spans="1:8" x14ac:dyDescent="0.2">
      <c r="A353">
        <v>1352</v>
      </c>
      <c r="B353" t="s">
        <v>11</v>
      </c>
      <c r="C353" t="s">
        <v>12</v>
      </c>
      <c r="D353" s="1">
        <v>45445</v>
      </c>
      <c r="E353">
        <v>89</v>
      </c>
      <c r="F353">
        <v>0</v>
      </c>
      <c r="G353">
        <f>IF(Gym_Expansion_Data[[#This Row],[Churned]]=0,1,0)</f>
        <v>1</v>
      </c>
      <c r="H353" t="str">
        <f>IF(Gym_Expansion_Data[[#This Row],[Active Member]]=1,Gym_Expansion_Data[[#This Row],[Tier]],"Inactive")</f>
        <v>Premium</v>
      </c>
    </row>
    <row r="354" spans="1:8" x14ac:dyDescent="0.2">
      <c r="A354">
        <v>1353</v>
      </c>
      <c r="B354" t="s">
        <v>9</v>
      </c>
      <c r="C354" t="s">
        <v>7</v>
      </c>
      <c r="D354" s="1">
        <v>45979</v>
      </c>
      <c r="E354">
        <v>49</v>
      </c>
      <c r="F354">
        <v>1</v>
      </c>
      <c r="G354">
        <f>IF(Gym_Expansion_Data[[#This Row],[Churned]]=0,1,0)</f>
        <v>0</v>
      </c>
      <c r="H354" t="str">
        <f>IF(Gym_Expansion_Data[[#This Row],[Active Member]]=1,Gym_Expansion_Data[[#This Row],[Tier]],"Inactive")</f>
        <v>Inactive</v>
      </c>
    </row>
    <row r="355" spans="1:8" x14ac:dyDescent="0.2">
      <c r="A355">
        <v>1354</v>
      </c>
      <c r="B355" t="s">
        <v>9</v>
      </c>
      <c r="C355" t="s">
        <v>12</v>
      </c>
      <c r="D355" s="1">
        <v>45626</v>
      </c>
      <c r="E355">
        <v>89</v>
      </c>
      <c r="F355">
        <v>0</v>
      </c>
      <c r="G355">
        <f>IF(Gym_Expansion_Data[[#This Row],[Churned]]=0,1,0)</f>
        <v>1</v>
      </c>
      <c r="H355" t="str">
        <f>IF(Gym_Expansion_Data[[#This Row],[Active Member]]=1,Gym_Expansion_Data[[#This Row],[Tier]],"Inactive")</f>
        <v>Premium</v>
      </c>
    </row>
    <row r="356" spans="1:8" x14ac:dyDescent="0.2">
      <c r="A356">
        <v>1355</v>
      </c>
      <c r="B356" t="s">
        <v>10</v>
      </c>
      <c r="C356" t="s">
        <v>7</v>
      </c>
      <c r="D356" s="1">
        <v>45440</v>
      </c>
      <c r="E356">
        <v>49</v>
      </c>
      <c r="F356">
        <v>1</v>
      </c>
      <c r="G356">
        <f>IF(Gym_Expansion_Data[[#This Row],[Churned]]=0,1,0)</f>
        <v>0</v>
      </c>
      <c r="H356" t="str">
        <f>IF(Gym_Expansion_Data[[#This Row],[Active Member]]=1,Gym_Expansion_Data[[#This Row],[Tier]],"Inactive")</f>
        <v>Inactive</v>
      </c>
    </row>
    <row r="357" spans="1:8" x14ac:dyDescent="0.2">
      <c r="A357">
        <v>1356</v>
      </c>
      <c r="B357" t="s">
        <v>11</v>
      </c>
      <c r="C357" t="s">
        <v>7</v>
      </c>
      <c r="D357" s="1">
        <v>45677</v>
      </c>
      <c r="E357">
        <v>49</v>
      </c>
      <c r="F357">
        <v>0</v>
      </c>
      <c r="G357">
        <f>IF(Gym_Expansion_Data[[#This Row],[Churned]]=0,1,0)</f>
        <v>1</v>
      </c>
      <c r="H357" t="str">
        <f>IF(Gym_Expansion_Data[[#This Row],[Active Member]]=1,Gym_Expansion_Data[[#This Row],[Tier]],"Inactive")</f>
        <v>Basic</v>
      </c>
    </row>
    <row r="358" spans="1:8" x14ac:dyDescent="0.2">
      <c r="A358">
        <v>1357</v>
      </c>
      <c r="B358" t="s">
        <v>10</v>
      </c>
      <c r="C358" t="s">
        <v>7</v>
      </c>
      <c r="D358" s="1">
        <v>45473</v>
      </c>
      <c r="E358">
        <v>49</v>
      </c>
      <c r="F358">
        <v>0</v>
      </c>
      <c r="G358">
        <f>IF(Gym_Expansion_Data[[#This Row],[Churned]]=0,1,0)</f>
        <v>1</v>
      </c>
      <c r="H358" t="str">
        <f>IF(Gym_Expansion_Data[[#This Row],[Active Member]]=1,Gym_Expansion_Data[[#This Row],[Tier]],"Inactive")</f>
        <v>Basic</v>
      </c>
    </row>
    <row r="359" spans="1:8" x14ac:dyDescent="0.2">
      <c r="A359">
        <v>1358</v>
      </c>
      <c r="B359" t="s">
        <v>6</v>
      </c>
      <c r="C359" t="s">
        <v>8</v>
      </c>
      <c r="D359" s="1">
        <v>45751</v>
      </c>
      <c r="E359">
        <v>129</v>
      </c>
      <c r="F359">
        <v>0</v>
      </c>
      <c r="G359">
        <f>IF(Gym_Expansion_Data[[#This Row],[Churned]]=0,1,0)</f>
        <v>1</v>
      </c>
      <c r="H359" t="str">
        <f>IF(Gym_Expansion_Data[[#This Row],[Active Member]]=1,Gym_Expansion_Data[[#This Row],[Tier]],"Inactive")</f>
        <v>Elite</v>
      </c>
    </row>
    <row r="360" spans="1:8" x14ac:dyDescent="0.2">
      <c r="A360">
        <v>1359</v>
      </c>
      <c r="B360" t="s">
        <v>11</v>
      </c>
      <c r="C360" t="s">
        <v>7</v>
      </c>
      <c r="D360" s="1">
        <v>45933</v>
      </c>
      <c r="E360">
        <v>49</v>
      </c>
      <c r="F360">
        <v>0</v>
      </c>
      <c r="G360">
        <f>IF(Gym_Expansion_Data[[#This Row],[Churned]]=0,1,0)</f>
        <v>1</v>
      </c>
      <c r="H360" t="str">
        <f>IF(Gym_Expansion_Data[[#This Row],[Active Member]]=1,Gym_Expansion_Data[[#This Row],[Tier]],"Inactive")</f>
        <v>Basic</v>
      </c>
    </row>
    <row r="361" spans="1:8" x14ac:dyDescent="0.2">
      <c r="A361">
        <v>1360</v>
      </c>
      <c r="B361" t="s">
        <v>11</v>
      </c>
      <c r="C361" t="s">
        <v>12</v>
      </c>
      <c r="D361" s="1">
        <v>45586</v>
      </c>
      <c r="E361">
        <v>89</v>
      </c>
      <c r="F361">
        <v>0</v>
      </c>
      <c r="G361">
        <f>IF(Gym_Expansion_Data[[#This Row],[Churned]]=0,1,0)</f>
        <v>1</v>
      </c>
      <c r="H361" t="str">
        <f>IF(Gym_Expansion_Data[[#This Row],[Active Member]]=1,Gym_Expansion_Data[[#This Row],[Tier]],"Inactive")</f>
        <v>Premium</v>
      </c>
    </row>
    <row r="362" spans="1:8" x14ac:dyDescent="0.2">
      <c r="A362">
        <v>1361</v>
      </c>
      <c r="B362" t="s">
        <v>11</v>
      </c>
      <c r="C362" t="s">
        <v>7</v>
      </c>
      <c r="D362" s="1">
        <v>45814</v>
      </c>
      <c r="E362">
        <v>49</v>
      </c>
      <c r="F362">
        <v>0</v>
      </c>
      <c r="G362">
        <f>IF(Gym_Expansion_Data[[#This Row],[Churned]]=0,1,0)</f>
        <v>1</v>
      </c>
      <c r="H362" t="str">
        <f>IF(Gym_Expansion_Data[[#This Row],[Active Member]]=1,Gym_Expansion_Data[[#This Row],[Tier]],"Inactive")</f>
        <v>Basic</v>
      </c>
    </row>
    <row r="363" spans="1:8" x14ac:dyDescent="0.2">
      <c r="A363">
        <v>1362</v>
      </c>
      <c r="B363" t="s">
        <v>10</v>
      </c>
      <c r="C363" t="s">
        <v>12</v>
      </c>
      <c r="D363" s="1">
        <v>45922</v>
      </c>
      <c r="E363">
        <v>89</v>
      </c>
      <c r="F363">
        <v>0</v>
      </c>
      <c r="G363">
        <f>IF(Gym_Expansion_Data[[#This Row],[Churned]]=0,1,0)</f>
        <v>1</v>
      </c>
      <c r="H363" t="str">
        <f>IF(Gym_Expansion_Data[[#This Row],[Active Member]]=1,Gym_Expansion_Data[[#This Row],[Tier]],"Inactive")</f>
        <v>Premium</v>
      </c>
    </row>
    <row r="364" spans="1:8" x14ac:dyDescent="0.2">
      <c r="A364">
        <v>1363</v>
      </c>
      <c r="B364" t="s">
        <v>9</v>
      </c>
      <c r="C364" t="s">
        <v>7</v>
      </c>
      <c r="D364" s="1">
        <v>45799</v>
      </c>
      <c r="E364">
        <v>49</v>
      </c>
      <c r="F364">
        <v>0</v>
      </c>
      <c r="G364">
        <f>IF(Gym_Expansion_Data[[#This Row],[Churned]]=0,1,0)</f>
        <v>1</v>
      </c>
      <c r="H364" t="str">
        <f>IF(Gym_Expansion_Data[[#This Row],[Active Member]]=1,Gym_Expansion_Data[[#This Row],[Tier]],"Inactive")</f>
        <v>Basic</v>
      </c>
    </row>
    <row r="365" spans="1:8" x14ac:dyDescent="0.2">
      <c r="A365">
        <v>1364</v>
      </c>
      <c r="B365" t="s">
        <v>6</v>
      </c>
      <c r="C365" t="s">
        <v>8</v>
      </c>
      <c r="D365" s="1">
        <v>45767</v>
      </c>
      <c r="E365">
        <v>129</v>
      </c>
      <c r="F365">
        <v>0</v>
      </c>
      <c r="G365">
        <f>IF(Gym_Expansion_Data[[#This Row],[Churned]]=0,1,0)</f>
        <v>1</v>
      </c>
      <c r="H365" t="str">
        <f>IF(Gym_Expansion_Data[[#This Row],[Active Member]]=1,Gym_Expansion_Data[[#This Row],[Tier]],"Inactive")</f>
        <v>Elite</v>
      </c>
    </row>
    <row r="366" spans="1:8" x14ac:dyDescent="0.2">
      <c r="A366">
        <v>1365</v>
      </c>
      <c r="B366" t="s">
        <v>10</v>
      </c>
      <c r="C366" t="s">
        <v>12</v>
      </c>
      <c r="D366" s="1">
        <v>45744</v>
      </c>
      <c r="E366">
        <v>89</v>
      </c>
      <c r="F366">
        <v>0</v>
      </c>
      <c r="G366">
        <f>IF(Gym_Expansion_Data[[#This Row],[Churned]]=0,1,0)</f>
        <v>1</v>
      </c>
      <c r="H366" t="str">
        <f>IF(Gym_Expansion_Data[[#This Row],[Active Member]]=1,Gym_Expansion_Data[[#This Row],[Tier]],"Inactive")</f>
        <v>Premium</v>
      </c>
    </row>
    <row r="367" spans="1:8" x14ac:dyDescent="0.2">
      <c r="A367">
        <v>1366</v>
      </c>
      <c r="B367" t="s">
        <v>11</v>
      </c>
      <c r="C367" t="s">
        <v>12</v>
      </c>
      <c r="D367" s="1">
        <v>45598</v>
      </c>
      <c r="E367">
        <v>89</v>
      </c>
      <c r="F367">
        <v>0</v>
      </c>
      <c r="G367">
        <f>IF(Gym_Expansion_Data[[#This Row],[Churned]]=0,1,0)</f>
        <v>1</v>
      </c>
      <c r="H367" t="str">
        <f>IF(Gym_Expansion_Data[[#This Row],[Active Member]]=1,Gym_Expansion_Data[[#This Row],[Tier]],"Inactive")</f>
        <v>Premium</v>
      </c>
    </row>
    <row r="368" spans="1:8" x14ac:dyDescent="0.2">
      <c r="A368">
        <v>1367</v>
      </c>
      <c r="B368" t="s">
        <v>10</v>
      </c>
      <c r="C368" t="s">
        <v>12</v>
      </c>
      <c r="D368" s="1">
        <v>45824</v>
      </c>
      <c r="E368">
        <v>89</v>
      </c>
      <c r="F368">
        <v>0</v>
      </c>
      <c r="G368">
        <f>IF(Gym_Expansion_Data[[#This Row],[Churned]]=0,1,0)</f>
        <v>1</v>
      </c>
      <c r="H368" t="str">
        <f>IF(Gym_Expansion_Data[[#This Row],[Active Member]]=1,Gym_Expansion_Data[[#This Row],[Tier]],"Inactive")</f>
        <v>Premium</v>
      </c>
    </row>
    <row r="369" spans="1:8" x14ac:dyDescent="0.2">
      <c r="A369">
        <v>1368</v>
      </c>
      <c r="B369" t="s">
        <v>6</v>
      </c>
      <c r="C369" t="s">
        <v>7</v>
      </c>
      <c r="D369" s="1">
        <v>45401</v>
      </c>
      <c r="E369">
        <v>49</v>
      </c>
      <c r="F369">
        <v>0</v>
      </c>
      <c r="G369">
        <f>IF(Gym_Expansion_Data[[#This Row],[Churned]]=0,1,0)</f>
        <v>1</v>
      </c>
      <c r="H369" t="str">
        <f>IF(Gym_Expansion_Data[[#This Row],[Active Member]]=1,Gym_Expansion_Data[[#This Row],[Tier]],"Inactive")</f>
        <v>Basic</v>
      </c>
    </row>
    <row r="370" spans="1:8" x14ac:dyDescent="0.2">
      <c r="A370">
        <v>1369</v>
      </c>
      <c r="B370" t="s">
        <v>11</v>
      </c>
      <c r="C370" t="s">
        <v>8</v>
      </c>
      <c r="D370" s="1">
        <v>45487</v>
      </c>
      <c r="E370">
        <v>129</v>
      </c>
      <c r="F370">
        <v>0</v>
      </c>
      <c r="G370">
        <f>IF(Gym_Expansion_Data[[#This Row],[Churned]]=0,1,0)</f>
        <v>1</v>
      </c>
      <c r="H370" t="str">
        <f>IF(Gym_Expansion_Data[[#This Row],[Active Member]]=1,Gym_Expansion_Data[[#This Row],[Tier]],"Inactive")</f>
        <v>Elite</v>
      </c>
    </row>
    <row r="371" spans="1:8" x14ac:dyDescent="0.2">
      <c r="A371">
        <v>1370</v>
      </c>
      <c r="B371" t="s">
        <v>9</v>
      </c>
      <c r="C371" t="s">
        <v>8</v>
      </c>
      <c r="D371" s="1">
        <v>45777</v>
      </c>
      <c r="E371">
        <v>129</v>
      </c>
      <c r="F371">
        <v>0</v>
      </c>
      <c r="G371">
        <f>IF(Gym_Expansion_Data[[#This Row],[Churned]]=0,1,0)</f>
        <v>1</v>
      </c>
      <c r="H371" t="str">
        <f>IF(Gym_Expansion_Data[[#This Row],[Active Member]]=1,Gym_Expansion_Data[[#This Row],[Tier]],"Inactive")</f>
        <v>Elite</v>
      </c>
    </row>
    <row r="372" spans="1:8" x14ac:dyDescent="0.2">
      <c r="A372">
        <v>1371</v>
      </c>
      <c r="B372" t="s">
        <v>9</v>
      </c>
      <c r="C372" t="s">
        <v>12</v>
      </c>
      <c r="D372" s="1">
        <v>45338</v>
      </c>
      <c r="E372">
        <v>89</v>
      </c>
      <c r="F372">
        <v>0</v>
      </c>
      <c r="G372">
        <f>IF(Gym_Expansion_Data[[#This Row],[Churned]]=0,1,0)</f>
        <v>1</v>
      </c>
      <c r="H372" t="str">
        <f>IF(Gym_Expansion_Data[[#This Row],[Active Member]]=1,Gym_Expansion_Data[[#This Row],[Tier]],"Inactive")</f>
        <v>Premium</v>
      </c>
    </row>
    <row r="373" spans="1:8" x14ac:dyDescent="0.2">
      <c r="A373">
        <v>1372</v>
      </c>
      <c r="B373" t="s">
        <v>9</v>
      </c>
      <c r="C373" t="s">
        <v>12</v>
      </c>
      <c r="D373" s="1">
        <v>45370</v>
      </c>
      <c r="E373">
        <v>89</v>
      </c>
      <c r="F373">
        <v>0</v>
      </c>
      <c r="G373">
        <f>IF(Gym_Expansion_Data[[#This Row],[Churned]]=0,1,0)</f>
        <v>1</v>
      </c>
      <c r="H373" t="str">
        <f>IF(Gym_Expansion_Data[[#This Row],[Active Member]]=1,Gym_Expansion_Data[[#This Row],[Tier]],"Inactive")</f>
        <v>Premium</v>
      </c>
    </row>
    <row r="374" spans="1:8" x14ac:dyDescent="0.2">
      <c r="A374">
        <v>1373</v>
      </c>
      <c r="B374" t="s">
        <v>10</v>
      </c>
      <c r="C374" t="s">
        <v>12</v>
      </c>
      <c r="D374" s="1">
        <v>45813</v>
      </c>
      <c r="E374">
        <v>89</v>
      </c>
      <c r="F374">
        <v>0</v>
      </c>
      <c r="G374">
        <f>IF(Gym_Expansion_Data[[#This Row],[Churned]]=0,1,0)</f>
        <v>1</v>
      </c>
      <c r="H374" t="str">
        <f>IF(Gym_Expansion_Data[[#This Row],[Active Member]]=1,Gym_Expansion_Data[[#This Row],[Tier]],"Inactive")</f>
        <v>Premium</v>
      </c>
    </row>
    <row r="375" spans="1:8" x14ac:dyDescent="0.2">
      <c r="A375">
        <v>1374</v>
      </c>
      <c r="B375" t="s">
        <v>9</v>
      </c>
      <c r="C375" t="s">
        <v>7</v>
      </c>
      <c r="D375" s="1">
        <v>45626</v>
      </c>
      <c r="E375">
        <v>49</v>
      </c>
      <c r="F375">
        <v>0</v>
      </c>
      <c r="G375">
        <f>IF(Gym_Expansion_Data[[#This Row],[Churned]]=0,1,0)</f>
        <v>1</v>
      </c>
      <c r="H375" t="str">
        <f>IF(Gym_Expansion_Data[[#This Row],[Active Member]]=1,Gym_Expansion_Data[[#This Row],[Tier]],"Inactive")</f>
        <v>Basic</v>
      </c>
    </row>
    <row r="376" spans="1:8" x14ac:dyDescent="0.2">
      <c r="A376">
        <v>1375</v>
      </c>
      <c r="B376" t="s">
        <v>10</v>
      </c>
      <c r="C376" t="s">
        <v>8</v>
      </c>
      <c r="D376" s="1">
        <v>45971</v>
      </c>
      <c r="E376">
        <v>129</v>
      </c>
      <c r="F376">
        <v>0</v>
      </c>
      <c r="G376">
        <f>IF(Gym_Expansion_Data[[#This Row],[Churned]]=0,1,0)</f>
        <v>1</v>
      </c>
      <c r="H376" t="str">
        <f>IF(Gym_Expansion_Data[[#This Row],[Active Member]]=1,Gym_Expansion_Data[[#This Row],[Tier]],"Inactive")</f>
        <v>Elite</v>
      </c>
    </row>
    <row r="377" spans="1:8" x14ac:dyDescent="0.2">
      <c r="A377">
        <v>1376</v>
      </c>
      <c r="B377" t="s">
        <v>6</v>
      </c>
      <c r="C377" t="s">
        <v>7</v>
      </c>
      <c r="D377" s="1">
        <v>45813</v>
      </c>
      <c r="E377">
        <v>49</v>
      </c>
      <c r="F377">
        <v>0</v>
      </c>
      <c r="G377">
        <f>IF(Gym_Expansion_Data[[#This Row],[Churned]]=0,1,0)</f>
        <v>1</v>
      </c>
      <c r="H377" t="str">
        <f>IF(Gym_Expansion_Data[[#This Row],[Active Member]]=1,Gym_Expansion_Data[[#This Row],[Tier]],"Inactive")</f>
        <v>Basic</v>
      </c>
    </row>
    <row r="378" spans="1:8" x14ac:dyDescent="0.2">
      <c r="A378">
        <v>1377</v>
      </c>
      <c r="B378" t="s">
        <v>9</v>
      </c>
      <c r="C378" t="s">
        <v>8</v>
      </c>
      <c r="D378" s="1">
        <v>45515</v>
      </c>
      <c r="E378">
        <v>129</v>
      </c>
      <c r="F378">
        <v>1</v>
      </c>
      <c r="G378">
        <f>IF(Gym_Expansion_Data[[#This Row],[Churned]]=0,1,0)</f>
        <v>0</v>
      </c>
      <c r="H378" t="str">
        <f>IF(Gym_Expansion_Data[[#This Row],[Active Member]]=1,Gym_Expansion_Data[[#This Row],[Tier]],"Inactive")</f>
        <v>Inactive</v>
      </c>
    </row>
    <row r="379" spans="1:8" x14ac:dyDescent="0.2">
      <c r="A379">
        <v>1378</v>
      </c>
      <c r="B379" t="s">
        <v>9</v>
      </c>
      <c r="C379" t="s">
        <v>12</v>
      </c>
      <c r="D379" s="1">
        <v>45852</v>
      </c>
      <c r="E379">
        <v>89</v>
      </c>
      <c r="F379">
        <v>0</v>
      </c>
      <c r="G379">
        <f>IF(Gym_Expansion_Data[[#This Row],[Churned]]=0,1,0)</f>
        <v>1</v>
      </c>
      <c r="H379" t="str">
        <f>IF(Gym_Expansion_Data[[#This Row],[Active Member]]=1,Gym_Expansion_Data[[#This Row],[Tier]],"Inactive")</f>
        <v>Premium</v>
      </c>
    </row>
    <row r="380" spans="1:8" x14ac:dyDescent="0.2">
      <c r="A380">
        <v>1379</v>
      </c>
      <c r="B380" t="s">
        <v>9</v>
      </c>
      <c r="C380" t="s">
        <v>7</v>
      </c>
      <c r="D380" s="1">
        <v>45293</v>
      </c>
      <c r="E380">
        <v>49</v>
      </c>
      <c r="F380">
        <v>0</v>
      </c>
      <c r="G380">
        <f>IF(Gym_Expansion_Data[[#This Row],[Churned]]=0,1,0)</f>
        <v>1</v>
      </c>
      <c r="H380" t="str">
        <f>IF(Gym_Expansion_Data[[#This Row],[Active Member]]=1,Gym_Expansion_Data[[#This Row],[Tier]],"Inactive")</f>
        <v>Basic</v>
      </c>
    </row>
    <row r="381" spans="1:8" x14ac:dyDescent="0.2">
      <c r="A381">
        <v>1380</v>
      </c>
      <c r="B381" t="s">
        <v>6</v>
      </c>
      <c r="C381" t="s">
        <v>7</v>
      </c>
      <c r="D381" s="1">
        <v>45687</v>
      </c>
      <c r="E381">
        <v>49</v>
      </c>
      <c r="F381">
        <v>0</v>
      </c>
      <c r="G381">
        <f>IF(Gym_Expansion_Data[[#This Row],[Churned]]=0,1,0)</f>
        <v>1</v>
      </c>
      <c r="H381" t="str">
        <f>IF(Gym_Expansion_Data[[#This Row],[Active Member]]=1,Gym_Expansion_Data[[#This Row],[Tier]],"Inactive")</f>
        <v>Basic</v>
      </c>
    </row>
    <row r="382" spans="1:8" x14ac:dyDescent="0.2">
      <c r="A382">
        <v>1381</v>
      </c>
      <c r="B382" t="s">
        <v>11</v>
      </c>
      <c r="C382" t="s">
        <v>8</v>
      </c>
      <c r="D382" s="1">
        <v>45694</v>
      </c>
      <c r="E382">
        <v>129</v>
      </c>
      <c r="F382">
        <v>0</v>
      </c>
      <c r="G382">
        <f>IF(Gym_Expansion_Data[[#This Row],[Churned]]=0,1,0)</f>
        <v>1</v>
      </c>
      <c r="H382" t="str">
        <f>IF(Gym_Expansion_Data[[#This Row],[Active Member]]=1,Gym_Expansion_Data[[#This Row],[Tier]],"Inactive")</f>
        <v>Elite</v>
      </c>
    </row>
    <row r="383" spans="1:8" x14ac:dyDescent="0.2">
      <c r="A383">
        <v>1382</v>
      </c>
      <c r="B383" t="s">
        <v>11</v>
      </c>
      <c r="C383" t="s">
        <v>7</v>
      </c>
      <c r="D383" s="1">
        <v>45591</v>
      </c>
      <c r="E383">
        <v>49</v>
      </c>
      <c r="F383">
        <v>0</v>
      </c>
      <c r="G383">
        <f>IF(Gym_Expansion_Data[[#This Row],[Churned]]=0,1,0)</f>
        <v>1</v>
      </c>
      <c r="H383" t="str">
        <f>IF(Gym_Expansion_Data[[#This Row],[Active Member]]=1,Gym_Expansion_Data[[#This Row],[Tier]],"Inactive")</f>
        <v>Basic</v>
      </c>
    </row>
    <row r="384" spans="1:8" x14ac:dyDescent="0.2">
      <c r="A384">
        <v>1383</v>
      </c>
      <c r="B384" t="s">
        <v>11</v>
      </c>
      <c r="C384" t="s">
        <v>12</v>
      </c>
      <c r="D384" s="1">
        <v>45563</v>
      </c>
      <c r="E384">
        <v>89</v>
      </c>
      <c r="F384">
        <v>0</v>
      </c>
      <c r="G384">
        <f>IF(Gym_Expansion_Data[[#This Row],[Churned]]=0,1,0)</f>
        <v>1</v>
      </c>
      <c r="H384" t="str">
        <f>IF(Gym_Expansion_Data[[#This Row],[Active Member]]=1,Gym_Expansion_Data[[#This Row],[Tier]],"Inactive")</f>
        <v>Premium</v>
      </c>
    </row>
    <row r="385" spans="1:8" x14ac:dyDescent="0.2">
      <c r="A385">
        <v>1384</v>
      </c>
      <c r="B385" t="s">
        <v>9</v>
      </c>
      <c r="C385" t="s">
        <v>7</v>
      </c>
      <c r="D385" s="1">
        <v>45317</v>
      </c>
      <c r="E385">
        <v>49</v>
      </c>
      <c r="F385">
        <v>0</v>
      </c>
      <c r="G385">
        <f>IF(Gym_Expansion_Data[[#This Row],[Churned]]=0,1,0)</f>
        <v>1</v>
      </c>
      <c r="H385" t="str">
        <f>IF(Gym_Expansion_Data[[#This Row],[Active Member]]=1,Gym_Expansion_Data[[#This Row],[Tier]],"Inactive")</f>
        <v>Basic</v>
      </c>
    </row>
    <row r="386" spans="1:8" x14ac:dyDescent="0.2">
      <c r="A386">
        <v>1385</v>
      </c>
      <c r="B386" t="s">
        <v>11</v>
      </c>
      <c r="C386" t="s">
        <v>8</v>
      </c>
      <c r="D386" s="1">
        <v>45921</v>
      </c>
      <c r="E386">
        <v>129</v>
      </c>
      <c r="F386">
        <v>0</v>
      </c>
      <c r="G386">
        <f>IF(Gym_Expansion_Data[[#This Row],[Churned]]=0,1,0)</f>
        <v>1</v>
      </c>
      <c r="H386" t="str">
        <f>IF(Gym_Expansion_Data[[#This Row],[Active Member]]=1,Gym_Expansion_Data[[#This Row],[Tier]],"Inactive")</f>
        <v>Elite</v>
      </c>
    </row>
    <row r="387" spans="1:8" x14ac:dyDescent="0.2">
      <c r="A387">
        <v>1386</v>
      </c>
      <c r="B387" t="s">
        <v>6</v>
      </c>
      <c r="C387" t="s">
        <v>7</v>
      </c>
      <c r="D387" s="1">
        <v>45481</v>
      </c>
      <c r="E387">
        <v>49</v>
      </c>
      <c r="F387">
        <v>0</v>
      </c>
      <c r="G387">
        <f>IF(Gym_Expansion_Data[[#This Row],[Churned]]=0,1,0)</f>
        <v>1</v>
      </c>
      <c r="H387" t="str">
        <f>IF(Gym_Expansion_Data[[#This Row],[Active Member]]=1,Gym_Expansion_Data[[#This Row],[Tier]],"Inactive")</f>
        <v>Basic</v>
      </c>
    </row>
    <row r="388" spans="1:8" x14ac:dyDescent="0.2">
      <c r="A388">
        <v>1387</v>
      </c>
      <c r="B388" t="s">
        <v>9</v>
      </c>
      <c r="C388" t="s">
        <v>7</v>
      </c>
      <c r="D388" s="1">
        <v>45643</v>
      </c>
      <c r="E388">
        <v>49</v>
      </c>
      <c r="F388">
        <v>0</v>
      </c>
      <c r="G388">
        <f>IF(Gym_Expansion_Data[[#This Row],[Churned]]=0,1,0)</f>
        <v>1</v>
      </c>
      <c r="H388" t="str">
        <f>IF(Gym_Expansion_Data[[#This Row],[Active Member]]=1,Gym_Expansion_Data[[#This Row],[Tier]],"Inactive")</f>
        <v>Basic</v>
      </c>
    </row>
    <row r="389" spans="1:8" x14ac:dyDescent="0.2">
      <c r="A389">
        <v>1388</v>
      </c>
      <c r="B389" t="s">
        <v>6</v>
      </c>
      <c r="C389" t="s">
        <v>7</v>
      </c>
      <c r="D389" s="1">
        <v>45508</v>
      </c>
      <c r="E389">
        <v>49</v>
      </c>
      <c r="F389">
        <v>0</v>
      </c>
      <c r="G389">
        <f>IF(Gym_Expansion_Data[[#This Row],[Churned]]=0,1,0)</f>
        <v>1</v>
      </c>
      <c r="H389" t="str">
        <f>IF(Gym_Expansion_Data[[#This Row],[Active Member]]=1,Gym_Expansion_Data[[#This Row],[Tier]],"Inactive")</f>
        <v>Basic</v>
      </c>
    </row>
    <row r="390" spans="1:8" x14ac:dyDescent="0.2">
      <c r="A390">
        <v>1389</v>
      </c>
      <c r="B390" t="s">
        <v>9</v>
      </c>
      <c r="C390" t="s">
        <v>8</v>
      </c>
      <c r="D390" s="1">
        <v>45299</v>
      </c>
      <c r="E390">
        <v>129</v>
      </c>
      <c r="F390">
        <v>0</v>
      </c>
      <c r="G390">
        <f>IF(Gym_Expansion_Data[[#This Row],[Churned]]=0,1,0)</f>
        <v>1</v>
      </c>
      <c r="H390" t="str">
        <f>IF(Gym_Expansion_Data[[#This Row],[Active Member]]=1,Gym_Expansion_Data[[#This Row],[Tier]],"Inactive")</f>
        <v>Elite</v>
      </c>
    </row>
    <row r="391" spans="1:8" x14ac:dyDescent="0.2">
      <c r="A391">
        <v>1390</v>
      </c>
      <c r="B391" t="s">
        <v>9</v>
      </c>
      <c r="C391" t="s">
        <v>7</v>
      </c>
      <c r="D391" s="1">
        <v>45908</v>
      </c>
      <c r="E391">
        <v>49</v>
      </c>
      <c r="F391">
        <v>0</v>
      </c>
      <c r="G391">
        <f>IF(Gym_Expansion_Data[[#This Row],[Churned]]=0,1,0)</f>
        <v>1</v>
      </c>
      <c r="H391" t="str">
        <f>IF(Gym_Expansion_Data[[#This Row],[Active Member]]=1,Gym_Expansion_Data[[#This Row],[Tier]],"Inactive")</f>
        <v>Basic</v>
      </c>
    </row>
    <row r="392" spans="1:8" x14ac:dyDescent="0.2">
      <c r="A392">
        <v>1391</v>
      </c>
      <c r="B392" t="s">
        <v>6</v>
      </c>
      <c r="C392" t="s">
        <v>7</v>
      </c>
      <c r="D392" s="1">
        <v>45306</v>
      </c>
      <c r="E392">
        <v>49</v>
      </c>
      <c r="F392">
        <v>0</v>
      </c>
      <c r="G392">
        <f>IF(Gym_Expansion_Data[[#This Row],[Churned]]=0,1,0)</f>
        <v>1</v>
      </c>
      <c r="H392" t="str">
        <f>IF(Gym_Expansion_Data[[#This Row],[Active Member]]=1,Gym_Expansion_Data[[#This Row],[Tier]],"Inactive")</f>
        <v>Basic</v>
      </c>
    </row>
    <row r="393" spans="1:8" x14ac:dyDescent="0.2">
      <c r="A393">
        <v>1392</v>
      </c>
      <c r="B393" t="s">
        <v>11</v>
      </c>
      <c r="C393" t="s">
        <v>7</v>
      </c>
      <c r="D393" s="1">
        <v>45437</v>
      </c>
      <c r="E393">
        <v>49</v>
      </c>
      <c r="F393">
        <v>0</v>
      </c>
      <c r="G393">
        <f>IF(Gym_Expansion_Data[[#This Row],[Churned]]=0,1,0)</f>
        <v>1</v>
      </c>
      <c r="H393" t="str">
        <f>IF(Gym_Expansion_Data[[#This Row],[Active Member]]=1,Gym_Expansion_Data[[#This Row],[Tier]],"Inactive")</f>
        <v>Basic</v>
      </c>
    </row>
    <row r="394" spans="1:8" x14ac:dyDescent="0.2">
      <c r="A394">
        <v>1393</v>
      </c>
      <c r="B394" t="s">
        <v>10</v>
      </c>
      <c r="C394" t="s">
        <v>12</v>
      </c>
      <c r="D394" s="1">
        <v>45632</v>
      </c>
      <c r="E394">
        <v>89</v>
      </c>
      <c r="F394">
        <v>0</v>
      </c>
      <c r="G394">
        <f>IF(Gym_Expansion_Data[[#This Row],[Churned]]=0,1,0)</f>
        <v>1</v>
      </c>
      <c r="H394" t="str">
        <f>IF(Gym_Expansion_Data[[#This Row],[Active Member]]=1,Gym_Expansion_Data[[#This Row],[Tier]],"Inactive")</f>
        <v>Premium</v>
      </c>
    </row>
    <row r="395" spans="1:8" x14ac:dyDescent="0.2">
      <c r="A395">
        <v>1394</v>
      </c>
      <c r="B395" t="s">
        <v>9</v>
      </c>
      <c r="C395" t="s">
        <v>7</v>
      </c>
      <c r="D395" s="1">
        <v>45417</v>
      </c>
      <c r="E395">
        <v>49</v>
      </c>
      <c r="F395">
        <v>1</v>
      </c>
      <c r="G395">
        <f>IF(Gym_Expansion_Data[[#This Row],[Churned]]=0,1,0)</f>
        <v>0</v>
      </c>
      <c r="H395" t="str">
        <f>IF(Gym_Expansion_Data[[#This Row],[Active Member]]=1,Gym_Expansion_Data[[#This Row],[Tier]],"Inactive")</f>
        <v>Inactive</v>
      </c>
    </row>
    <row r="396" spans="1:8" x14ac:dyDescent="0.2">
      <c r="A396">
        <v>1395</v>
      </c>
      <c r="B396" t="s">
        <v>10</v>
      </c>
      <c r="C396" t="s">
        <v>12</v>
      </c>
      <c r="D396" s="1">
        <v>45318</v>
      </c>
      <c r="E396">
        <v>89</v>
      </c>
      <c r="F396">
        <v>0</v>
      </c>
      <c r="G396">
        <f>IF(Gym_Expansion_Data[[#This Row],[Churned]]=0,1,0)</f>
        <v>1</v>
      </c>
      <c r="H396" t="str">
        <f>IF(Gym_Expansion_Data[[#This Row],[Active Member]]=1,Gym_Expansion_Data[[#This Row],[Tier]],"Inactive")</f>
        <v>Premium</v>
      </c>
    </row>
    <row r="397" spans="1:8" x14ac:dyDescent="0.2">
      <c r="A397">
        <v>1396</v>
      </c>
      <c r="B397" t="s">
        <v>11</v>
      </c>
      <c r="C397" t="s">
        <v>12</v>
      </c>
      <c r="D397" s="1">
        <v>45345</v>
      </c>
      <c r="E397">
        <v>89</v>
      </c>
      <c r="F397">
        <v>0</v>
      </c>
      <c r="G397">
        <f>IF(Gym_Expansion_Data[[#This Row],[Churned]]=0,1,0)</f>
        <v>1</v>
      </c>
      <c r="H397" t="str">
        <f>IF(Gym_Expansion_Data[[#This Row],[Active Member]]=1,Gym_Expansion_Data[[#This Row],[Tier]],"Inactive")</f>
        <v>Premium</v>
      </c>
    </row>
    <row r="398" spans="1:8" x14ac:dyDescent="0.2">
      <c r="A398">
        <v>1397</v>
      </c>
      <c r="B398" t="s">
        <v>6</v>
      </c>
      <c r="C398" t="s">
        <v>7</v>
      </c>
      <c r="D398" s="1">
        <v>45549</v>
      </c>
      <c r="E398">
        <v>49</v>
      </c>
      <c r="F398">
        <v>0</v>
      </c>
      <c r="G398">
        <f>IF(Gym_Expansion_Data[[#This Row],[Churned]]=0,1,0)</f>
        <v>1</v>
      </c>
      <c r="H398" t="str">
        <f>IF(Gym_Expansion_Data[[#This Row],[Active Member]]=1,Gym_Expansion_Data[[#This Row],[Tier]],"Inactive")</f>
        <v>Basic</v>
      </c>
    </row>
    <row r="399" spans="1:8" x14ac:dyDescent="0.2">
      <c r="A399">
        <v>1398</v>
      </c>
      <c r="B399" t="s">
        <v>6</v>
      </c>
      <c r="C399" t="s">
        <v>12</v>
      </c>
      <c r="D399" s="1">
        <v>45910</v>
      </c>
      <c r="E399">
        <v>89</v>
      </c>
      <c r="F399">
        <v>0</v>
      </c>
      <c r="G399">
        <f>IF(Gym_Expansion_Data[[#This Row],[Churned]]=0,1,0)</f>
        <v>1</v>
      </c>
      <c r="H399" t="str">
        <f>IF(Gym_Expansion_Data[[#This Row],[Active Member]]=1,Gym_Expansion_Data[[#This Row],[Tier]],"Inactive")</f>
        <v>Premium</v>
      </c>
    </row>
    <row r="400" spans="1:8" x14ac:dyDescent="0.2">
      <c r="A400">
        <v>1399</v>
      </c>
      <c r="B400" t="s">
        <v>11</v>
      </c>
      <c r="C400" t="s">
        <v>12</v>
      </c>
      <c r="D400" s="1">
        <v>45742</v>
      </c>
      <c r="E400">
        <v>89</v>
      </c>
      <c r="F400">
        <v>0</v>
      </c>
      <c r="G400">
        <f>IF(Gym_Expansion_Data[[#This Row],[Churned]]=0,1,0)</f>
        <v>1</v>
      </c>
      <c r="H400" t="str">
        <f>IF(Gym_Expansion_Data[[#This Row],[Active Member]]=1,Gym_Expansion_Data[[#This Row],[Tier]],"Inactive")</f>
        <v>Premium</v>
      </c>
    </row>
    <row r="401" spans="1:8" x14ac:dyDescent="0.2">
      <c r="A401">
        <v>1400</v>
      </c>
      <c r="B401" t="s">
        <v>9</v>
      </c>
      <c r="C401" t="s">
        <v>12</v>
      </c>
      <c r="D401" s="1">
        <v>45636</v>
      </c>
      <c r="E401">
        <v>89</v>
      </c>
      <c r="F401">
        <v>0</v>
      </c>
      <c r="G401">
        <f>IF(Gym_Expansion_Data[[#This Row],[Churned]]=0,1,0)</f>
        <v>1</v>
      </c>
      <c r="H401" t="str">
        <f>IF(Gym_Expansion_Data[[#This Row],[Active Member]]=1,Gym_Expansion_Data[[#This Row],[Tier]],"Inactive")</f>
        <v>Premium</v>
      </c>
    </row>
    <row r="402" spans="1:8" x14ac:dyDescent="0.2">
      <c r="A402">
        <v>1401</v>
      </c>
      <c r="B402" t="s">
        <v>9</v>
      </c>
      <c r="C402" t="s">
        <v>12</v>
      </c>
      <c r="D402" s="1">
        <v>45411</v>
      </c>
      <c r="E402">
        <v>89</v>
      </c>
      <c r="F402">
        <v>0</v>
      </c>
      <c r="G402">
        <f>IF(Gym_Expansion_Data[[#This Row],[Churned]]=0,1,0)</f>
        <v>1</v>
      </c>
      <c r="H402" t="str">
        <f>IF(Gym_Expansion_Data[[#This Row],[Active Member]]=1,Gym_Expansion_Data[[#This Row],[Tier]],"Inactive")</f>
        <v>Premium</v>
      </c>
    </row>
    <row r="403" spans="1:8" x14ac:dyDescent="0.2">
      <c r="A403">
        <v>1402</v>
      </c>
      <c r="B403" t="s">
        <v>11</v>
      </c>
      <c r="C403" t="s">
        <v>7</v>
      </c>
      <c r="D403" s="1">
        <v>45381</v>
      </c>
      <c r="E403">
        <v>49</v>
      </c>
      <c r="F403">
        <v>0</v>
      </c>
      <c r="G403">
        <f>IF(Gym_Expansion_Data[[#This Row],[Churned]]=0,1,0)</f>
        <v>1</v>
      </c>
      <c r="H403" t="str">
        <f>IF(Gym_Expansion_Data[[#This Row],[Active Member]]=1,Gym_Expansion_Data[[#This Row],[Tier]],"Inactive")</f>
        <v>Basic</v>
      </c>
    </row>
    <row r="404" spans="1:8" x14ac:dyDescent="0.2">
      <c r="A404">
        <v>1403</v>
      </c>
      <c r="B404" t="s">
        <v>10</v>
      </c>
      <c r="C404" t="s">
        <v>7</v>
      </c>
      <c r="D404" s="1">
        <v>45594</v>
      </c>
      <c r="E404">
        <v>49</v>
      </c>
      <c r="F404">
        <v>0</v>
      </c>
      <c r="G404">
        <f>IF(Gym_Expansion_Data[[#This Row],[Churned]]=0,1,0)</f>
        <v>1</v>
      </c>
      <c r="H404" t="str">
        <f>IF(Gym_Expansion_Data[[#This Row],[Active Member]]=1,Gym_Expansion_Data[[#This Row],[Tier]],"Inactive")</f>
        <v>Basic</v>
      </c>
    </row>
    <row r="405" spans="1:8" x14ac:dyDescent="0.2">
      <c r="A405">
        <v>1404</v>
      </c>
      <c r="B405" t="s">
        <v>11</v>
      </c>
      <c r="C405" t="s">
        <v>12</v>
      </c>
      <c r="D405" s="1">
        <v>45407</v>
      </c>
      <c r="E405">
        <v>89</v>
      </c>
      <c r="F405">
        <v>1</v>
      </c>
      <c r="G405">
        <f>IF(Gym_Expansion_Data[[#This Row],[Churned]]=0,1,0)</f>
        <v>0</v>
      </c>
      <c r="H405" t="str">
        <f>IF(Gym_Expansion_Data[[#This Row],[Active Member]]=1,Gym_Expansion_Data[[#This Row],[Tier]],"Inactive")</f>
        <v>Inactive</v>
      </c>
    </row>
    <row r="406" spans="1:8" x14ac:dyDescent="0.2">
      <c r="A406">
        <v>1405</v>
      </c>
      <c r="B406" t="s">
        <v>6</v>
      </c>
      <c r="C406" t="s">
        <v>8</v>
      </c>
      <c r="D406" s="1">
        <v>45745</v>
      </c>
      <c r="E406">
        <v>129</v>
      </c>
      <c r="F406">
        <v>0</v>
      </c>
      <c r="G406">
        <f>IF(Gym_Expansion_Data[[#This Row],[Churned]]=0,1,0)</f>
        <v>1</v>
      </c>
      <c r="H406" t="str">
        <f>IF(Gym_Expansion_Data[[#This Row],[Active Member]]=1,Gym_Expansion_Data[[#This Row],[Tier]],"Inactive")</f>
        <v>Elite</v>
      </c>
    </row>
    <row r="407" spans="1:8" x14ac:dyDescent="0.2">
      <c r="A407">
        <v>1406</v>
      </c>
      <c r="B407" t="s">
        <v>9</v>
      </c>
      <c r="C407" t="s">
        <v>8</v>
      </c>
      <c r="D407" s="1">
        <v>45445</v>
      </c>
      <c r="E407">
        <v>129</v>
      </c>
      <c r="F407">
        <v>0</v>
      </c>
      <c r="G407">
        <f>IF(Gym_Expansion_Data[[#This Row],[Churned]]=0,1,0)</f>
        <v>1</v>
      </c>
      <c r="H407" t="str">
        <f>IF(Gym_Expansion_Data[[#This Row],[Active Member]]=1,Gym_Expansion_Data[[#This Row],[Tier]],"Inactive")</f>
        <v>Elite</v>
      </c>
    </row>
    <row r="408" spans="1:8" x14ac:dyDescent="0.2">
      <c r="A408">
        <v>1407</v>
      </c>
      <c r="B408" t="s">
        <v>6</v>
      </c>
      <c r="C408" t="s">
        <v>7</v>
      </c>
      <c r="D408" s="1">
        <v>45549</v>
      </c>
      <c r="E408">
        <v>49</v>
      </c>
      <c r="F408">
        <v>1</v>
      </c>
      <c r="G408">
        <f>IF(Gym_Expansion_Data[[#This Row],[Churned]]=0,1,0)</f>
        <v>0</v>
      </c>
      <c r="H408" t="str">
        <f>IF(Gym_Expansion_Data[[#This Row],[Active Member]]=1,Gym_Expansion_Data[[#This Row],[Tier]],"Inactive")</f>
        <v>Inactive</v>
      </c>
    </row>
    <row r="409" spans="1:8" x14ac:dyDescent="0.2">
      <c r="A409">
        <v>1408</v>
      </c>
      <c r="B409" t="s">
        <v>9</v>
      </c>
      <c r="C409" t="s">
        <v>7</v>
      </c>
      <c r="D409" s="1">
        <v>45577</v>
      </c>
      <c r="E409">
        <v>49</v>
      </c>
      <c r="F409">
        <v>0</v>
      </c>
      <c r="G409">
        <f>IF(Gym_Expansion_Data[[#This Row],[Churned]]=0,1,0)</f>
        <v>1</v>
      </c>
      <c r="H409" t="str">
        <f>IF(Gym_Expansion_Data[[#This Row],[Active Member]]=1,Gym_Expansion_Data[[#This Row],[Tier]],"Inactive")</f>
        <v>Basic</v>
      </c>
    </row>
    <row r="410" spans="1:8" x14ac:dyDescent="0.2">
      <c r="A410">
        <v>1409</v>
      </c>
      <c r="B410" t="s">
        <v>9</v>
      </c>
      <c r="C410" t="s">
        <v>12</v>
      </c>
      <c r="D410" s="1">
        <v>45962</v>
      </c>
      <c r="E410">
        <v>89</v>
      </c>
      <c r="F410">
        <v>1</v>
      </c>
      <c r="G410">
        <f>IF(Gym_Expansion_Data[[#This Row],[Churned]]=0,1,0)</f>
        <v>0</v>
      </c>
      <c r="H410" t="str">
        <f>IF(Gym_Expansion_Data[[#This Row],[Active Member]]=1,Gym_Expansion_Data[[#This Row],[Tier]],"Inactive")</f>
        <v>Inactive</v>
      </c>
    </row>
    <row r="411" spans="1:8" x14ac:dyDescent="0.2">
      <c r="A411">
        <v>1410</v>
      </c>
      <c r="B411" t="s">
        <v>11</v>
      </c>
      <c r="C411" t="s">
        <v>7</v>
      </c>
      <c r="D411" s="1">
        <v>45389</v>
      </c>
      <c r="E411">
        <v>49</v>
      </c>
      <c r="F411">
        <v>0</v>
      </c>
      <c r="G411">
        <f>IF(Gym_Expansion_Data[[#This Row],[Churned]]=0,1,0)</f>
        <v>1</v>
      </c>
      <c r="H411" t="str">
        <f>IF(Gym_Expansion_Data[[#This Row],[Active Member]]=1,Gym_Expansion_Data[[#This Row],[Tier]],"Inactive")</f>
        <v>Basic</v>
      </c>
    </row>
    <row r="412" spans="1:8" x14ac:dyDescent="0.2">
      <c r="A412">
        <v>1411</v>
      </c>
      <c r="B412" t="s">
        <v>9</v>
      </c>
      <c r="C412" t="s">
        <v>7</v>
      </c>
      <c r="D412" s="1">
        <v>45949</v>
      </c>
      <c r="E412">
        <v>49</v>
      </c>
      <c r="F412">
        <v>0</v>
      </c>
      <c r="G412">
        <f>IF(Gym_Expansion_Data[[#This Row],[Churned]]=0,1,0)</f>
        <v>1</v>
      </c>
      <c r="H412" t="str">
        <f>IF(Gym_Expansion_Data[[#This Row],[Active Member]]=1,Gym_Expansion_Data[[#This Row],[Tier]],"Inactive")</f>
        <v>Basic</v>
      </c>
    </row>
    <row r="413" spans="1:8" x14ac:dyDescent="0.2">
      <c r="A413">
        <v>1412</v>
      </c>
      <c r="B413" t="s">
        <v>11</v>
      </c>
      <c r="C413" t="s">
        <v>8</v>
      </c>
      <c r="D413" s="1">
        <v>45919</v>
      </c>
      <c r="E413">
        <v>129</v>
      </c>
      <c r="F413">
        <v>0</v>
      </c>
      <c r="G413">
        <f>IF(Gym_Expansion_Data[[#This Row],[Churned]]=0,1,0)</f>
        <v>1</v>
      </c>
      <c r="H413" t="str">
        <f>IF(Gym_Expansion_Data[[#This Row],[Active Member]]=1,Gym_Expansion_Data[[#This Row],[Tier]],"Inactive")</f>
        <v>Elite</v>
      </c>
    </row>
    <row r="414" spans="1:8" x14ac:dyDescent="0.2">
      <c r="A414">
        <v>1413</v>
      </c>
      <c r="B414" t="s">
        <v>9</v>
      </c>
      <c r="C414" t="s">
        <v>7</v>
      </c>
      <c r="D414" s="1">
        <v>45840</v>
      </c>
      <c r="E414">
        <v>49</v>
      </c>
      <c r="F414">
        <v>0</v>
      </c>
      <c r="G414">
        <f>IF(Gym_Expansion_Data[[#This Row],[Churned]]=0,1,0)</f>
        <v>1</v>
      </c>
      <c r="H414" t="str">
        <f>IF(Gym_Expansion_Data[[#This Row],[Active Member]]=1,Gym_Expansion_Data[[#This Row],[Tier]],"Inactive")</f>
        <v>Basic</v>
      </c>
    </row>
    <row r="415" spans="1:8" x14ac:dyDescent="0.2">
      <c r="A415">
        <v>1414</v>
      </c>
      <c r="B415" t="s">
        <v>10</v>
      </c>
      <c r="C415" t="s">
        <v>12</v>
      </c>
      <c r="D415" s="1">
        <v>45966</v>
      </c>
      <c r="E415">
        <v>89</v>
      </c>
      <c r="F415">
        <v>0</v>
      </c>
      <c r="G415">
        <f>IF(Gym_Expansion_Data[[#This Row],[Churned]]=0,1,0)</f>
        <v>1</v>
      </c>
      <c r="H415" t="str">
        <f>IF(Gym_Expansion_Data[[#This Row],[Active Member]]=1,Gym_Expansion_Data[[#This Row],[Tier]],"Inactive")</f>
        <v>Premium</v>
      </c>
    </row>
    <row r="416" spans="1:8" x14ac:dyDescent="0.2">
      <c r="A416">
        <v>1415</v>
      </c>
      <c r="B416" t="s">
        <v>9</v>
      </c>
      <c r="C416" t="s">
        <v>7</v>
      </c>
      <c r="D416" s="1">
        <v>45989</v>
      </c>
      <c r="E416">
        <v>49</v>
      </c>
      <c r="F416">
        <v>0</v>
      </c>
      <c r="G416">
        <f>IF(Gym_Expansion_Data[[#This Row],[Churned]]=0,1,0)</f>
        <v>1</v>
      </c>
      <c r="H416" t="str">
        <f>IF(Gym_Expansion_Data[[#This Row],[Active Member]]=1,Gym_Expansion_Data[[#This Row],[Tier]],"Inactive")</f>
        <v>Basic</v>
      </c>
    </row>
    <row r="417" spans="1:8" x14ac:dyDescent="0.2">
      <c r="A417">
        <v>1416</v>
      </c>
      <c r="B417" t="s">
        <v>9</v>
      </c>
      <c r="C417" t="s">
        <v>8</v>
      </c>
      <c r="D417" s="1">
        <v>45604</v>
      </c>
      <c r="E417">
        <v>129</v>
      </c>
      <c r="F417">
        <v>0</v>
      </c>
      <c r="G417">
        <f>IF(Gym_Expansion_Data[[#This Row],[Churned]]=0,1,0)</f>
        <v>1</v>
      </c>
      <c r="H417" t="str">
        <f>IF(Gym_Expansion_Data[[#This Row],[Active Member]]=1,Gym_Expansion_Data[[#This Row],[Tier]],"Inactive")</f>
        <v>Elite</v>
      </c>
    </row>
    <row r="418" spans="1:8" x14ac:dyDescent="0.2">
      <c r="A418">
        <v>1417</v>
      </c>
      <c r="B418" t="s">
        <v>9</v>
      </c>
      <c r="C418" t="s">
        <v>7</v>
      </c>
      <c r="D418" s="1">
        <v>45729</v>
      </c>
      <c r="E418">
        <v>49</v>
      </c>
      <c r="F418">
        <v>0</v>
      </c>
      <c r="G418">
        <f>IF(Gym_Expansion_Data[[#This Row],[Churned]]=0,1,0)</f>
        <v>1</v>
      </c>
      <c r="H418" t="str">
        <f>IF(Gym_Expansion_Data[[#This Row],[Active Member]]=1,Gym_Expansion_Data[[#This Row],[Tier]],"Inactive")</f>
        <v>Basic</v>
      </c>
    </row>
    <row r="419" spans="1:8" x14ac:dyDescent="0.2">
      <c r="A419">
        <v>1418</v>
      </c>
      <c r="B419" t="s">
        <v>10</v>
      </c>
      <c r="C419" t="s">
        <v>8</v>
      </c>
      <c r="D419" s="1">
        <v>45740</v>
      </c>
      <c r="E419">
        <v>129</v>
      </c>
      <c r="F419">
        <v>1</v>
      </c>
      <c r="G419">
        <f>IF(Gym_Expansion_Data[[#This Row],[Churned]]=0,1,0)</f>
        <v>0</v>
      </c>
      <c r="H419" t="str">
        <f>IF(Gym_Expansion_Data[[#This Row],[Active Member]]=1,Gym_Expansion_Data[[#This Row],[Tier]],"Inactive")</f>
        <v>Inactive</v>
      </c>
    </row>
    <row r="420" spans="1:8" x14ac:dyDescent="0.2">
      <c r="A420">
        <v>1419</v>
      </c>
      <c r="B420" t="s">
        <v>11</v>
      </c>
      <c r="C420" t="s">
        <v>12</v>
      </c>
      <c r="D420" s="1">
        <v>45548</v>
      </c>
      <c r="E420">
        <v>89</v>
      </c>
      <c r="F420">
        <v>0</v>
      </c>
      <c r="G420">
        <f>IF(Gym_Expansion_Data[[#This Row],[Churned]]=0,1,0)</f>
        <v>1</v>
      </c>
      <c r="H420" t="str">
        <f>IF(Gym_Expansion_Data[[#This Row],[Active Member]]=1,Gym_Expansion_Data[[#This Row],[Tier]],"Inactive")</f>
        <v>Premium</v>
      </c>
    </row>
    <row r="421" spans="1:8" x14ac:dyDescent="0.2">
      <c r="A421">
        <v>1420</v>
      </c>
      <c r="B421" t="s">
        <v>9</v>
      </c>
      <c r="C421" t="s">
        <v>7</v>
      </c>
      <c r="D421" s="1">
        <v>45703</v>
      </c>
      <c r="E421">
        <v>49</v>
      </c>
      <c r="F421">
        <v>0</v>
      </c>
      <c r="G421">
        <f>IF(Gym_Expansion_Data[[#This Row],[Churned]]=0,1,0)</f>
        <v>1</v>
      </c>
      <c r="H421" t="str">
        <f>IF(Gym_Expansion_Data[[#This Row],[Active Member]]=1,Gym_Expansion_Data[[#This Row],[Tier]],"Inactive")</f>
        <v>Basic</v>
      </c>
    </row>
    <row r="422" spans="1:8" x14ac:dyDescent="0.2">
      <c r="A422">
        <v>1421</v>
      </c>
      <c r="B422" t="s">
        <v>9</v>
      </c>
      <c r="C422" t="s">
        <v>7</v>
      </c>
      <c r="D422" s="1">
        <v>45449</v>
      </c>
      <c r="E422">
        <v>49</v>
      </c>
      <c r="F422">
        <v>0</v>
      </c>
      <c r="G422">
        <f>IF(Gym_Expansion_Data[[#This Row],[Churned]]=0,1,0)</f>
        <v>1</v>
      </c>
      <c r="H422" t="str">
        <f>IF(Gym_Expansion_Data[[#This Row],[Active Member]]=1,Gym_Expansion_Data[[#This Row],[Tier]],"Inactive")</f>
        <v>Basic</v>
      </c>
    </row>
    <row r="423" spans="1:8" x14ac:dyDescent="0.2">
      <c r="A423">
        <v>1422</v>
      </c>
      <c r="B423" t="s">
        <v>11</v>
      </c>
      <c r="C423" t="s">
        <v>12</v>
      </c>
      <c r="D423" s="1">
        <v>45413</v>
      </c>
      <c r="E423">
        <v>89</v>
      </c>
      <c r="F423">
        <v>0</v>
      </c>
      <c r="G423">
        <f>IF(Gym_Expansion_Data[[#This Row],[Churned]]=0,1,0)</f>
        <v>1</v>
      </c>
      <c r="H423" t="str">
        <f>IF(Gym_Expansion_Data[[#This Row],[Active Member]]=1,Gym_Expansion_Data[[#This Row],[Tier]],"Inactive")</f>
        <v>Premium</v>
      </c>
    </row>
    <row r="424" spans="1:8" x14ac:dyDescent="0.2">
      <c r="A424">
        <v>1423</v>
      </c>
      <c r="B424" t="s">
        <v>6</v>
      </c>
      <c r="C424" t="s">
        <v>7</v>
      </c>
      <c r="D424" s="1">
        <v>45299</v>
      </c>
      <c r="E424">
        <v>49</v>
      </c>
      <c r="F424">
        <v>0</v>
      </c>
      <c r="G424">
        <f>IF(Gym_Expansion_Data[[#This Row],[Churned]]=0,1,0)</f>
        <v>1</v>
      </c>
      <c r="H424" t="str">
        <f>IF(Gym_Expansion_Data[[#This Row],[Active Member]]=1,Gym_Expansion_Data[[#This Row],[Tier]],"Inactive")</f>
        <v>Basic</v>
      </c>
    </row>
    <row r="425" spans="1:8" x14ac:dyDescent="0.2">
      <c r="A425">
        <v>1424</v>
      </c>
      <c r="B425" t="s">
        <v>6</v>
      </c>
      <c r="C425" t="s">
        <v>7</v>
      </c>
      <c r="D425" s="1">
        <v>45348</v>
      </c>
      <c r="E425">
        <v>49</v>
      </c>
      <c r="F425">
        <v>0</v>
      </c>
      <c r="G425">
        <f>IF(Gym_Expansion_Data[[#This Row],[Churned]]=0,1,0)</f>
        <v>1</v>
      </c>
      <c r="H425" t="str">
        <f>IF(Gym_Expansion_Data[[#This Row],[Active Member]]=1,Gym_Expansion_Data[[#This Row],[Tier]],"Inactive")</f>
        <v>Basic</v>
      </c>
    </row>
    <row r="426" spans="1:8" x14ac:dyDescent="0.2">
      <c r="A426">
        <v>1425</v>
      </c>
      <c r="B426" t="s">
        <v>11</v>
      </c>
      <c r="C426" t="s">
        <v>12</v>
      </c>
      <c r="D426" s="1">
        <v>45849</v>
      </c>
      <c r="E426">
        <v>89</v>
      </c>
      <c r="F426">
        <v>1</v>
      </c>
      <c r="G426">
        <f>IF(Gym_Expansion_Data[[#This Row],[Churned]]=0,1,0)</f>
        <v>0</v>
      </c>
      <c r="H426" t="str">
        <f>IF(Gym_Expansion_Data[[#This Row],[Active Member]]=1,Gym_Expansion_Data[[#This Row],[Tier]],"Inactive")</f>
        <v>Inactive</v>
      </c>
    </row>
    <row r="427" spans="1:8" x14ac:dyDescent="0.2">
      <c r="A427">
        <v>1426</v>
      </c>
      <c r="B427" t="s">
        <v>9</v>
      </c>
      <c r="C427" t="s">
        <v>7</v>
      </c>
      <c r="D427" s="1">
        <v>45613</v>
      </c>
      <c r="E427">
        <v>49</v>
      </c>
      <c r="F427">
        <v>1</v>
      </c>
      <c r="G427">
        <f>IF(Gym_Expansion_Data[[#This Row],[Churned]]=0,1,0)</f>
        <v>0</v>
      </c>
      <c r="H427" t="str">
        <f>IF(Gym_Expansion_Data[[#This Row],[Active Member]]=1,Gym_Expansion_Data[[#This Row],[Tier]],"Inactive")</f>
        <v>Inactive</v>
      </c>
    </row>
    <row r="428" spans="1:8" x14ac:dyDescent="0.2">
      <c r="A428">
        <v>1427</v>
      </c>
      <c r="B428" t="s">
        <v>11</v>
      </c>
      <c r="C428" t="s">
        <v>7</v>
      </c>
      <c r="D428" s="1">
        <v>45519</v>
      </c>
      <c r="E428">
        <v>49</v>
      </c>
      <c r="F428">
        <v>0</v>
      </c>
      <c r="G428">
        <f>IF(Gym_Expansion_Data[[#This Row],[Churned]]=0,1,0)</f>
        <v>1</v>
      </c>
      <c r="H428" t="str">
        <f>IF(Gym_Expansion_Data[[#This Row],[Active Member]]=1,Gym_Expansion_Data[[#This Row],[Tier]],"Inactive")</f>
        <v>Basic</v>
      </c>
    </row>
    <row r="429" spans="1:8" x14ac:dyDescent="0.2">
      <c r="A429">
        <v>1428</v>
      </c>
      <c r="B429" t="s">
        <v>9</v>
      </c>
      <c r="C429" t="s">
        <v>8</v>
      </c>
      <c r="D429" s="1">
        <v>45604</v>
      </c>
      <c r="E429">
        <v>129</v>
      </c>
      <c r="F429">
        <v>0</v>
      </c>
      <c r="G429">
        <f>IF(Gym_Expansion_Data[[#This Row],[Churned]]=0,1,0)</f>
        <v>1</v>
      </c>
      <c r="H429" t="str">
        <f>IF(Gym_Expansion_Data[[#This Row],[Active Member]]=1,Gym_Expansion_Data[[#This Row],[Tier]],"Inactive")</f>
        <v>Elite</v>
      </c>
    </row>
    <row r="430" spans="1:8" x14ac:dyDescent="0.2">
      <c r="A430">
        <v>1429</v>
      </c>
      <c r="B430" t="s">
        <v>10</v>
      </c>
      <c r="C430" t="s">
        <v>7</v>
      </c>
      <c r="D430" s="1">
        <v>45423</v>
      </c>
      <c r="E430">
        <v>49</v>
      </c>
      <c r="F430">
        <v>0</v>
      </c>
      <c r="G430">
        <f>IF(Gym_Expansion_Data[[#This Row],[Churned]]=0,1,0)</f>
        <v>1</v>
      </c>
      <c r="H430" t="str">
        <f>IF(Gym_Expansion_Data[[#This Row],[Active Member]]=1,Gym_Expansion_Data[[#This Row],[Tier]],"Inactive")</f>
        <v>Basic</v>
      </c>
    </row>
    <row r="431" spans="1:8" x14ac:dyDescent="0.2">
      <c r="A431">
        <v>1430</v>
      </c>
      <c r="B431" t="s">
        <v>11</v>
      </c>
      <c r="C431" t="s">
        <v>7</v>
      </c>
      <c r="D431" s="1">
        <v>45969</v>
      </c>
      <c r="E431">
        <v>49</v>
      </c>
      <c r="F431">
        <v>0</v>
      </c>
      <c r="G431">
        <f>IF(Gym_Expansion_Data[[#This Row],[Churned]]=0,1,0)</f>
        <v>1</v>
      </c>
      <c r="H431" t="str">
        <f>IF(Gym_Expansion_Data[[#This Row],[Active Member]]=1,Gym_Expansion_Data[[#This Row],[Tier]],"Inactive")</f>
        <v>Basic</v>
      </c>
    </row>
    <row r="432" spans="1:8" x14ac:dyDescent="0.2">
      <c r="A432">
        <v>1431</v>
      </c>
      <c r="B432" t="s">
        <v>11</v>
      </c>
      <c r="C432" t="s">
        <v>7</v>
      </c>
      <c r="D432" s="1">
        <v>45796</v>
      </c>
      <c r="E432">
        <v>49</v>
      </c>
      <c r="F432">
        <v>0</v>
      </c>
      <c r="G432">
        <f>IF(Gym_Expansion_Data[[#This Row],[Churned]]=0,1,0)</f>
        <v>1</v>
      </c>
      <c r="H432" t="str">
        <f>IF(Gym_Expansion_Data[[#This Row],[Active Member]]=1,Gym_Expansion_Data[[#This Row],[Tier]],"Inactive")</f>
        <v>Basic</v>
      </c>
    </row>
    <row r="433" spans="1:8" x14ac:dyDescent="0.2">
      <c r="A433">
        <v>1432</v>
      </c>
      <c r="B433" t="s">
        <v>11</v>
      </c>
      <c r="C433" t="s">
        <v>12</v>
      </c>
      <c r="D433" s="1">
        <v>45626</v>
      </c>
      <c r="E433">
        <v>89</v>
      </c>
      <c r="F433">
        <v>0</v>
      </c>
      <c r="G433">
        <f>IF(Gym_Expansion_Data[[#This Row],[Churned]]=0,1,0)</f>
        <v>1</v>
      </c>
      <c r="H433" t="str">
        <f>IF(Gym_Expansion_Data[[#This Row],[Active Member]]=1,Gym_Expansion_Data[[#This Row],[Tier]],"Inactive")</f>
        <v>Premium</v>
      </c>
    </row>
    <row r="434" spans="1:8" x14ac:dyDescent="0.2">
      <c r="A434">
        <v>1433</v>
      </c>
      <c r="B434" t="s">
        <v>11</v>
      </c>
      <c r="C434" t="s">
        <v>8</v>
      </c>
      <c r="D434" s="1">
        <v>45639</v>
      </c>
      <c r="E434">
        <v>129</v>
      </c>
      <c r="F434">
        <v>1</v>
      </c>
      <c r="G434">
        <f>IF(Gym_Expansion_Data[[#This Row],[Churned]]=0,1,0)</f>
        <v>0</v>
      </c>
      <c r="H434" t="str">
        <f>IF(Gym_Expansion_Data[[#This Row],[Active Member]]=1,Gym_Expansion_Data[[#This Row],[Tier]],"Inactive")</f>
        <v>Inactive</v>
      </c>
    </row>
    <row r="435" spans="1:8" x14ac:dyDescent="0.2">
      <c r="A435">
        <v>1434</v>
      </c>
      <c r="B435" t="s">
        <v>9</v>
      </c>
      <c r="C435" t="s">
        <v>12</v>
      </c>
      <c r="D435" s="1">
        <v>45648</v>
      </c>
      <c r="E435">
        <v>89</v>
      </c>
      <c r="F435">
        <v>0</v>
      </c>
      <c r="G435">
        <f>IF(Gym_Expansion_Data[[#This Row],[Churned]]=0,1,0)</f>
        <v>1</v>
      </c>
      <c r="H435" t="str">
        <f>IF(Gym_Expansion_Data[[#This Row],[Active Member]]=1,Gym_Expansion_Data[[#This Row],[Tier]],"Inactive")</f>
        <v>Premium</v>
      </c>
    </row>
    <row r="436" spans="1:8" x14ac:dyDescent="0.2">
      <c r="A436">
        <v>1435</v>
      </c>
      <c r="B436" t="s">
        <v>6</v>
      </c>
      <c r="C436" t="s">
        <v>7</v>
      </c>
      <c r="D436" s="1">
        <v>45666</v>
      </c>
      <c r="E436">
        <v>49</v>
      </c>
      <c r="F436">
        <v>0</v>
      </c>
      <c r="G436">
        <f>IF(Gym_Expansion_Data[[#This Row],[Churned]]=0,1,0)</f>
        <v>1</v>
      </c>
      <c r="H436" t="str">
        <f>IF(Gym_Expansion_Data[[#This Row],[Active Member]]=1,Gym_Expansion_Data[[#This Row],[Tier]],"Inactive")</f>
        <v>Basic</v>
      </c>
    </row>
    <row r="437" spans="1:8" x14ac:dyDescent="0.2">
      <c r="A437">
        <v>1436</v>
      </c>
      <c r="B437" t="s">
        <v>9</v>
      </c>
      <c r="C437" t="s">
        <v>7</v>
      </c>
      <c r="D437" s="1">
        <v>45535</v>
      </c>
      <c r="E437">
        <v>49</v>
      </c>
      <c r="F437">
        <v>1</v>
      </c>
      <c r="G437">
        <f>IF(Gym_Expansion_Data[[#This Row],[Churned]]=0,1,0)</f>
        <v>0</v>
      </c>
      <c r="H437" t="str">
        <f>IF(Gym_Expansion_Data[[#This Row],[Active Member]]=1,Gym_Expansion_Data[[#This Row],[Tier]],"Inactive")</f>
        <v>Inactive</v>
      </c>
    </row>
    <row r="438" spans="1:8" x14ac:dyDescent="0.2">
      <c r="A438">
        <v>1437</v>
      </c>
      <c r="B438" t="s">
        <v>11</v>
      </c>
      <c r="C438" t="s">
        <v>7</v>
      </c>
      <c r="D438" s="1">
        <v>45758</v>
      </c>
      <c r="E438">
        <v>49</v>
      </c>
      <c r="F438">
        <v>1</v>
      </c>
      <c r="G438">
        <f>IF(Gym_Expansion_Data[[#This Row],[Churned]]=0,1,0)</f>
        <v>0</v>
      </c>
      <c r="H438" t="str">
        <f>IF(Gym_Expansion_Data[[#This Row],[Active Member]]=1,Gym_Expansion_Data[[#This Row],[Tier]],"Inactive")</f>
        <v>Inactive</v>
      </c>
    </row>
    <row r="439" spans="1:8" x14ac:dyDescent="0.2">
      <c r="A439">
        <v>1438</v>
      </c>
      <c r="B439" t="s">
        <v>9</v>
      </c>
      <c r="C439" t="s">
        <v>7</v>
      </c>
      <c r="D439" s="1">
        <v>45894</v>
      </c>
      <c r="E439">
        <v>49</v>
      </c>
      <c r="F439">
        <v>0</v>
      </c>
      <c r="G439">
        <f>IF(Gym_Expansion_Data[[#This Row],[Churned]]=0,1,0)</f>
        <v>1</v>
      </c>
      <c r="H439" t="str">
        <f>IF(Gym_Expansion_Data[[#This Row],[Active Member]]=1,Gym_Expansion_Data[[#This Row],[Tier]],"Inactive")</f>
        <v>Basic</v>
      </c>
    </row>
    <row r="440" spans="1:8" x14ac:dyDescent="0.2">
      <c r="A440">
        <v>1439</v>
      </c>
      <c r="B440" t="s">
        <v>9</v>
      </c>
      <c r="C440" t="s">
        <v>7</v>
      </c>
      <c r="D440" s="1">
        <v>45814</v>
      </c>
      <c r="E440">
        <v>49</v>
      </c>
      <c r="F440">
        <v>1</v>
      </c>
      <c r="G440">
        <f>IF(Gym_Expansion_Data[[#This Row],[Churned]]=0,1,0)</f>
        <v>0</v>
      </c>
      <c r="H440" t="str">
        <f>IF(Gym_Expansion_Data[[#This Row],[Active Member]]=1,Gym_Expansion_Data[[#This Row],[Tier]],"Inactive")</f>
        <v>Inactive</v>
      </c>
    </row>
    <row r="441" spans="1:8" x14ac:dyDescent="0.2">
      <c r="A441">
        <v>1440</v>
      </c>
      <c r="B441" t="s">
        <v>11</v>
      </c>
      <c r="C441" t="s">
        <v>12</v>
      </c>
      <c r="D441" s="1">
        <v>45926</v>
      </c>
      <c r="E441">
        <v>89</v>
      </c>
      <c r="F441">
        <v>0</v>
      </c>
      <c r="G441">
        <f>IF(Gym_Expansion_Data[[#This Row],[Churned]]=0,1,0)</f>
        <v>1</v>
      </c>
      <c r="H441" t="str">
        <f>IF(Gym_Expansion_Data[[#This Row],[Active Member]]=1,Gym_Expansion_Data[[#This Row],[Tier]],"Inactive")</f>
        <v>Premium</v>
      </c>
    </row>
    <row r="442" spans="1:8" x14ac:dyDescent="0.2">
      <c r="A442">
        <v>1441</v>
      </c>
      <c r="B442" t="s">
        <v>10</v>
      </c>
      <c r="C442" t="s">
        <v>12</v>
      </c>
      <c r="D442" s="1">
        <v>45725</v>
      </c>
      <c r="E442">
        <v>89</v>
      </c>
      <c r="F442">
        <v>1</v>
      </c>
      <c r="G442">
        <f>IF(Gym_Expansion_Data[[#This Row],[Churned]]=0,1,0)</f>
        <v>0</v>
      </c>
      <c r="H442" t="str">
        <f>IF(Gym_Expansion_Data[[#This Row],[Active Member]]=1,Gym_Expansion_Data[[#This Row],[Tier]],"Inactive")</f>
        <v>Inactive</v>
      </c>
    </row>
    <row r="443" spans="1:8" x14ac:dyDescent="0.2">
      <c r="A443">
        <v>1442</v>
      </c>
      <c r="B443" t="s">
        <v>6</v>
      </c>
      <c r="C443" t="s">
        <v>7</v>
      </c>
      <c r="D443" s="1">
        <v>45700</v>
      </c>
      <c r="E443">
        <v>49</v>
      </c>
      <c r="F443">
        <v>0</v>
      </c>
      <c r="G443">
        <f>IF(Gym_Expansion_Data[[#This Row],[Churned]]=0,1,0)</f>
        <v>1</v>
      </c>
      <c r="H443" t="str">
        <f>IF(Gym_Expansion_Data[[#This Row],[Active Member]]=1,Gym_Expansion_Data[[#This Row],[Tier]],"Inactive")</f>
        <v>Basic</v>
      </c>
    </row>
    <row r="444" spans="1:8" x14ac:dyDescent="0.2">
      <c r="A444">
        <v>1443</v>
      </c>
      <c r="B444" t="s">
        <v>11</v>
      </c>
      <c r="C444" t="s">
        <v>7</v>
      </c>
      <c r="D444" s="1">
        <v>45393</v>
      </c>
      <c r="E444">
        <v>49</v>
      </c>
      <c r="F444">
        <v>0</v>
      </c>
      <c r="G444">
        <f>IF(Gym_Expansion_Data[[#This Row],[Churned]]=0,1,0)</f>
        <v>1</v>
      </c>
      <c r="H444" t="str">
        <f>IF(Gym_Expansion_Data[[#This Row],[Active Member]]=1,Gym_Expansion_Data[[#This Row],[Tier]],"Inactive")</f>
        <v>Basic</v>
      </c>
    </row>
    <row r="445" spans="1:8" x14ac:dyDescent="0.2">
      <c r="A445">
        <v>1444</v>
      </c>
      <c r="B445" t="s">
        <v>6</v>
      </c>
      <c r="C445" t="s">
        <v>7</v>
      </c>
      <c r="D445" s="1">
        <v>45363</v>
      </c>
      <c r="E445">
        <v>49</v>
      </c>
      <c r="F445">
        <v>0</v>
      </c>
      <c r="G445">
        <f>IF(Gym_Expansion_Data[[#This Row],[Churned]]=0,1,0)</f>
        <v>1</v>
      </c>
      <c r="H445" t="str">
        <f>IF(Gym_Expansion_Data[[#This Row],[Active Member]]=1,Gym_Expansion_Data[[#This Row],[Tier]],"Inactive")</f>
        <v>Basic</v>
      </c>
    </row>
    <row r="446" spans="1:8" x14ac:dyDescent="0.2">
      <c r="A446">
        <v>1445</v>
      </c>
      <c r="B446" t="s">
        <v>9</v>
      </c>
      <c r="C446" t="s">
        <v>7</v>
      </c>
      <c r="D446" s="1">
        <v>45659</v>
      </c>
      <c r="E446">
        <v>49</v>
      </c>
      <c r="F446">
        <v>0</v>
      </c>
      <c r="G446">
        <f>IF(Gym_Expansion_Data[[#This Row],[Churned]]=0,1,0)</f>
        <v>1</v>
      </c>
      <c r="H446" t="str">
        <f>IF(Gym_Expansion_Data[[#This Row],[Active Member]]=1,Gym_Expansion_Data[[#This Row],[Tier]],"Inactive")</f>
        <v>Basic</v>
      </c>
    </row>
    <row r="447" spans="1:8" x14ac:dyDescent="0.2">
      <c r="A447">
        <v>1446</v>
      </c>
      <c r="B447" t="s">
        <v>11</v>
      </c>
      <c r="C447" t="s">
        <v>7</v>
      </c>
      <c r="D447" s="1">
        <v>45787</v>
      </c>
      <c r="E447">
        <v>49</v>
      </c>
      <c r="F447">
        <v>0</v>
      </c>
      <c r="G447">
        <f>IF(Gym_Expansion_Data[[#This Row],[Churned]]=0,1,0)</f>
        <v>1</v>
      </c>
      <c r="H447" t="str">
        <f>IF(Gym_Expansion_Data[[#This Row],[Active Member]]=1,Gym_Expansion_Data[[#This Row],[Tier]],"Inactive")</f>
        <v>Basic</v>
      </c>
    </row>
    <row r="448" spans="1:8" x14ac:dyDescent="0.2">
      <c r="A448">
        <v>1447</v>
      </c>
      <c r="B448" t="s">
        <v>9</v>
      </c>
      <c r="C448" t="s">
        <v>7</v>
      </c>
      <c r="D448" s="1">
        <v>45698</v>
      </c>
      <c r="E448">
        <v>49</v>
      </c>
      <c r="F448">
        <v>0</v>
      </c>
      <c r="G448">
        <f>IF(Gym_Expansion_Data[[#This Row],[Churned]]=0,1,0)</f>
        <v>1</v>
      </c>
      <c r="H448" t="str">
        <f>IF(Gym_Expansion_Data[[#This Row],[Active Member]]=1,Gym_Expansion_Data[[#This Row],[Tier]],"Inactive")</f>
        <v>Basic</v>
      </c>
    </row>
    <row r="449" spans="1:8" x14ac:dyDescent="0.2">
      <c r="A449">
        <v>1448</v>
      </c>
      <c r="B449" t="s">
        <v>6</v>
      </c>
      <c r="C449" t="s">
        <v>7</v>
      </c>
      <c r="D449" s="1">
        <v>45919</v>
      </c>
      <c r="E449">
        <v>49</v>
      </c>
      <c r="F449">
        <v>0</v>
      </c>
      <c r="G449">
        <f>IF(Gym_Expansion_Data[[#This Row],[Churned]]=0,1,0)</f>
        <v>1</v>
      </c>
      <c r="H449" t="str">
        <f>IF(Gym_Expansion_Data[[#This Row],[Active Member]]=1,Gym_Expansion_Data[[#This Row],[Tier]],"Inactive")</f>
        <v>Basic</v>
      </c>
    </row>
    <row r="450" spans="1:8" x14ac:dyDescent="0.2">
      <c r="A450">
        <v>1449</v>
      </c>
      <c r="B450" t="s">
        <v>10</v>
      </c>
      <c r="C450" t="s">
        <v>8</v>
      </c>
      <c r="D450" s="1">
        <v>45346</v>
      </c>
      <c r="E450">
        <v>129</v>
      </c>
      <c r="F450">
        <v>0</v>
      </c>
      <c r="G450">
        <f>IF(Gym_Expansion_Data[[#This Row],[Churned]]=0,1,0)</f>
        <v>1</v>
      </c>
      <c r="H450" t="str">
        <f>IF(Gym_Expansion_Data[[#This Row],[Active Member]]=1,Gym_Expansion_Data[[#This Row],[Tier]],"Inactive")</f>
        <v>Elite</v>
      </c>
    </row>
    <row r="451" spans="1:8" x14ac:dyDescent="0.2">
      <c r="A451">
        <v>1450</v>
      </c>
      <c r="B451" t="s">
        <v>9</v>
      </c>
      <c r="C451" t="s">
        <v>7</v>
      </c>
      <c r="D451" s="1">
        <v>45630</v>
      </c>
      <c r="E451">
        <v>49</v>
      </c>
      <c r="F451">
        <v>0</v>
      </c>
      <c r="G451">
        <f>IF(Gym_Expansion_Data[[#This Row],[Churned]]=0,1,0)</f>
        <v>1</v>
      </c>
      <c r="H451" t="str">
        <f>IF(Gym_Expansion_Data[[#This Row],[Active Member]]=1,Gym_Expansion_Data[[#This Row],[Tier]],"Inactive")</f>
        <v>Basic</v>
      </c>
    </row>
    <row r="452" spans="1:8" x14ac:dyDescent="0.2">
      <c r="A452">
        <v>1451</v>
      </c>
      <c r="B452" t="s">
        <v>11</v>
      </c>
      <c r="C452" t="s">
        <v>8</v>
      </c>
      <c r="D452" s="1">
        <v>45696</v>
      </c>
      <c r="E452">
        <v>129</v>
      </c>
      <c r="F452">
        <v>0</v>
      </c>
      <c r="G452">
        <f>IF(Gym_Expansion_Data[[#This Row],[Churned]]=0,1,0)</f>
        <v>1</v>
      </c>
      <c r="H452" t="str">
        <f>IF(Gym_Expansion_Data[[#This Row],[Active Member]]=1,Gym_Expansion_Data[[#This Row],[Tier]],"Inactive")</f>
        <v>Elite</v>
      </c>
    </row>
    <row r="453" spans="1:8" x14ac:dyDescent="0.2">
      <c r="A453">
        <v>1452</v>
      </c>
      <c r="B453" t="s">
        <v>11</v>
      </c>
      <c r="C453" t="s">
        <v>12</v>
      </c>
      <c r="D453" s="1">
        <v>45720</v>
      </c>
      <c r="E453">
        <v>89</v>
      </c>
      <c r="F453">
        <v>0</v>
      </c>
      <c r="G453">
        <f>IF(Gym_Expansion_Data[[#This Row],[Churned]]=0,1,0)</f>
        <v>1</v>
      </c>
      <c r="H453" t="str">
        <f>IF(Gym_Expansion_Data[[#This Row],[Active Member]]=1,Gym_Expansion_Data[[#This Row],[Tier]],"Inactive")</f>
        <v>Premium</v>
      </c>
    </row>
    <row r="454" spans="1:8" x14ac:dyDescent="0.2">
      <c r="A454">
        <v>1453</v>
      </c>
      <c r="B454" t="s">
        <v>10</v>
      </c>
      <c r="C454" t="s">
        <v>7</v>
      </c>
      <c r="D454" s="1">
        <v>45736</v>
      </c>
      <c r="E454">
        <v>49</v>
      </c>
      <c r="F454">
        <v>0</v>
      </c>
      <c r="G454">
        <f>IF(Gym_Expansion_Data[[#This Row],[Churned]]=0,1,0)</f>
        <v>1</v>
      </c>
      <c r="H454" t="str">
        <f>IF(Gym_Expansion_Data[[#This Row],[Active Member]]=1,Gym_Expansion_Data[[#This Row],[Tier]],"Inactive")</f>
        <v>Basic</v>
      </c>
    </row>
    <row r="455" spans="1:8" x14ac:dyDescent="0.2">
      <c r="A455">
        <v>1454</v>
      </c>
      <c r="B455" t="s">
        <v>10</v>
      </c>
      <c r="C455" t="s">
        <v>7</v>
      </c>
      <c r="D455" s="1">
        <v>45958</v>
      </c>
      <c r="E455">
        <v>49</v>
      </c>
      <c r="F455">
        <v>0</v>
      </c>
      <c r="G455">
        <f>IF(Gym_Expansion_Data[[#This Row],[Churned]]=0,1,0)</f>
        <v>1</v>
      </c>
      <c r="H455" t="str">
        <f>IF(Gym_Expansion_Data[[#This Row],[Active Member]]=1,Gym_Expansion_Data[[#This Row],[Tier]],"Inactive")</f>
        <v>Basic</v>
      </c>
    </row>
    <row r="456" spans="1:8" x14ac:dyDescent="0.2">
      <c r="A456">
        <v>1455</v>
      </c>
      <c r="B456" t="s">
        <v>11</v>
      </c>
      <c r="C456" t="s">
        <v>12</v>
      </c>
      <c r="D456" s="1">
        <v>45842</v>
      </c>
      <c r="E456">
        <v>89</v>
      </c>
      <c r="F456">
        <v>0</v>
      </c>
      <c r="G456">
        <f>IF(Gym_Expansion_Data[[#This Row],[Churned]]=0,1,0)</f>
        <v>1</v>
      </c>
      <c r="H456" t="str">
        <f>IF(Gym_Expansion_Data[[#This Row],[Active Member]]=1,Gym_Expansion_Data[[#This Row],[Tier]],"Inactive")</f>
        <v>Premium</v>
      </c>
    </row>
    <row r="457" spans="1:8" x14ac:dyDescent="0.2">
      <c r="A457">
        <v>1456</v>
      </c>
      <c r="B457" t="s">
        <v>9</v>
      </c>
      <c r="C457" t="s">
        <v>7</v>
      </c>
      <c r="D457" s="1">
        <v>45880</v>
      </c>
      <c r="E457">
        <v>49</v>
      </c>
      <c r="F457">
        <v>0</v>
      </c>
      <c r="G457">
        <f>IF(Gym_Expansion_Data[[#This Row],[Churned]]=0,1,0)</f>
        <v>1</v>
      </c>
      <c r="H457" t="str">
        <f>IF(Gym_Expansion_Data[[#This Row],[Active Member]]=1,Gym_Expansion_Data[[#This Row],[Tier]],"Inactive")</f>
        <v>Basic</v>
      </c>
    </row>
    <row r="458" spans="1:8" x14ac:dyDescent="0.2">
      <c r="A458">
        <v>1457</v>
      </c>
      <c r="B458" t="s">
        <v>9</v>
      </c>
      <c r="C458" t="s">
        <v>7</v>
      </c>
      <c r="D458" s="1">
        <v>45447</v>
      </c>
      <c r="E458">
        <v>49</v>
      </c>
      <c r="F458">
        <v>0</v>
      </c>
      <c r="G458">
        <f>IF(Gym_Expansion_Data[[#This Row],[Churned]]=0,1,0)</f>
        <v>1</v>
      </c>
      <c r="H458" t="str">
        <f>IF(Gym_Expansion_Data[[#This Row],[Active Member]]=1,Gym_Expansion_Data[[#This Row],[Tier]],"Inactive")</f>
        <v>Basic</v>
      </c>
    </row>
    <row r="459" spans="1:8" x14ac:dyDescent="0.2">
      <c r="A459">
        <v>1458</v>
      </c>
      <c r="B459" t="s">
        <v>10</v>
      </c>
      <c r="C459" t="s">
        <v>12</v>
      </c>
      <c r="D459" s="1">
        <v>45577</v>
      </c>
      <c r="E459">
        <v>89</v>
      </c>
      <c r="F459">
        <v>1</v>
      </c>
      <c r="G459">
        <f>IF(Gym_Expansion_Data[[#This Row],[Churned]]=0,1,0)</f>
        <v>0</v>
      </c>
      <c r="H459" t="str">
        <f>IF(Gym_Expansion_Data[[#This Row],[Active Member]]=1,Gym_Expansion_Data[[#This Row],[Tier]],"Inactive")</f>
        <v>Inactive</v>
      </c>
    </row>
    <row r="460" spans="1:8" x14ac:dyDescent="0.2">
      <c r="A460">
        <v>1459</v>
      </c>
      <c r="B460" t="s">
        <v>6</v>
      </c>
      <c r="C460" t="s">
        <v>8</v>
      </c>
      <c r="D460" s="1">
        <v>45459</v>
      </c>
      <c r="E460">
        <v>129</v>
      </c>
      <c r="F460">
        <v>1</v>
      </c>
      <c r="G460">
        <f>IF(Gym_Expansion_Data[[#This Row],[Churned]]=0,1,0)</f>
        <v>0</v>
      </c>
      <c r="H460" t="str">
        <f>IF(Gym_Expansion_Data[[#This Row],[Active Member]]=1,Gym_Expansion_Data[[#This Row],[Tier]],"Inactive")</f>
        <v>Inactive</v>
      </c>
    </row>
    <row r="461" spans="1:8" x14ac:dyDescent="0.2">
      <c r="A461">
        <v>1460</v>
      </c>
      <c r="B461" t="s">
        <v>6</v>
      </c>
      <c r="C461" t="s">
        <v>7</v>
      </c>
      <c r="D461" s="1">
        <v>45328</v>
      </c>
      <c r="E461">
        <v>49</v>
      </c>
      <c r="F461">
        <v>0</v>
      </c>
      <c r="G461">
        <f>IF(Gym_Expansion_Data[[#This Row],[Churned]]=0,1,0)</f>
        <v>1</v>
      </c>
      <c r="H461" t="str">
        <f>IF(Gym_Expansion_Data[[#This Row],[Active Member]]=1,Gym_Expansion_Data[[#This Row],[Tier]],"Inactive")</f>
        <v>Basic</v>
      </c>
    </row>
    <row r="462" spans="1:8" x14ac:dyDescent="0.2">
      <c r="A462">
        <v>1461</v>
      </c>
      <c r="B462" t="s">
        <v>11</v>
      </c>
      <c r="C462" t="s">
        <v>12</v>
      </c>
      <c r="D462" s="1">
        <v>45405</v>
      </c>
      <c r="E462">
        <v>89</v>
      </c>
      <c r="F462">
        <v>0</v>
      </c>
      <c r="G462">
        <f>IF(Gym_Expansion_Data[[#This Row],[Churned]]=0,1,0)</f>
        <v>1</v>
      </c>
      <c r="H462" t="str">
        <f>IF(Gym_Expansion_Data[[#This Row],[Active Member]]=1,Gym_Expansion_Data[[#This Row],[Tier]],"Inactive")</f>
        <v>Premium</v>
      </c>
    </row>
    <row r="463" spans="1:8" x14ac:dyDescent="0.2">
      <c r="A463">
        <v>1462</v>
      </c>
      <c r="B463" t="s">
        <v>9</v>
      </c>
      <c r="C463" t="s">
        <v>12</v>
      </c>
      <c r="D463" s="1">
        <v>45509</v>
      </c>
      <c r="E463">
        <v>89</v>
      </c>
      <c r="F463">
        <v>0</v>
      </c>
      <c r="G463">
        <f>IF(Gym_Expansion_Data[[#This Row],[Churned]]=0,1,0)</f>
        <v>1</v>
      </c>
      <c r="H463" t="str">
        <f>IF(Gym_Expansion_Data[[#This Row],[Active Member]]=1,Gym_Expansion_Data[[#This Row],[Tier]],"Inactive")</f>
        <v>Premium</v>
      </c>
    </row>
    <row r="464" spans="1:8" x14ac:dyDescent="0.2">
      <c r="A464">
        <v>1463</v>
      </c>
      <c r="B464" t="s">
        <v>6</v>
      </c>
      <c r="C464" t="s">
        <v>7</v>
      </c>
      <c r="D464" s="1">
        <v>45678</v>
      </c>
      <c r="E464">
        <v>49</v>
      </c>
      <c r="F464">
        <v>0</v>
      </c>
      <c r="G464">
        <f>IF(Gym_Expansion_Data[[#This Row],[Churned]]=0,1,0)</f>
        <v>1</v>
      </c>
      <c r="H464" t="str">
        <f>IF(Gym_Expansion_Data[[#This Row],[Active Member]]=1,Gym_Expansion_Data[[#This Row],[Tier]],"Inactive")</f>
        <v>Basic</v>
      </c>
    </row>
    <row r="465" spans="1:8" x14ac:dyDescent="0.2">
      <c r="A465">
        <v>1464</v>
      </c>
      <c r="B465" t="s">
        <v>9</v>
      </c>
      <c r="C465" t="s">
        <v>7</v>
      </c>
      <c r="D465" s="1">
        <v>45957</v>
      </c>
      <c r="E465">
        <v>49</v>
      </c>
      <c r="F465">
        <v>1</v>
      </c>
      <c r="G465">
        <f>IF(Gym_Expansion_Data[[#This Row],[Churned]]=0,1,0)</f>
        <v>0</v>
      </c>
      <c r="H465" t="str">
        <f>IF(Gym_Expansion_Data[[#This Row],[Active Member]]=1,Gym_Expansion_Data[[#This Row],[Tier]],"Inactive")</f>
        <v>Inactive</v>
      </c>
    </row>
    <row r="466" spans="1:8" x14ac:dyDescent="0.2">
      <c r="A466">
        <v>1465</v>
      </c>
      <c r="B466" t="s">
        <v>9</v>
      </c>
      <c r="C466" t="s">
        <v>7</v>
      </c>
      <c r="D466" s="1">
        <v>45574</v>
      </c>
      <c r="E466">
        <v>49</v>
      </c>
      <c r="F466">
        <v>0</v>
      </c>
      <c r="G466">
        <f>IF(Gym_Expansion_Data[[#This Row],[Churned]]=0,1,0)</f>
        <v>1</v>
      </c>
      <c r="H466" t="str">
        <f>IF(Gym_Expansion_Data[[#This Row],[Active Member]]=1,Gym_Expansion_Data[[#This Row],[Tier]],"Inactive")</f>
        <v>Basic</v>
      </c>
    </row>
    <row r="467" spans="1:8" x14ac:dyDescent="0.2">
      <c r="A467">
        <v>1466</v>
      </c>
      <c r="B467" t="s">
        <v>10</v>
      </c>
      <c r="C467" t="s">
        <v>12</v>
      </c>
      <c r="D467" s="1">
        <v>45773</v>
      </c>
      <c r="E467">
        <v>89</v>
      </c>
      <c r="F467">
        <v>0</v>
      </c>
      <c r="G467">
        <f>IF(Gym_Expansion_Data[[#This Row],[Churned]]=0,1,0)</f>
        <v>1</v>
      </c>
      <c r="H467" t="str">
        <f>IF(Gym_Expansion_Data[[#This Row],[Active Member]]=1,Gym_Expansion_Data[[#This Row],[Tier]],"Inactive")</f>
        <v>Premium</v>
      </c>
    </row>
    <row r="468" spans="1:8" x14ac:dyDescent="0.2">
      <c r="A468">
        <v>1467</v>
      </c>
      <c r="B468" t="s">
        <v>9</v>
      </c>
      <c r="C468" t="s">
        <v>7</v>
      </c>
      <c r="D468" s="1">
        <v>45762</v>
      </c>
      <c r="E468">
        <v>49</v>
      </c>
      <c r="F468">
        <v>0</v>
      </c>
      <c r="G468">
        <f>IF(Gym_Expansion_Data[[#This Row],[Churned]]=0,1,0)</f>
        <v>1</v>
      </c>
      <c r="H468" t="str">
        <f>IF(Gym_Expansion_Data[[#This Row],[Active Member]]=1,Gym_Expansion_Data[[#This Row],[Tier]],"Inactive")</f>
        <v>Basic</v>
      </c>
    </row>
    <row r="469" spans="1:8" x14ac:dyDescent="0.2">
      <c r="A469">
        <v>1468</v>
      </c>
      <c r="B469" t="s">
        <v>9</v>
      </c>
      <c r="C469" t="s">
        <v>7</v>
      </c>
      <c r="D469" s="1">
        <v>45617</v>
      </c>
      <c r="E469">
        <v>49</v>
      </c>
      <c r="F469">
        <v>0</v>
      </c>
      <c r="G469">
        <f>IF(Gym_Expansion_Data[[#This Row],[Churned]]=0,1,0)</f>
        <v>1</v>
      </c>
      <c r="H469" t="str">
        <f>IF(Gym_Expansion_Data[[#This Row],[Active Member]]=1,Gym_Expansion_Data[[#This Row],[Tier]],"Inactive")</f>
        <v>Basic</v>
      </c>
    </row>
    <row r="470" spans="1:8" x14ac:dyDescent="0.2">
      <c r="A470">
        <v>1469</v>
      </c>
      <c r="B470" t="s">
        <v>11</v>
      </c>
      <c r="C470" t="s">
        <v>7</v>
      </c>
      <c r="D470" s="1">
        <v>45610</v>
      </c>
      <c r="E470">
        <v>49</v>
      </c>
      <c r="F470">
        <v>0</v>
      </c>
      <c r="G470">
        <f>IF(Gym_Expansion_Data[[#This Row],[Churned]]=0,1,0)</f>
        <v>1</v>
      </c>
      <c r="H470" t="str">
        <f>IF(Gym_Expansion_Data[[#This Row],[Active Member]]=1,Gym_Expansion_Data[[#This Row],[Tier]],"Inactive")</f>
        <v>Basic</v>
      </c>
    </row>
    <row r="471" spans="1:8" x14ac:dyDescent="0.2">
      <c r="A471">
        <v>1470</v>
      </c>
      <c r="B471" t="s">
        <v>6</v>
      </c>
      <c r="C471" t="s">
        <v>7</v>
      </c>
      <c r="D471" s="1">
        <v>45796</v>
      </c>
      <c r="E471">
        <v>49</v>
      </c>
      <c r="F471">
        <v>0</v>
      </c>
      <c r="G471">
        <f>IF(Gym_Expansion_Data[[#This Row],[Churned]]=0,1,0)</f>
        <v>1</v>
      </c>
      <c r="H471" t="str">
        <f>IF(Gym_Expansion_Data[[#This Row],[Active Member]]=1,Gym_Expansion_Data[[#This Row],[Tier]],"Inactive")</f>
        <v>Basic</v>
      </c>
    </row>
    <row r="472" spans="1:8" x14ac:dyDescent="0.2">
      <c r="A472">
        <v>1471</v>
      </c>
      <c r="B472" t="s">
        <v>9</v>
      </c>
      <c r="C472" t="s">
        <v>12</v>
      </c>
      <c r="D472" s="1">
        <v>45580</v>
      </c>
      <c r="E472">
        <v>89</v>
      </c>
      <c r="F472">
        <v>1</v>
      </c>
      <c r="G472">
        <f>IF(Gym_Expansion_Data[[#This Row],[Churned]]=0,1,0)</f>
        <v>0</v>
      </c>
      <c r="H472" t="str">
        <f>IF(Gym_Expansion_Data[[#This Row],[Active Member]]=1,Gym_Expansion_Data[[#This Row],[Tier]],"Inactive")</f>
        <v>Inactive</v>
      </c>
    </row>
    <row r="473" spans="1:8" x14ac:dyDescent="0.2">
      <c r="A473">
        <v>1472</v>
      </c>
      <c r="B473" t="s">
        <v>9</v>
      </c>
      <c r="C473" t="s">
        <v>8</v>
      </c>
      <c r="D473" s="1">
        <v>45727</v>
      </c>
      <c r="E473">
        <v>129</v>
      </c>
      <c r="F473">
        <v>0</v>
      </c>
      <c r="G473">
        <f>IF(Gym_Expansion_Data[[#This Row],[Churned]]=0,1,0)</f>
        <v>1</v>
      </c>
      <c r="H473" t="str">
        <f>IF(Gym_Expansion_Data[[#This Row],[Active Member]]=1,Gym_Expansion_Data[[#This Row],[Tier]],"Inactive")</f>
        <v>Elite</v>
      </c>
    </row>
    <row r="474" spans="1:8" x14ac:dyDescent="0.2">
      <c r="A474">
        <v>1473</v>
      </c>
      <c r="B474" t="s">
        <v>6</v>
      </c>
      <c r="C474" t="s">
        <v>7</v>
      </c>
      <c r="D474" s="1">
        <v>45508</v>
      </c>
      <c r="E474">
        <v>49</v>
      </c>
      <c r="F474">
        <v>0</v>
      </c>
      <c r="G474">
        <f>IF(Gym_Expansion_Data[[#This Row],[Churned]]=0,1,0)</f>
        <v>1</v>
      </c>
      <c r="H474" t="str">
        <f>IF(Gym_Expansion_Data[[#This Row],[Active Member]]=1,Gym_Expansion_Data[[#This Row],[Tier]],"Inactive")</f>
        <v>Basic</v>
      </c>
    </row>
    <row r="475" spans="1:8" x14ac:dyDescent="0.2">
      <c r="A475">
        <v>1474</v>
      </c>
      <c r="B475" t="s">
        <v>6</v>
      </c>
      <c r="C475" t="s">
        <v>12</v>
      </c>
      <c r="D475" s="1">
        <v>45714</v>
      </c>
      <c r="E475">
        <v>89</v>
      </c>
      <c r="F475">
        <v>0</v>
      </c>
      <c r="G475">
        <f>IF(Gym_Expansion_Data[[#This Row],[Churned]]=0,1,0)</f>
        <v>1</v>
      </c>
      <c r="H475" t="str">
        <f>IF(Gym_Expansion_Data[[#This Row],[Active Member]]=1,Gym_Expansion_Data[[#This Row],[Tier]],"Inactive")</f>
        <v>Premium</v>
      </c>
    </row>
    <row r="476" spans="1:8" x14ac:dyDescent="0.2">
      <c r="A476">
        <v>1475</v>
      </c>
      <c r="B476" t="s">
        <v>11</v>
      </c>
      <c r="C476" t="s">
        <v>7</v>
      </c>
      <c r="D476" s="1">
        <v>45381</v>
      </c>
      <c r="E476">
        <v>49</v>
      </c>
      <c r="F476">
        <v>1</v>
      </c>
      <c r="G476">
        <f>IF(Gym_Expansion_Data[[#This Row],[Churned]]=0,1,0)</f>
        <v>0</v>
      </c>
      <c r="H476" t="str">
        <f>IF(Gym_Expansion_Data[[#This Row],[Active Member]]=1,Gym_Expansion_Data[[#This Row],[Tier]],"Inactive")</f>
        <v>Inactive</v>
      </c>
    </row>
    <row r="477" spans="1:8" x14ac:dyDescent="0.2">
      <c r="A477">
        <v>1476</v>
      </c>
      <c r="B477" t="s">
        <v>11</v>
      </c>
      <c r="C477" t="s">
        <v>7</v>
      </c>
      <c r="D477" s="1">
        <v>45938</v>
      </c>
      <c r="E477">
        <v>49</v>
      </c>
      <c r="F477">
        <v>0</v>
      </c>
      <c r="G477">
        <f>IF(Gym_Expansion_Data[[#This Row],[Churned]]=0,1,0)</f>
        <v>1</v>
      </c>
      <c r="H477" t="str">
        <f>IF(Gym_Expansion_Data[[#This Row],[Active Member]]=1,Gym_Expansion_Data[[#This Row],[Tier]],"Inactive")</f>
        <v>Basic</v>
      </c>
    </row>
    <row r="478" spans="1:8" x14ac:dyDescent="0.2">
      <c r="A478">
        <v>1477</v>
      </c>
      <c r="B478" t="s">
        <v>11</v>
      </c>
      <c r="C478" t="s">
        <v>8</v>
      </c>
      <c r="D478" s="1">
        <v>45669</v>
      </c>
      <c r="E478">
        <v>129</v>
      </c>
      <c r="F478">
        <v>0</v>
      </c>
      <c r="G478">
        <f>IF(Gym_Expansion_Data[[#This Row],[Churned]]=0,1,0)</f>
        <v>1</v>
      </c>
      <c r="H478" t="str">
        <f>IF(Gym_Expansion_Data[[#This Row],[Active Member]]=1,Gym_Expansion_Data[[#This Row],[Tier]],"Inactive")</f>
        <v>Elite</v>
      </c>
    </row>
    <row r="479" spans="1:8" x14ac:dyDescent="0.2">
      <c r="A479">
        <v>1478</v>
      </c>
      <c r="B479" t="s">
        <v>6</v>
      </c>
      <c r="C479" t="s">
        <v>8</v>
      </c>
      <c r="D479" s="1">
        <v>45547</v>
      </c>
      <c r="E479">
        <v>129</v>
      </c>
      <c r="F479">
        <v>0</v>
      </c>
      <c r="G479">
        <f>IF(Gym_Expansion_Data[[#This Row],[Churned]]=0,1,0)</f>
        <v>1</v>
      </c>
      <c r="H479" t="str">
        <f>IF(Gym_Expansion_Data[[#This Row],[Active Member]]=1,Gym_Expansion_Data[[#This Row],[Tier]],"Inactive")</f>
        <v>Elite</v>
      </c>
    </row>
    <row r="480" spans="1:8" x14ac:dyDescent="0.2">
      <c r="A480">
        <v>1479</v>
      </c>
      <c r="B480" t="s">
        <v>9</v>
      </c>
      <c r="C480" t="s">
        <v>7</v>
      </c>
      <c r="D480" s="1">
        <v>45770</v>
      </c>
      <c r="E480">
        <v>49</v>
      </c>
      <c r="F480">
        <v>0</v>
      </c>
      <c r="G480">
        <f>IF(Gym_Expansion_Data[[#This Row],[Churned]]=0,1,0)</f>
        <v>1</v>
      </c>
      <c r="H480" t="str">
        <f>IF(Gym_Expansion_Data[[#This Row],[Active Member]]=1,Gym_Expansion_Data[[#This Row],[Tier]],"Inactive")</f>
        <v>Basic</v>
      </c>
    </row>
    <row r="481" spans="1:8" x14ac:dyDescent="0.2">
      <c r="A481">
        <v>1480</v>
      </c>
      <c r="B481" t="s">
        <v>10</v>
      </c>
      <c r="C481" t="s">
        <v>8</v>
      </c>
      <c r="D481" s="1">
        <v>45909</v>
      </c>
      <c r="E481">
        <v>129</v>
      </c>
      <c r="F481">
        <v>0</v>
      </c>
      <c r="G481">
        <f>IF(Gym_Expansion_Data[[#This Row],[Churned]]=0,1,0)</f>
        <v>1</v>
      </c>
      <c r="H481" t="str">
        <f>IF(Gym_Expansion_Data[[#This Row],[Active Member]]=1,Gym_Expansion_Data[[#This Row],[Tier]],"Inactive")</f>
        <v>Elite</v>
      </c>
    </row>
    <row r="482" spans="1:8" x14ac:dyDescent="0.2">
      <c r="A482">
        <v>1481</v>
      </c>
      <c r="B482" t="s">
        <v>9</v>
      </c>
      <c r="C482" t="s">
        <v>8</v>
      </c>
      <c r="D482" s="1">
        <v>45747</v>
      </c>
      <c r="E482">
        <v>129</v>
      </c>
      <c r="F482">
        <v>0</v>
      </c>
      <c r="G482">
        <f>IF(Gym_Expansion_Data[[#This Row],[Churned]]=0,1,0)</f>
        <v>1</v>
      </c>
      <c r="H482" t="str">
        <f>IF(Gym_Expansion_Data[[#This Row],[Active Member]]=1,Gym_Expansion_Data[[#This Row],[Tier]],"Inactive")</f>
        <v>Elite</v>
      </c>
    </row>
    <row r="483" spans="1:8" x14ac:dyDescent="0.2">
      <c r="A483">
        <v>1482</v>
      </c>
      <c r="B483" t="s">
        <v>11</v>
      </c>
      <c r="C483" t="s">
        <v>7</v>
      </c>
      <c r="D483" s="1">
        <v>45344</v>
      </c>
      <c r="E483">
        <v>49</v>
      </c>
      <c r="F483">
        <v>1</v>
      </c>
      <c r="G483">
        <f>IF(Gym_Expansion_Data[[#This Row],[Churned]]=0,1,0)</f>
        <v>0</v>
      </c>
      <c r="H483" t="str">
        <f>IF(Gym_Expansion_Data[[#This Row],[Active Member]]=1,Gym_Expansion_Data[[#This Row],[Tier]],"Inactive")</f>
        <v>Inactive</v>
      </c>
    </row>
    <row r="484" spans="1:8" x14ac:dyDescent="0.2">
      <c r="A484">
        <v>1483</v>
      </c>
      <c r="B484" t="s">
        <v>6</v>
      </c>
      <c r="C484" t="s">
        <v>12</v>
      </c>
      <c r="D484" s="1">
        <v>45896</v>
      </c>
      <c r="E484">
        <v>89</v>
      </c>
      <c r="F484">
        <v>0</v>
      </c>
      <c r="G484">
        <f>IF(Gym_Expansion_Data[[#This Row],[Churned]]=0,1,0)</f>
        <v>1</v>
      </c>
      <c r="H484" t="str">
        <f>IF(Gym_Expansion_Data[[#This Row],[Active Member]]=1,Gym_Expansion_Data[[#This Row],[Tier]],"Inactive")</f>
        <v>Premium</v>
      </c>
    </row>
    <row r="485" spans="1:8" x14ac:dyDescent="0.2">
      <c r="A485">
        <v>1484</v>
      </c>
      <c r="B485" t="s">
        <v>9</v>
      </c>
      <c r="C485" t="s">
        <v>8</v>
      </c>
      <c r="D485" s="1">
        <v>45549</v>
      </c>
      <c r="E485">
        <v>129</v>
      </c>
      <c r="F485">
        <v>0</v>
      </c>
      <c r="G485">
        <f>IF(Gym_Expansion_Data[[#This Row],[Churned]]=0,1,0)</f>
        <v>1</v>
      </c>
      <c r="H485" t="str">
        <f>IF(Gym_Expansion_Data[[#This Row],[Active Member]]=1,Gym_Expansion_Data[[#This Row],[Tier]],"Inactive")</f>
        <v>Elite</v>
      </c>
    </row>
    <row r="486" spans="1:8" x14ac:dyDescent="0.2">
      <c r="A486">
        <v>1485</v>
      </c>
      <c r="B486" t="s">
        <v>6</v>
      </c>
      <c r="C486" t="s">
        <v>8</v>
      </c>
      <c r="D486" s="1">
        <v>45409</v>
      </c>
      <c r="E486">
        <v>129</v>
      </c>
      <c r="F486">
        <v>0</v>
      </c>
      <c r="G486">
        <f>IF(Gym_Expansion_Data[[#This Row],[Churned]]=0,1,0)</f>
        <v>1</v>
      </c>
      <c r="H486" t="str">
        <f>IF(Gym_Expansion_Data[[#This Row],[Active Member]]=1,Gym_Expansion_Data[[#This Row],[Tier]],"Inactive")</f>
        <v>Elite</v>
      </c>
    </row>
    <row r="487" spans="1:8" x14ac:dyDescent="0.2">
      <c r="A487">
        <v>1486</v>
      </c>
      <c r="B487" t="s">
        <v>11</v>
      </c>
      <c r="C487" t="s">
        <v>12</v>
      </c>
      <c r="D487" s="1">
        <v>45557</v>
      </c>
      <c r="E487">
        <v>89</v>
      </c>
      <c r="F487">
        <v>0</v>
      </c>
      <c r="G487">
        <f>IF(Gym_Expansion_Data[[#This Row],[Churned]]=0,1,0)</f>
        <v>1</v>
      </c>
      <c r="H487" t="str">
        <f>IF(Gym_Expansion_Data[[#This Row],[Active Member]]=1,Gym_Expansion_Data[[#This Row],[Tier]],"Inactive")</f>
        <v>Premium</v>
      </c>
    </row>
    <row r="488" spans="1:8" x14ac:dyDescent="0.2">
      <c r="A488">
        <v>1487</v>
      </c>
      <c r="B488" t="s">
        <v>6</v>
      </c>
      <c r="C488" t="s">
        <v>8</v>
      </c>
      <c r="D488" s="1">
        <v>45715</v>
      </c>
      <c r="E488">
        <v>129</v>
      </c>
      <c r="F488">
        <v>0</v>
      </c>
      <c r="G488">
        <f>IF(Gym_Expansion_Data[[#This Row],[Churned]]=0,1,0)</f>
        <v>1</v>
      </c>
      <c r="H488" t="str">
        <f>IF(Gym_Expansion_Data[[#This Row],[Active Member]]=1,Gym_Expansion_Data[[#This Row],[Tier]],"Inactive")</f>
        <v>Elite</v>
      </c>
    </row>
    <row r="489" spans="1:8" x14ac:dyDescent="0.2">
      <c r="A489">
        <v>1488</v>
      </c>
      <c r="B489" t="s">
        <v>9</v>
      </c>
      <c r="C489" t="s">
        <v>7</v>
      </c>
      <c r="D489" s="1">
        <v>45475</v>
      </c>
      <c r="E489">
        <v>49</v>
      </c>
      <c r="F489">
        <v>0</v>
      </c>
      <c r="G489">
        <f>IF(Gym_Expansion_Data[[#This Row],[Churned]]=0,1,0)</f>
        <v>1</v>
      </c>
      <c r="H489" t="str">
        <f>IF(Gym_Expansion_Data[[#This Row],[Active Member]]=1,Gym_Expansion_Data[[#This Row],[Tier]],"Inactive")</f>
        <v>Basic</v>
      </c>
    </row>
    <row r="490" spans="1:8" x14ac:dyDescent="0.2">
      <c r="A490">
        <v>1489</v>
      </c>
      <c r="B490" t="s">
        <v>9</v>
      </c>
      <c r="C490" t="s">
        <v>8</v>
      </c>
      <c r="D490" s="1">
        <v>45933</v>
      </c>
      <c r="E490">
        <v>129</v>
      </c>
      <c r="F490">
        <v>0</v>
      </c>
      <c r="G490">
        <f>IF(Gym_Expansion_Data[[#This Row],[Churned]]=0,1,0)</f>
        <v>1</v>
      </c>
      <c r="H490" t="str">
        <f>IF(Gym_Expansion_Data[[#This Row],[Active Member]]=1,Gym_Expansion_Data[[#This Row],[Tier]],"Inactive")</f>
        <v>Elite</v>
      </c>
    </row>
    <row r="491" spans="1:8" x14ac:dyDescent="0.2">
      <c r="A491">
        <v>1490</v>
      </c>
      <c r="B491" t="s">
        <v>9</v>
      </c>
      <c r="C491" t="s">
        <v>8</v>
      </c>
      <c r="D491" s="1">
        <v>45427</v>
      </c>
      <c r="E491">
        <v>129</v>
      </c>
      <c r="F491">
        <v>0</v>
      </c>
      <c r="G491">
        <f>IF(Gym_Expansion_Data[[#This Row],[Churned]]=0,1,0)</f>
        <v>1</v>
      </c>
      <c r="H491" t="str">
        <f>IF(Gym_Expansion_Data[[#This Row],[Active Member]]=1,Gym_Expansion_Data[[#This Row],[Tier]],"Inactive")</f>
        <v>Elite</v>
      </c>
    </row>
    <row r="492" spans="1:8" x14ac:dyDescent="0.2">
      <c r="A492">
        <v>1491</v>
      </c>
      <c r="B492" t="s">
        <v>6</v>
      </c>
      <c r="C492" t="s">
        <v>8</v>
      </c>
      <c r="D492" s="1">
        <v>45587</v>
      </c>
      <c r="E492">
        <v>129</v>
      </c>
      <c r="F492">
        <v>0</v>
      </c>
      <c r="G492">
        <f>IF(Gym_Expansion_Data[[#This Row],[Churned]]=0,1,0)</f>
        <v>1</v>
      </c>
      <c r="H492" t="str">
        <f>IF(Gym_Expansion_Data[[#This Row],[Active Member]]=1,Gym_Expansion_Data[[#This Row],[Tier]],"Inactive")</f>
        <v>Elite</v>
      </c>
    </row>
    <row r="493" spans="1:8" x14ac:dyDescent="0.2">
      <c r="A493">
        <v>1492</v>
      </c>
      <c r="B493" t="s">
        <v>11</v>
      </c>
      <c r="C493" t="s">
        <v>7</v>
      </c>
      <c r="D493" s="1">
        <v>45636</v>
      </c>
      <c r="E493">
        <v>49</v>
      </c>
      <c r="F493">
        <v>0</v>
      </c>
      <c r="G493">
        <f>IF(Gym_Expansion_Data[[#This Row],[Churned]]=0,1,0)</f>
        <v>1</v>
      </c>
      <c r="H493" t="str">
        <f>IF(Gym_Expansion_Data[[#This Row],[Active Member]]=1,Gym_Expansion_Data[[#This Row],[Tier]],"Inactive")</f>
        <v>Basic</v>
      </c>
    </row>
    <row r="494" spans="1:8" x14ac:dyDescent="0.2">
      <c r="A494">
        <v>1493</v>
      </c>
      <c r="B494" t="s">
        <v>6</v>
      </c>
      <c r="C494" t="s">
        <v>12</v>
      </c>
      <c r="D494" s="1">
        <v>45898</v>
      </c>
      <c r="E494">
        <v>89</v>
      </c>
      <c r="F494">
        <v>0</v>
      </c>
      <c r="G494">
        <f>IF(Gym_Expansion_Data[[#This Row],[Churned]]=0,1,0)</f>
        <v>1</v>
      </c>
      <c r="H494" t="str">
        <f>IF(Gym_Expansion_Data[[#This Row],[Active Member]]=1,Gym_Expansion_Data[[#This Row],[Tier]],"Inactive")</f>
        <v>Premium</v>
      </c>
    </row>
    <row r="495" spans="1:8" x14ac:dyDescent="0.2">
      <c r="A495">
        <v>1494</v>
      </c>
      <c r="B495" t="s">
        <v>11</v>
      </c>
      <c r="C495" t="s">
        <v>7</v>
      </c>
      <c r="D495" s="1">
        <v>45472</v>
      </c>
      <c r="E495">
        <v>49</v>
      </c>
      <c r="F495">
        <v>0</v>
      </c>
      <c r="G495">
        <f>IF(Gym_Expansion_Data[[#This Row],[Churned]]=0,1,0)</f>
        <v>1</v>
      </c>
      <c r="H495" t="str">
        <f>IF(Gym_Expansion_Data[[#This Row],[Active Member]]=1,Gym_Expansion_Data[[#This Row],[Tier]],"Inactive")</f>
        <v>Basic</v>
      </c>
    </row>
    <row r="496" spans="1:8" x14ac:dyDescent="0.2">
      <c r="A496">
        <v>1495</v>
      </c>
      <c r="B496" t="s">
        <v>11</v>
      </c>
      <c r="C496" t="s">
        <v>12</v>
      </c>
      <c r="D496" s="1">
        <v>45879</v>
      </c>
      <c r="E496">
        <v>89</v>
      </c>
      <c r="F496">
        <v>0</v>
      </c>
      <c r="G496">
        <f>IF(Gym_Expansion_Data[[#This Row],[Churned]]=0,1,0)</f>
        <v>1</v>
      </c>
      <c r="H496" t="str">
        <f>IF(Gym_Expansion_Data[[#This Row],[Active Member]]=1,Gym_Expansion_Data[[#This Row],[Tier]],"Inactive")</f>
        <v>Premium</v>
      </c>
    </row>
    <row r="497" spans="1:8" x14ac:dyDescent="0.2">
      <c r="A497">
        <v>1496</v>
      </c>
      <c r="B497" t="s">
        <v>9</v>
      </c>
      <c r="C497" t="s">
        <v>8</v>
      </c>
      <c r="D497" s="1">
        <v>45697</v>
      </c>
      <c r="E497">
        <v>129</v>
      </c>
      <c r="F497">
        <v>0</v>
      </c>
      <c r="G497">
        <f>IF(Gym_Expansion_Data[[#This Row],[Churned]]=0,1,0)</f>
        <v>1</v>
      </c>
      <c r="H497" t="str">
        <f>IF(Gym_Expansion_Data[[#This Row],[Active Member]]=1,Gym_Expansion_Data[[#This Row],[Tier]],"Inactive")</f>
        <v>Elite</v>
      </c>
    </row>
    <row r="498" spans="1:8" x14ac:dyDescent="0.2">
      <c r="A498">
        <v>1497</v>
      </c>
      <c r="B498" t="s">
        <v>10</v>
      </c>
      <c r="C498" t="s">
        <v>7</v>
      </c>
      <c r="D498" s="1">
        <v>45762</v>
      </c>
      <c r="E498">
        <v>49</v>
      </c>
      <c r="F498">
        <v>0</v>
      </c>
      <c r="G498">
        <f>IF(Gym_Expansion_Data[[#This Row],[Churned]]=0,1,0)</f>
        <v>1</v>
      </c>
      <c r="H498" t="str">
        <f>IF(Gym_Expansion_Data[[#This Row],[Active Member]]=1,Gym_Expansion_Data[[#This Row],[Tier]],"Inactive")</f>
        <v>Basic</v>
      </c>
    </row>
    <row r="499" spans="1:8" x14ac:dyDescent="0.2">
      <c r="A499">
        <v>1498</v>
      </c>
      <c r="B499" t="s">
        <v>9</v>
      </c>
      <c r="C499" t="s">
        <v>12</v>
      </c>
      <c r="D499" s="1">
        <v>45675</v>
      </c>
      <c r="E499">
        <v>89</v>
      </c>
      <c r="F499">
        <v>0</v>
      </c>
      <c r="G499">
        <f>IF(Gym_Expansion_Data[[#This Row],[Churned]]=0,1,0)</f>
        <v>1</v>
      </c>
      <c r="H499" t="str">
        <f>IF(Gym_Expansion_Data[[#This Row],[Active Member]]=1,Gym_Expansion_Data[[#This Row],[Tier]],"Inactive")</f>
        <v>Premium</v>
      </c>
    </row>
    <row r="500" spans="1:8" x14ac:dyDescent="0.2">
      <c r="A500">
        <v>1499</v>
      </c>
      <c r="B500" t="s">
        <v>9</v>
      </c>
      <c r="C500" t="s">
        <v>7</v>
      </c>
      <c r="D500" s="1">
        <v>45511</v>
      </c>
      <c r="E500">
        <v>49</v>
      </c>
      <c r="F500">
        <v>1</v>
      </c>
      <c r="G500">
        <f>IF(Gym_Expansion_Data[[#This Row],[Churned]]=0,1,0)</f>
        <v>0</v>
      </c>
      <c r="H500" t="str">
        <f>IF(Gym_Expansion_Data[[#This Row],[Active Member]]=1,Gym_Expansion_Data[[#This Row],[Tier]],"Inactive")</f>
        <v>Inactive</v>
      </c>
    </row>
    <row r="501" spans="1:8" x14ac:dyDescent="0.2">
      <c r="A501">
        <v>1500</v>
      </c>
      <c r="B501" t="s">
        <v>9</v>
      </c>
      <c r="C501" t="s">
        <v>12</v>
      </c>
      <c r="D501" s="1">
        <v>45358</v>
      </c>
      <c r="E501">
        <v>89</v>
      </c>
      <c r="F501">
        <v>1</v>
      </c>
      <c r="G501">
        <f>IF(Gym_Expansion_Data[[#This Row],[Churned]]=0,1,0)</f>
        <v>0</v>
      </c>
      <c r="H501" t="str">
        <f>IF(Gym_Expansion_Data[[#This Row],[Active Member]]=1,Gym_Expansion_Data[[#This Row],[Tier]],"Inactive")</f>
        <v>Inactive</v>
      </c>
    </row>
    <row r="502" spans="1:8" x14ac:dyDescent="0.2">
      <c r="A502">
        <v>1501</v>
      </c>
      <c r="B502" t="s">
        <v>9</v>
      </c>
      <c r="C502" t="s">
        <v>7</v>
      </c>
      <c r="D502" s="1">
        <v>45298</v>
      </c>
      <c r="E502">
        <v>49</v>
      </c>
      <c r="F502">
        <v>0</v>
      </c>
      <c r="G502">
        <f>IF(Gym_Expansion_Data[[#This Row],[Churned]]=0,1,0)</f>
        <v>1</v>
      </c>
      <c r="H502" t="str">
        <f>IF(Gym_Expansion_Data[[#This Row],[Active Member]]=1,Gym_Expansion_Data[[#This Row],[Tier]],"Inactive")</f>
        <v>Basic</v>
      </c>
    </row>
    <row r="503" spans="1:8" x14ac:dyDescent="0.2">
      <c r="A503">
        <v>1502</v>
      </c>
      <c r="B503" t="s">
        <v>9</v>
      </c>
      <c r="C503" t="s">
        <v>8</v>
      </c>
      <c r="D503" s="1">
        <v>45545</v>
      </c>
      <c r="E503">
        <v>129</v>
      </c>
      <c r="F503">
        <v>0</v>
      </c>
      <c r="G503">
        <f>IF(Gym_Expansion_Data[[#This Row],[Churned]]=0,1,0)</f>
        <v>1</v>
      </c>
      <c r="H503" t="str">
        <f>IF(Gym_Expansion_Data[[#This Row],[Active Member]]=1,Gym_Expansion_Data[[#This Row],[Tier]],"Inactive")</f>
        <v>Elite</v>
      </c>
    </row>
    <row r="504" spans="1:8" x14ac:dyDescent="0.2">
      <c r="A504">
        <v>1503</v>
      </c>
      <c r="B504" t="s">
        <v>11</v>
      </c>
      <c r="C504" t="s">
        <v>7</v>
      </c>
      <c r="D504" s="1">
        <v>45299</v>
      </c>
      <c r="E504">
        <v>49</v>
      </c>
      <c r="F504">
        <v>0</v>
      </c>
      <c r="G504">
        <f>IF(Gym_Expansion_Data[[#This Row],[Churned]]=0,1,0)</f>
        <v>1</v>
      </c>
      <c r="H504" t="str">
        <f>IF(Gym_Expansion_Data[[#This Row],[Active Member]]=1,Gym_Expansion_Data[[#This Row],[Tier]],"Inactive")</f>
        <v>Basic</v>
      </c>
    </row>
    <row r="505" spans="1:8" x14ac:dyDescent="0.2">
      <c r="A505">
        <v>1504</v>
      </c>
      <c r="B505" t="s">
        <v>6</v>
      </c>
      <c r="C505" t="s">
        <v>12</v>
      </c>
      <c r="D505" s="1">
        <v>45627</v>
      </c>
      <c r="E505">
        <v>89</v>
      </c>
      <c r="F505">
        <v>0</v>
      </c>
      <c r="G505">
        <f>IF(Gym_Expansion_Data[[#This Row],[Churned]]=0,1,0)</f>
        <v>1</v>
      </c>
      <c r="H505" t="str">
        <f>IF(Gym_Expansion_Data[[#This Row],[Active Member]]=1,Gym_Expansion_Data[[#This Row],[Tier]],"Inactive")</f>
        <v>Premium</v>
      </c>
    </row>
    <row r="506" spans="1:8" x14ac:dyDescent="0.2">
      <c r="A506">
        <v>1505</v>
      </c>
      <c r="B506" t="s">
        <v>9</v>
      </c>
      <c r="C506" t="s">
        <v>7</v>
      </c>
      <c r="D506" s="1">
        <v>45687</v>
      </c>
      <c r="E506">
        <v>49</v>
      </c>
      <c r="F506">
        <v>0</v>
      </c>
      <c r="G506">
        <f>IF(Gym_Expansion_Data[[#This Row],[Churned]]=0,1,0)</f>
        <v>1</v>
      </c>
      <c r="H506" t="str">
        <f>IF(Gym_Expansion_Data[[#This Row],[Active Member]]=1,Gym_Expansion_Data[[#This Row],[Tier]],"Inactive")</f>
        <v>Basic</v>
      </c>
    </row>
    <row r="507" spans="1:8" x14ac:dyDescent="0.2">
      <c r="A507">
        <v>1506</v>
      </c>
      <c r="B507" t="s">
        <v>6</v>
      </c>
      <c r="C507" t="s">
        <v>12</v>
      </c>
      <c r="D507" s="1">
        <v>45802</v>
      </c>
      <c r="E507">
        <v>89</v>
      </c>
      <c r="F507">
        <v>0</v>
      </c>
      <c r="G507">
        <f>IF(Gym_Expansion_Data[[#This Row],[Churned]]=0,1,0)</f>
        <v>1</v>
      </c>
      <c r="H507" t="str">
        <f>IF(Gym_Expansion_Data[[#This Row],[Active Member]]=1,Gym_Expansion_Data[[#This Row],[Tier]],"Inactive")</f>
        <v>Premium</v>
      </c>
    </row>
    <row r="508" spans="1:8" x14ac:dyDescent="0.2">
      <c r="A508">
        <v>1507</v>
      </c>
      <c r="B508" t="s">
        <v>11</v>
      </c>
      <c r="C508" t="s">
        <v>12</v>
      </c>
      <c r="D508" s="1">
        <v>45362</v>
      </c>
      <c r="E508">
        <v>89</v>
      </c>
      <c r="F508">
        <v>0</v>
      </c>
      <c r="G508">
        <f>IF(Gym_Expansion_Data[[#This Row],[Churned]]=0,1,0)</f>
        <v>1</v>
      </c>
      <c r="H508" t="str">
        <f>IF(Gym_Expansion_Data[[#This Row],[Active Member]]=1,Gym_Expansion_Data[[#This Row],[Tier]],"Inactive")</f>
        <v>Premium</v>
      </c>
    </row>
    <row r="509" spans="1:8" x14ac:dyDescent="0.2">
      <c r="A509">
        <v>1508</v>
      </c>
      <c r="B509" t="s">
        <v>9</v>
      </c>
      <c r="C509" t="s">
        <v>12</v>
      </c>
      <c r="D509" s="1">
        <v>45755</v>
      </c>
      <c r="E509">
        <v>89</v>
      </c>
      <c r="F509">
        <v>0</v>
      </c>
      <c r="G509">
        <f>IF(Gym_Expansion_Data[[#This Row],[Churned]]=0,1,0)</f>
        <v>1</v>
      </c>
      <c r="H509" t="str">
        <f>IF(Gym_Expansion_Data[[#This Row],[Active Member]]=1,Gym_Expansion_Data[[#This Row],[Tier]],"Inactive")</f>
        <v>Premium</v>
      </c>
    </row>
    <row r="510" spans="1:8" x14ac:dyDescent="0.2">
      <c r="A510">
        <v>1509</v>
      </c>
      <c r="B510" t="s">
        <v>6</v>
      </c>
      <c r="C510" t="s">
        <v>7</v>
      </c>
      <c r="D510" s="1">
        <v>45566</v>
      </c>
      <c r="E510">
        <v>49</v>
      </c>
      <c r="F510">
        <v>0</v>
      </c>
      <c r="G510">
        <f>IF(Gym_Expansion_Data[[#This Row],[Churned]]=0,1,0)</f>
        <v>1</v>
      </c>
      <c r="H510" t="str">
        <f>IF(Gym_Expansion_Data[[#This Row],[Active Member]]=1,Gym_Expansion_Data[[#This Row],[Tier]],"Inactive")</f>
        <v>Basic</v>
      </c>
    </row>
    <row r="511" spans="1:8" x14ac:dyDescent="0.2">
      <c r="A511">
        <v>1510</v>
      </c>
      <c r="B511" t="s">
        <v>9</v>
      </c>
      <c r="C511" t="s">
        <v>7</v>
      </c>
      <c r="D511" s="1">
        <v>45411</v>
      </c>
      <c r="E511">
        <v>49</v>
      </c>
      <c r="F511">
        <v>0</v>
      </c>
      <c r="G511">
        <f>IF(Gym_Expansion_Data[[#This Row],[Churned]]=0,1,0)</f>
        <v>1</v>
      </c>
      <c r="H511" t="str">
        <f>IF(Gym_Expansion_Data[[#This Row],[Active Member]]=1,Gym_Expansion_Data[[#This Row],[Tier]],"Inactive")</f>
        <v>Basic</v>
      </c>
    </row>
    <row r="512" spans="1:8" x14ac:dyDescent="0.2">
      <c r="A512">
        <v>1511</v>
      </c>
      <c r="B512" t="s">
        <v>9</v>
      </c>
      <c r="C512" t="s">
        <v>12</v>
      </c>
      <c r="D512" s="1">
        <v>45883</v>
      </c>
      <c r="E512">
        <v>89</v>
      </c>
      <c r="F512">
        <v>0</v>
      </c>
      <c r="G512">
        <f>IF(Gym_Expansion_Data[[#This Row],[Churned]]=0,1,0)</f>
        <v>1</v>
      </c>
      <c r="H512" t="str">
        <f>IF(Gym_Expansion_Data[[#This Row],[Active Member]]=1,Gym_Expansion_Data[[#This Row],[Tier]],"Inactive")</f>
        <v>Premium</v>
      </c>
    </row>
    <row r="513" spans="1:8" x14ac:dyDescent="0.2">
      <c r="A513">
        <v>1512</v>
      </c>
      <c r="B513" t="s">
        <v>10</v>
      </c>
      <c r="C513" t="s">
        <v>12</v>
      </c>
      <c r="D513" s="1">
        <v>45937</v>
      </c>
      <c r="E513">
        <v>89</v>
      </c>
      <c r="F513">
        <v>0</v>
      </c>
      <c r="G513">
        <f>IF(Gym_Expansion_Data[[#This Row],[Churned]]=0,1,0)</f>
        <v>1</v>
      </c>
      <c r="H513" t="str">
        <f>IF(Gym_Expansion_Data[[#This Row],[Active Member]]=1,Gym_Expansion_Data[[#This Row],[Tier]],"Inactive")</f>
        <v>Premium</v>
      </c>
    </row>
    <row r="514" spans="1:8" x14ac:dyDescent="0.2">
      <c r="A514">
        <v>1513</v>
      </c>
      <c r="B514" t="s">
        <v>9</v>
      </c>
      <c r="C514" t="s">
        <v>8</v>
      </c>
      <c r="D514" s="1">
        <v>45984</v>
      </c>
      <c r="E514">
        <v>129</v>
      </c>
      <c r="F514">
        <v>0</v>
      </c>
      <c r="G514">
        <f>IF(Gym_Expansion_Data[[#This Row],[Churned]]=0,1,0)</f>
        <v>1</v>
      </c>
      <c r="H514" t="str">
        <f>IF(Gym_Expansion_Data[[#This Row],[Active Member]]=1,Gym_Expansion_Data[[#This Row],[Tier]],"Inactive")</f>
        <v>Elite</v>
      </c>
    </row>
    <row r="515" spans="1:8" x14ac:dyDescent="0.2">
      <c r="A515">
        <v>1514</v>
      </c>
      <c r="B515" t="s">
        <v>9</v>
      </c>
      <c r="C515" t="s">
        <v>8</v>
      </c>
      <c r="D515" s="1">
        <v>45348</v>
      </c>
      <c r="E515">
        <v>129</v>
      </c>
      <c r="F515">
        <v>0</v>
      </c>
      <c r="G515">
        <f>IF(Gym_Expansion_Data[[#This Row],[Churned]]=0,1,0)</f>
        <v>1</v>
      </c>
      <c r="H515" t="str">
        <f>IF(Gym_Expansion_Data[[#This Row],[Active Member]]=1,Gym_Expansion_Data[[#This Row],[Tier]],"Inactive")</f>
        <v>Elite</v>
      </c>
    </row>
    <row r="516" spans="1:8" x14ac:dyDescent="0.2">
      <c r="A516">
        <v>1515</v>
      </c>
      <c r="B516" t="s">
        <v>11</v>
      </c>
      <c r="C516" t="s">
        <v>7</v>
      </c>
      <c r="D516" s="1">
        <v>45984</v>
      </c>
      <c r="E516">
        <v>49</v>
      </c>
      <c r="F516">
        <v>0</v>
      </c>
      <c r="G516">
        <f>IF(Gym_Expansion_Data[[#This Row],[Churned]]=0,1,0)</f>
        <v>1</v>
      </c>
      <c r="H516" t="str">
        <f>IF(Gym_Expansion_Data[[#This Row],[Active Member]]=1,Gym_Expansion_Data[[#This Row],[Tier]],"Inactive")</f>
        <v>Basic</v>
      </c>
    </row>
    <row r="517" spans="1:8" x14ac:dyDescent="0.2">
      <c r="A517">
        <v>1516</v>
      </c>
      <c r="B517" t="s">
        <v>9</v>
      </c>
      <c r="C517" t="s">
        <v>7</v>
      </c>
      <c r="D517" s="1">
        <v>45454</v>
      </c>
      <c r="E517">
        <v>49</v>
      </c>
      <c r="F517">
        <v>0</v>
      </c>
      <c r="G517">
        <f>IF(Gym_Expansion_Data[[#This Row],[Churned]]=0,1,0)</f>
        <v>1</v>
      </c>
      <c r="H517" t="str">
        <f>IF(Gym_Expansion_Data[[#This Row],[Active Member]]=1,Gym_Expansion_Data[[#This Row],[Tier]],"Inactive")</f>
        <v>Basic</v>
      </c>
    </row>
    <row r="518" spans="1:8" x14ac:dyDescent="0.2">
      <c r="A518">
        <v>1517</v>
      </c>
      <c r="B518" t="s">
        <v>9</v>
      </c>
      <c r="C518" t="s">
        <v>8</v>
      </c>
      <c r="D518" s="1">
        <v>45535</v>
      </c>
      <c r="E518">
        <v>129</v>
      </c>
      <c r="F518">
        <v>0</v>
      </c>
      <c r="G518">
        <f>IF(Gym_Expansion_Data[[#This Row],[Churned]]=0,1,0)</f>
        <v>1</v>
      </c>
      <c r="H518" t="str">
        <f>IF(Gym_Expansion_Data[[#This Row],[Active Member]]=1,Gym_Expansion_Data[[#This Row],[Tier]],"Inactive")</f>
        <v>Elite</v>
      </c>
    </row>
    <row r="519" spans="1:8" x14ac:dyDescent="0.2">
      <c r="A519">
        <v>1518</v>
      </c>
      <c r="B519" t="s">
        <v>9</v>
      </c>
      <c r="C519" t="s">
        <v>7</v>
      </c>
      <c r="D519" s="1">
        <v>45471</v>
      </c>
      <c r="E519">
        <v>49</v>
      </c>
      <c r="F519">
        <v>0</v>
      </c>
      <c r="G519">
        <f>IF(Gym_Expansion_Data[[#This Row],[Churned]]=0,1,0)</f>
        <v>1</v>
      </c>
      <c r="H519" t="str">
        <f>IF(Gym_Expansion_Data[[#This Row],[Active Member]]=1,Gym_Expansion_Data[[#This Row],[Tier]],"Inactive")</f>
        <v>Basic</v>
      </c>
    </row>
    <row r="520" spans="1:8" x14ac:dyDescent="0.2">
      <c r="A520">
        <v>1519</v>
      </c>
      <c r="B520" t="s">
        <v>11</v>
      </c>
      <c r="C520" t="s">
        <v>7</v>
      </c>
      <c r="D520" s="1">
        <v>45893</v>
      </c>
      <c r="E520">
        <v>49</v>
      </c>
      <c r="F520">
        <v>0</v>
      </c>
      <c r="G520">
        <f>IF(Gym_Expansion_Data[[#This Row],[Churned]]=0,1,0)</f>
        <v>1</v>
      </c>
      <c r="H520" t="str">
        <f>IF(Gym_Expansion_Data[[#This Row],[Active Member]]=1,Gym_Expansion_Data[[#This Row],[Tier]],"Inactive")</f>
        <v>Basic</v>
      </c>
    </row>
    <row r="521" spans="1:8" x14ac:dyDescent="0.2">
      <c r="A521">
        <v>1520</v>
      </c>
      <c r="B521" t="s">
        <v>11</v>
      </c>
      <c r="C521" t="s">
        <v>7</v>
      </c>
      <c r="D521" s="1">
        <v>45372</v>
      </c>
      <c r="E521">
        <v>49</v>
      </c>
      <c r="F521">
        <v>0</v>
      </c>
      <c r="G521">
        <f>IF(Gym_Expansion_Data[[#This Row],[Churned]]=0,1,0)</f>
        <v>1</v>
      </c>
      <c r="H521" t="str">
        <f>IF(Gym_Expansion_Data[[#This Row],[Active Member]]=1,Gym_Expansion_Data[[#This Row],[Tier]],"Inactive")</f>
        <v>Basic</v>
      </c>
    </row>
    <row r="522" spans="1:8" x14ac:dyDescent="0.2">
      <c r="A522">
        <v>1521</v>
      </c>
      <c r="B522" t="s">
        <v>6</v>
      </c>
      <c r="C522" t="s">
        <v>12</v>
      </c>
      <c r="D522" s="1">
        <v>45428</v>
      </c>
      <c r="E522">
        <v>89</v>
      </c>
      <c r="F522">
        <v>0</v>
      </c>
      <c r="G522">
        <f>IF(Gym_Expansion_Data[[#This Row],[Churned]]=0,1,0)</f>
        <v>1</v>
      </c>
      <c r="H522" t="str">
        <f>IF(Gym_Expansion_Data[[#This Row],[Active Member]]=1,Gym_Expansion_Data[[#This Row],[Tier]],"Inactive")</f>
        <v>Premium</v>
      </c>
    </row>
    <row r="523" spans="1:8" x14ac:dyDescent="0.2">
      <c r="A523">
        <v>1522</v>
      </c>
      <c r="B523" t="s">
        <v>6</v>
      </c>
      <c r="C523" t="s">
        <v>12</v>
      </c>
      <c r="D523" s="1">
        <v>45599</v>
      </c>
      <c r="E523">
        <v>89</v>
      </c>
      <c r="F523">
        <v>0</v>
      </c>
      <c r="G523">
        <f>IF(Gym_Expansion_Data[[#This Row],[Churned]]=0,1,0)</f>
        <v>1</v>
      </c>
      <c r="H523" t="str">
        <f>IF(Gym_Expansion_Data[[#This Row],[Active Member]]=1,Gym_Expansion_Data[[#This Row],[Tier]],"Inactive")</f>
        <v>Premium</v>
      </c>
    </row>
    <row r="524" spans="1:8" x14ac:dyDescent="0.2">
      <c r="A524">
        <v>1523</v>
      </c>
      <c r="B524" t="s">
        <v>6</v>
      </c>
      <c r="C524" t="s">
        <v>8</v>
      </c>
      <c r="D524" s="1">
        <v>45304</v>
      </c>
      <c r="E524">
        <v>129</v>
      </c>
      <c r="F524">
        <v>0</v>
      </c>
      <c r="G524">
        <f>IF(Gym_Expansion_Data[[#This Row],[Churned]]=0,1,0)</f>
        <v>1</v>
      </c>
      <c r="H524" t="str">
        <f>IF(Gym_Expansion_Data[[#This Row],[Active Member]]=1,Gym_Expansion_Data[[#This Row],[Tier]],"Inactive")</f>
        <v>Elite</v>
      </c>
    </row>
    <row r="525" spans="1:8" x14ac:dyDescent="0.2">
      <c r="A525">
        <v>1524</v>
      </c>
      <c r="B525" t="s">
        <v>9</v>
      </c>
      <c r="C525" t="s">
        <v>7</v>
      </c>
      <c r="D525" s="1">
        <v>45475</v>
      </c>
      <c r="E525">
        <v>49</v>
      </c>
      <c r="F525">
        <v>0</v>
      </c>
      <c r="G525">
        <f>IF(Gym_Expansion_Data[[#This Row],[Churned]]=0,1,0)</f>
        <v>1</v>
      </c>
      <c r="H525" t="str">
        <f>IF(Gym_Expansion_Data[[#This Row],[Active Member]]=1,Gym_Expansion_Data[[#This Row],[Tier]],"Inactive")</f>
        <v>Basic</v>
      </c>
    </row>
    <row r="526" spans="1:8" x14ac:dyDescent="0.2">
      <c r="A526">
        <v>1525</v>
      </c>
      <c r="B526" t="s">
        <v>10</v>
      </c>
      <c r="C526" t="s">
        <v>12</v>
      </c>
      <c r="D526" s="1">
        <v>45905</v>
      </c>
      <c r="E526">
        <v>89</v>
      </c>
      <c r="F526">
        <v>0</v>
      </c>
      <c r="G526">
        <f>IF(Gym_Expansion_Data[[#This Row],[Churned]]=0,1,0)</f>
        <v>1</v>
      </c>
      <c r="H526" t="str">
        <f>IF(Gym_Expansion_Data[[#This Row],[Active Member]]=1,Gym_Expansion_Data[[#This Row],[Tier]],"Inactive")</f>
        <v>Premium</v>
      </c>
    </row>
    <row r="527" spans="1:8" x14ac:dyDescent="0.2">
      <c r="A527">
        <v>1526</v>
      </c>
      <c r="B527" t="s">
        <v>10</v>
      </c>
      <c r="C527" t="s">
        <v>7</v>
      </c>
      <c r="D527" s="1">
        <v>45961</v>
      </c>
      <c r="E527">
        <v>49</v>
      </c>
      <c r="F527">
        <v>0</v>
      </c>
      <c r="G527">
        <f>IF(Gym_Expansion_Data[[#This Row],[Churned]]=0,1,0)</f>
        <v>1</v>
      </c>
      <c r="H527" t="str">
        <f>IF(Gym_Expansion_Data[[#This Row],[Active Member]]=1,Gym_Expansion_Data[[#This Row],[Tier]],"Inactive")</f>
        <v>Basic</v>
      </c>
    </row>
    <row r="528" spans="1:8" x14ac:dyDescent="0.2">
      <c r="A528">
        <v>1527</v>
      </c>
      <c r="B528" t="s">
        <v>9</v>
      </c>
      <c r="C528" t="s">
        <v>8</v>
      </c>
      <c r="D528" s="1">
        <v>45706</v>
      </c>
      <c r="E528">
        <v>129</v>
      </c>
      <c r="F528">
        <v>0</v>
      </c>
      <c r="G528">
        <f>IF(Gym_Expansion_Data[[#This Row],[Churned]]=0,1,0)</f>
        <v>1</v>
      </c>
      <c r="H528" t="str">
        <f>IF(Gym_Expansion_Data[[#This Row],[Active Member]]=1,Gym_Expansion_Data[[#This Row],[Tier]],"Inactive")</f>
        <v>Elite</v>
      </c>
    </row>
    <row r="529" spans="1:8" x14ac:dyDescent="0.2">
      <c r="A529">
        <v>1528</v>
      </c>
      <c r="B529" t="s">
        <v>6</v>
      </c>
      <c r="C529" t="s">
        <v>12</v>
      </c>
      <c r="D529" s="1">
        <v>45520</v>
      </c>
      <c r="E529">
        <v>89</v>
      </c>
      <c r="F529">
        <v>0</v>
      </c>
      <c r="G529">
        <f>IF(Gym_Expansion_Data[[#This Row],[Churned]]=0,1,0)</f>
        <v>1</v>
      </c>
      <c r="H529" t="str">
        <f>IF(Gym_Expansion_Data[[#This Row],[Active Member]]=1,Gym_Expansion_Data[[#This Row],[Tier]],"Inactive")</f>
        <v>Premium</v>
      </c>
    </row>
    <row r="530" spans="1:8" x14ac:dyDescent="0.2">
      <c r="A530">
        <v>1529</v>
      </c>
      <c r="B530" t="s">
        <v>11</v>
      </c>
      <c r="C530" t="s">
        <v>7</v>
      </c>
      <c r="D530" s="1">
        <v>45870</v>
      </c>
      <c r="E530">
        <v>49</v>
      </c>
      <c r="F530">
        <v>0</v>
      </c>
      <c r="G530">
        <f>IF(Gym_Expansion_Data[[#This Row],[Churned]]=0,1,0)</f>
        <v>1</v>
      </c>
      <c r="H530" t="str">
        <f>IF(Gym_Expansion_Data[[#This Row],[Active Member]]=1,Gym_Expansion_Data[[#This Row],[Tier]],"Inactive")</f>
        <v>Basic</v>
      </c>
    </row>
    <row r="531" spans="1:8" x14ac:dyDescent="0.2">
      <c r="A531">
        <v>1530</v>
      </c>
      <c r="B531" t="s">
        <v>9</v>
      </c>
      <c r="C531" t="s">
        <v>7</v>
      </c>
      <c r="D531" s="1">
        <v>45621</v>
      </c>
      <c r="E531">
        <v>49</v>
      </c>
      <c r="F531">
        <v>0</v>
      </c>
      <c r="G531">
        <f>IF(Gym_Expansion_Data[[#This Row],[Churned]]=0,1,0)</f>
        <v>1</v>
      </c>
      <c r="H531" t="str">
        <f>IF(Gym_Expansion_Data[[#This Row],[Active Member]]=1,Gym_Expansion_Data[[#This Row],[Tier]],"Inactive")</f>
        <v>Basic</v>
      </c>
    </row>
    <row r="532" spans="1:8" x14ac:dyDescent="0.2">
      <c r="A532">
        <v>1531</v>
      </c>
      <c r="B532" t="s">
        <v>6</v>
      </c>
      <c r="C532" t="s">
        <v>12</v>
      </c>
      <c r="D532" s="1">
        <v>45934</v>
      </c>
      <c r="E532">
        <v>89</v>
      </c>
      <c r="F532">
        <v>0</v>
      </c>
      <c r="G532">
        <f>IF(Gym_Expansion_Data[[#This Row],[Churned]]=0,1,0)</f>
        <v>1</v>
      </c>
      <c r="H532" t="str">
        <f>IF(Gym_Expansion_Data[[#This Row],[Active Member]]=1,Gym_Expansion_Data[[#This Row],[Tier]],"Inactive")</f>
        <v>Premium</v>
      </c>
    </row>
    <row r="533" spans="1:8" x14ac:dyDescent="0.2">
      <c r="A533">
        <v>1532</v>
      </c>
      <c r="B533" t="s">
        <v>9</v>
      </c>
      <c r="C533" t="s">
        <v>12</v>
      </c>
      <c r="D533" s="1">
        <v>45469</v>
      </c>
      <c r="E533">
        <v>89</v>
      </c>
      <c r="F533">
        <v>0</v>
      </c>
      <c r="G533">
        <f>IF(Gym_Expansion_Data[[#This Row],[Churned]]=0,1,0)</f>
        <v>1</v>
      </c>
      <c r="H533" t="str">
        <f>IF(Gym_Expansion_Data[[#This Row],[Active Member]]=1,Gym_Expansion_Data[[#This Row],[Tier]],"Inactive")</f>
        <v>Premium</v>
      </c>
    </row>
    <row r="534" spans="1:8" x14ac:dyDescent="0.2">
      <c r="A534">
        <v>1533</v>
      </c>
      <c r="B534" t="s">
        <v>10</v>
      </c>
      <c r="C534" t="s">
        <v>8</v>
      </c>
      <c r="D534" s="1">
        <v>45501</v>
      </c>
      <c r="E534">
        <v>129</v>
      </c>
      <c r="F534">
        <v>0</v>
      </c>
      <c r="G534">
        <f>IF(Gym_Expansion_Data[[#This Row],[Churned]]=0,1,0)</f>
        <v>1</v>
      </c>
      <c r="H534" t="str">
        <f>IF(Gym_Expansion_Data[[#This Row],[Active Member]]=1,Gym_Expansion_Data[[#This Row],[Tier]],"Inactive")</f>
        <v>Elite</v>
      </c>
    </row>
    <row r="535" spans="1:8" x14ac:dyDescent="0.2">
      <c r="A535">
        <v>1534</v>
      </c>
      <c r="B535" t="s">
        <v>10</v>
      </c>
      <c r="C535" t="s">
        <v>12</v>
      </c>
      <c r="D535" s="1">
        <v>45604</v>
      </c>
      <c r="E535">
        <v>89</v>
      </c>
      <c r="F535">
        <v>0</v>
      </c>
      <c r="G535">
        <f>IF(Gym_Expansion_Data[[#This Row],[Churned]]=0,1,0)</f>
        <v>1</v>
      </c>
      <c r="H535" t="str">
        <f>IF(Gym_Expansion_Data[[#This Row],[Active Member]]=1,Gym_Expansion_Data[[#This Row],[Tier]],"Inactive")</f>
        <v>Premium</v>
      </c>
    </row>
    <row r="536" spans="1:8" x14ac:dyDescent="0.2">
      <c r="A536">
        <v>1535</v>
      </c>
      <c r="B536" t="s">
        <v>11</v>
      </c>
      <c r="C536" t="s">
        <v>7</v>
      </c>
      <c r="D536" s="1">
        <v>45657</v>
      </c>
      <c r="E536">
        <v>49</v>
      </c>
      <c r="F536">
        <v>0</v>
      </c>
      <c r="G536">
        <f>IF(Gym_Expansion_Data[[#This Row],[Churned]]=0,1,0)</f>
        <v>1</v>
      </c>
      <c r="H536" t="str">
        <f>IF(Gym_Expansion_Data[[#This Row],[Active Member]]=1,Gym_Expansion_Data[[#This Row],[Tier]],"Inactive")</f>
        <v>Basic</v>
      </c>
    </row>
    <row r="537" spans="1:8" x14ac:dyDescent="0.2">
      <c r="A537">
        <v>1536</v>
      </c>
      <c r="B537" t="s">
        <v>9</v>
      </c>
      <c r="C537" t="s">
        <v>8</v>
      </c>
      <c r="D537" s="1">
        <v>45756</v>
      </c>
      <c r="E537">
        <v>129</v>
      </c>
      <c r="F537">
        <v>0</v>
      </c>
      <c r="G537">
        <f>IF(Gym_Expansion_Data[[#This Row],[Churned]]=0,1,0)</f>
        <v>1</v>
      </c>
      <c r="H537" t="str">
        <f>IF(Gym_Expansion_Data[[#This Row],[Active Member]]=1,Gym_Expansion_Data[[#This Row],[Tier]],"Inactive")</f>
        <v>Elite</v>
      </c>
    </row>
    <row r="538" spans="1:8" x14ac:dyDescent="0.2">
      <c r="A538">
        <v>1537</v>
      </c>
      <c r="B538" t="s">
        <v>9</v>
      </c>
      <c r="C538" t="s">
        <v>8</v>
      </c>
      <c r="D538" s="1">
        <v>45975</v>
      </c>
      <c r="E538">
        <v>129</v>
      </c>
      <c r="F538">
        <v>0</v>
      </c>
      <c r="G538">
        <f>IF(Gym_Expansion_Data[[#This Row],[Churned]]=0,1,0)</f>
        <v>1</v>
      </c>
      <c r="H538" t="str">
        <f>IF(Gym_Expansion_Data[[#This Row],[Active Member]]=1,Gym_Expansion_Data[[#This Row],[Tier]],"Inactive")</f>
        <v>Elite</v>
      </c>
    </row>
    <row r="539" spans="1:8" x14ac:dyDescent="0.2">
      <c r="A539">
        <v>1538</v>
      </c>
      <c r="B539" t="s">
        <v>11</v>
      </c>
      <c r="C539" t="s">
        <v>7</v>
      </c>
      <c r="D539" s="1">
        <v>45517</v>
      </c>
      <c r="E539">
        <v>49</v>
      </c>
      <c r="F539">
        <v>1</v>
      </c>
      <c r="G539">
        <f>IF(Gym_Expansion_Data[[#This Row],[Churned]]=0,1,0)</f>
        <v>0</v>
      </c>
      <c r="H539" t="str">
        <f>IF(Gym_Expansion_Data[[#This Row],[Active Member]]=1,Gym_Expansion_Data[[#This Row],[Tier]],"Inactive")</f>
        <v>Inactive</v>
      </c>
    </row>
    <row r="540" spans="1:8" x14ac:dyDescent="0.2">
      <c r="A540">
        <v>1539</v>
      </c>
      <c r="B540" t="s">
        <v>11</v>
      </c>
      <c r="C540" t="s">
        <v>7</v>
      </c>
      <c r="D540" s="1">
        <v>45646</v>
      </c>
      <c r="E540">
        <v>49</v>
      </c>
      <c r="F540">
        <v>0</v>
      </c>
      <c r="G540">
        <f>IF(Gym_Expansion_Data[[#This Row],[Churned]]=0,1,0)</f>
        <v>1</v>
      </c>
      <c r="H540" t="str">
        <f>IF(Gym_Expansion_Data[[#This Row],[Active Member]]=1,Gym_Expansion_Data[[#This Row],[Tier]],"Inactive")</f>
        <v>Basic</v>
      </c>
    </row>
    <row r="541" spans="1:8" x14ac:dyDescent="0.2">
      <c r="A541">
        <v>1540</v>
      </c>
      <c r="B541" t="s">
        <v>9</v>
      </c>
      <c r="C541" t="s">
        <v>7</v>
      </c>
      <c r="D541" s="1">
        <v>45382</v>
      </c>
      <c r="E541">
        <v>49</v>
      </c>
      <c r="F541">
        <v>0</v>
      </c>
      <c r="G541">
        <f>IF(Gym_Expansion_Data[[#This Row],[Churned]]=0,1,0)</f>
        <v>1</v>
      </c>
      <c r="H541" t="str">
        <f>IF(Gym_Expansion_Data[[#This Row],[Active Member]]=1,Gym_Expansion_Data[[#This Row],[Tier]],"Inactive")</f>
        <v>Basic</v>
      </c>
    </row>
    <row r="542" spans="1:8" x14ac:dyDescent="0.2">
      <c r="A542">
        <v>1541</v>
      </c>
      <c r="B542" t="s">
        <v>10</v>
      </c>
      <c r="C542" t="s">
        <v>7</v>
      </c>
      <c r="D542" s="1">
        <v>45983</v>
      </c>
      <c r="E542">
        <v>49</v>
      </c>
      <c r="F542">
        <v>0</v>
      </c>
      <c r="G542">
        <f>IF(Gym_Expansion_Data[[#This Row],[Churned]]=0,1,0)</f>
        <v>1</v>
      </c>
      <c r="H542" t="str">
        <f>IF(Gym_Expansion_Data[[#This Row],[Active Member]]=1,Gym_Expansion_Data[[#This Row],[Tier]],"Inactive")</f>
        <v>Basic</v>
      </c>
    </row>
    <row r="543" spans="1:8" x14ac:dyDescent="0.2">
      <c r="A543">
        <v>1542</v>
      </c>
      <c r="B543" t="s">
        <v>6</v>
      </c>
      <c r="C543" t="s">
        <v>12</v>
      </c>
      <c r="D543" s="1">
        <v>45917</v>
      </c>
      <c r="E543">
        <v>89</v>
      </c>
      <c r="F543">
        <v>0</v>
      </c>
      <c r="G543">
        <f>IF(Gym_Expansion_Data[[#This Row],[Churned]]=0,1,0)</f>
        <v>1</v>
      </c>
      <c r="H543" t="str">
        <f>IF(Gym_Expansion_Data[[#This Row],[Active Member]]=1,Gym_Expansion_Data[[#This Row],[Tier]],"Inactive")</f>
        <v>Premium</v>
      </c>
    </row>
    <row r="544" spans="1:8" x14ac:dyDescent="0.2">
      <c r="A544">
        <v>1543</v>
      </c>
      <c r="B544" t="s">
        <v>11</v>
      </c>
      <c r="C544" t="s">
        <v>8</v>
      </c>
      <c r="D544" s="1">
        <v>45938</v>
      </c>
      <c r="E544">
        <v>129</v>
      </c>
      <c r="F544">
        <v>0</v>
      </c>
      <c r="G544">
        <f>IF(Gym_Expansion_Data[[#This Row],[Churned]]=0,1,0)</f>
        <v>1</v>
      </c>
      <c r="H544" t="str">
        <f>IF(Gym_Expansion_Data[[#This Row],[Active Member]]=1,Gym_Expansion_Data[[#This Row],[Tier]],"Inactive")</f>
        <v>Elite</v>
      </c>
    </row>
    <row r="545" spans="1:8" x14ac:dyDescent="0.2">
      <c r="A545">
        <v>1544</v>
      </c>
      <c r="B545" t="s">
        <v>9</v>
      </c>
      <c r="C545" t="s">
        <v>7</v>
      </c>
      <c r="D545" s="1">
        <v>45307</v>
      </c>
      <c r="E545">
        <v>49</v>
      </c>
      <c r="F545">
        <v>0</v>
      </c>
      <c r="G545">
        <f>IF(Gym_Expansion_Data[[#This Row],[Churned]]=0,1,0)</f>
        <v>1</v>
      </c>
      <c r="H545" t="str">
        <f>IF(Gym_Expansion_Data[[#This Row],[Active Member]]=1,Gym_Expansion_Data[[#This Row],[Tier]],"Inactive")</f>
        <v>Basic</v>
      </c>
    </row>
    <row r="546" spans="1:8" x14ac:dyDescent="0.2">
      <c r="A546">
        <v>1545</v>
      </c>
      <c r="B546" t="s">
        <v>11</v>
      </c>
      <c r="C546" t="s">
        <v>12</v>
      </c>
      <c r="D546" s="1">
        <v>45836</v>
      </c>
      <c r="E546">
        <v>89</v>
      </c>
      <c r="F546">
        <v>0</v>
      </c>
      <c r="G546">
        <f>IF(Gym_Expansion_Data[[#This Row],[Churned]]=0,1,0)</f>
        <v>1</v>
      </c>
      <c r="H546" t="str">
        <f>IF(Gym_Expansion_Data[[#This Row],[Active Member]]=1,Gym_Expansion_Data[[#This Row],[Tier]],"Inactive")</f>
        <v>Premium</v>
      </c>
    </row>
    <row r="547" spans="1:8" x14ac:dyDescent="0.2">
      <c r="A547">
        <v>1546</v>
      </c>
      <c r="B547" t="s">
        <v>10</v>
      </c>
      <c r="C547" t="s">
        <v>8</v>
      </c>
      <c r="D547" s="1">
        <v>45461</v>
      </c>
      <c r="E547">
        <v>129</v>
      </c>
      <c r="F547">
        <v>1</v>
      </c>
      <c r="G547">
        <f>IF(Gym_Expansion_Data[[#This Row],[Churned]]=0,1,0)</f>
        <v>0</v>
      </c>
      <c r="H547" t="str">
        <f>IF(Gym_Expansion_Data[[#This Row],[Active Member]]=1,Gym_Expansion_Data[[#This Row],[Tier]],"Inactive")</f>
        <v>Inactive</v>
      </c>
    </row>
    <row r="548" spans="1:8" x14ac:dyDescent="0.2">
      <c r="A548">
        <v>1547</v>
      </c>
      <c r="B548" t="s">
        <v>10</v>
      </c>
      <c r="C548" t="s">
        <v>7</v>
      </c>
      <c r="D548" s="1">
        <v>45877</v>
      </c>
      <c r="E548">
        <v>49</v>
      </c>
      <c r="F548">
        <v>0</v>
      </c>
      <c r="G548">
        <f>IF(Gym_Expansion_Data[[#This Row],[Churned]]=0,1,0)</f>
        <v>1</v>
      </c>
      <c r="H548" t="str">
        <f>IF(Gym_Expansion_Data[[#This Row],[Active Member]]=1,Gym_Expansion_Data[[#This Row],[Tier]],"Inactive")</f>
        <v>Basic</v>
      </c>
    </row>
    <row r="549" spans="1:8" x14ac:dyDescent="0.2">
      <c r="A549">
        <v>1548</v>
      </c>
      <c r="B549" t="s">
        <v>9</v>
      </c>
      <c r="C549" t="s">
        <v>12</v>
      </c>
      <c r="D549" s="1">
        <v>45750</v>
      </c>
      <c r="E549">
        <v>89</v>
      </c>
      <c r="F549">
        <v>1</v>
      </c>
      <c r="G549">
        <f>IF(Gym_Expansion_Data[[#This Row],[Churned]]=0,1,0)</f>
        <v>0</v>
      </c>
      <c r="H549" t="str">
        <f>IF(Gym_Expansion_Data[[#This Row],[Active Member]]=1,Gym_Expansion_Data[[#This Row],[Tier]],"Inactive")</f>
        <v>Inactive</v>
      </c>
    </row>
    <row r="550" spans="1:8" x14ac:dyDescent="0.2">
      <c r="A550">
        <v>1549</v>
      </c>
      <c r="B550" t="s">
        <v>9</v>
      </c>
      <c r="C550" t="s">
        <v>8</v>
      </c>
      <c r="D550" s="1">
        <v>45686</v>
      </c>
      <c r="E550">
        <v>129</v>
      </c>
      <c r="F550">
        <v>0</v>
      </c>
      <c r="G550">
        <f>IF(Gym_Expansion_Data[[#This Row],[Churned]]=0,1,0)</f>
        <v>1</v>
      </c>
      <c r="H550" t="str">
        <f>IF(Gym_Expansion_Data[[#This Row],[Active Member]]=1,Gym_Expansion_Data[[#This Row],[Tier]],"Inactive")</f>
        <v>Elite</v>
      </c>
    </row>
    <row r="551" spans="1:8" x14ac:dyDescent="0.2">
      <c r="A551">
        <v>1550</v>
      </c>
      <c r="B551" t="s">
        <v>9</v>
      </c>
      <c r="C551" t="s">
        <v>7</v>
      </c>
      <c r="D551" s="1">
        <v>45460</v>
      </c>
      <c r="E551">
        <v>49</v>
      </c>
      <c r="F551">
        <v>0</v>
      </c>
      <c r="G551">
        <f>IF(Gym_Expansion_Data[[#This Row],[Churned]]=0,1,0)</f>
        <v>1</v>
      </c>
      <c r="H551" t="str">
        <f>IF(Gym_Expansion_Data[[#This Row],[Active Member]]=1,Gym_Expansion_Data[[#This Row],[Tier]],"Inactive")</f>
        <v>Basic</v>
      </c>
    </row>
    <row r="552" spans="1:8" x14ac:dyDescent="0.2">
      <c r="A552">
        <v>1551</v>
      </c>
      <c r="B552" t="s">
        <v>6</v>
      </c>
      <c r="C552" t="s">
        <v>7</v>
      </c>
      <c r="D552" s="1">
        <v>45332</v>
      </c>
      <c r="E552">
        <v>49</v>
      </c>
      <c r="F552">
        <v>0</v>
      </c>
      <c r="G552">
        <f>IF(Gym_Expansion_Data[[#This Row],[Churned]]=0,1,0)</f>
        <v>1</v>
      </c>
      <c r="H552" t="str">
        <f>IF(Gym_Expansion_Data[[#This Row],[Active Member]]=1,Gym_Expansion_Data[[#This Row],[Tier]],"Inactive")</f>
        <v>Basic</v>
      </c>
    </row>
    <row r="553" spans="1:8" x14ac:dyDescent="0.2">
      <c r="A553">
        <v>1552</v>
      </c>
      <c r="B553" t="s">
        <v>9</v>
      </c>
      <c r="C553" t="s">
        <v>12</v>
      </c>
      <c r="D553" s="1">
        <v>45831</v>
      </c>
      <c r="E553">
        <v>89</v>
      </c>
      <c r="F553">
        <v>0</v>
      </c>
      <c r="G553">
        <f>IF(Gym_Expansion_Data[[#This Row],[Churned]]=0,1,0)</f>
        <v>1</v>
      </c>
      <c r="H553" t="str">
        <f>IF(Gym_Expansion_Data[[#This Row],[Active Member]]=1,Gym_Expansion_Data[[#This Row],[Tier]],"Inactive")</f>
        <v>Premium</v>
      </c>
    </row>
    <row r="554" spans="1:8" x14ac:dyDescent="0.2">
      <c r="A554">
        <v>1553</v>
      </c>
      <c r="B554" t="s">
        <v>10</v>
      </c>
      <c r="C554" t="s">
        <v>12</v>
      </c>
      <c r="D554" s="1">
        <v>45828</v>
      </c>
      <c r="E554">
        <v>89</v>
      </c>
      <c r="F554">
        <v>1</v>
      </c>
      <c r="G554">
        <f>IF(Gym_Expansion_Data[[#This Row],[Churned]]=0,1,0)</f>
        <v>0</v>
      </c>
      <c r="H554" t="str">
        <f>IF(Gym_Expansion_Data[[#This Row],[Active Member]]=1,Gym_Expansion_Data[[#This Row],[Tier]],"Inactive")</f>
        <v>Inactive</v>
      </c>
    </row>
    <row r="555" spans="1:8" x14ac:dyDescent="0.2">
      <c r="A555">
        <v>1554</v>
      </c>
      <c r="B555" t="s">
        <v>9</v>
      </c>
      <c r="C555" t="s">
        <v>7</v>
      </c>
      <c r="D555" s="1">
        <v>45358</v>
      </c>
      <c r="E555">
        <v>49</v>
      </c>
      <c r="F555">
        <v>0</v>
      </c>
      <c r="G555">
        <f>IF(Gym_Expansion_Data[[#This Row],[Churned]]=0,1,0)</f>
        <v>1</v>
      </c>
      <c r="H555" t="str">
        <f>IF(Gym_Expansion_Data[[#This Row],[Active Member]]=1,Gym_Expansion_Data[[#This Row],[Tier]],"Inactive")</f>
        <v>Basic</v>
      </c>
    </row>
    <row r="556" spans="1:8" x14ac:dyDescent="0.2">
      <c r="A556">
        <v>1555</v>
      </c>
      <c r="B556" t="s">
        <v>9</v>
      </c>
      <c r="C556" t="s">
        <v>7</v>
      </c>
      <c r="D556" s="1">
        <v>45798</v>
      </c>
      <c r="E556">
        <v>49</v>
      </c>
      <c r="F556">
        <v>0</v>
      </c>
      <c r="G556">
        <f>IF(Gym_Expansion_Data[[#This Row],[Churned]]=0,1,0)</f>
        <v>1</v>
      </c>
      <c r="H556" t="str">
        <f>IF(Gym_Expansion_Data[[#This Row],[Active Member]]=1,Gym_Expansion_Data[[#This Row],[Tier]],"Inactive")</f>
        <v>Basic</v>
      </c>
    </row>
    <row r="557" spans="1:8" x14ac:dyDescent="0.2">
      <c r="A557">
        <v>1556</v>
      </c>
      <c r="B557" t="s">
        <v>9</v>
      </c>
      <c r="C557" t="s">
        <v>7</v>
      </c>
      <c r="D557" s="1">
        <v>45752</v>
      </c>
      <c r="E557">
        <v>49</v>
      </c>
      <c r="F557">
        <v>0</v>
      </c>
      <c r="G557">
        <f>IF(Gym_Expansion_Data[[#This Row],[Churned]]=0,1,0)</f>
        <v>1</v>
      </c>
      <c r="H557" t="str">
        <f>IF(Gym_Expansion_Data[[#This Row],[Active Member]]=1,Gym_Expansion_Data[[#This Row],[Tier]],"Inactive")</f>
        <v>Basic</v>
      </c>
    </row>
    <row r="558" spans="1:8" x14ac:dyDescent="0.2">
      <c r="A558">
        <v>1557</v>
      </c>
      <c r="B558" t="s">
        <v>6</v>
      </c>
      <c r="C558" t="s">
        <v>7</v>
      </c>
      <c r="D558" s="1">
        <v>45864</v>
      </c>
      <c r="E558">
        <v>49</v>
      </c>
      <c r="F558">
        <v>0</v>
      </c>
      <c r="G558">
        <f>IF(Gym_Expansion_Data[[#This Row],[Churned]]=0,1,0)</f>
        <v>1</v>
      </c>
      <c r="H558" t="str">
        <f>IF(Gym_Expansion_Data[[#This Row],[Active Member]]=1,Gym_Expansion_Data[[#This Row],[Tier]],"Inactive")</f>
        <v>Basic</v>
      </c>
    </row>
    <row r="559" spans="1:8" x14ac:dyDescent="0.2">
      <c r="A559">
        <v>1558</v>
      </c>
      <c r="B559" t="s">
        <v>9</v>
      </c>
      <c r="C559" t="s">
        <v>12</v>
      </c>
      <c r="D559" s="1">
        <v>45901</v>
      </c>
      <c r="E559">
        <v>89</v>
      </c>
      <c r="F559">
        <v>0</v>
      </c>
      <c r="G559">
        <f>IF(Gym_Expansion_Data[[#This Row],[Churned]]=0,1,0)</f>
        <v>1</v>
      </c>
      <c r="H559" t="str">
        <f>IF(Gym_Expansion_Data[[#This Row],[Active Member]]=1,Gym_Expansion_Data[[#This Row],[Tier]],"Inactive")</f>
        <v>Premium</v>
      </c>
    </row>
    <row r="560" spans="1:8" x14ac:dyDescent="0.2">
      <c r="A560">
        <v>1559</v>
      </c>
      <c r="B560" t="s">
        <v>6</v>
      </c>
      <c r="C560" t="s">
        <v>12</v>
      </c>
      <c r="D560" s="1">
        <v>45769</v>
      </c>
      <c r="E560">
        <v>89</v>
      </c>
      <c r="F560">
        <v>0</v>
      </c>
      <c r="G560">
        <f>IF(Gym_Expansion_Data[[#This Row],[Churned]]=0,1,0)</f>
        <v>1</v>
      </c>
      <c r="H560" t="str">
        <f>IF(Gym_Expansion_Data[[#This Row],[Active Member]]=1,Gym_Expansion_Data[[#This Row],[Tier]],"Inactive")</f>
        <v>Premium</v>
      </c>
    </row>
    <row r="561" spans="1:8" x14ac:dyDescent="0.2">
      <c r="A561">
        <v>1560</v>
      </c>
      <c r="B561" t="s">
        <v>10</v>
      </c>
      <c r="C561" t="s">
        <v>7</v>
      </c>
      <c r="D561" s="1">
        <v>45752</v>
      </c>
      <c r="E561">
        <v>49</v>
      </c>
      <c r="F561">
        <v>0</v>
      </c>
      <c r="G561">
        <f>IF(Gym_Expansion_Data[[#This Row],[Churned]]=0,1,0)</f>
        <v>1</v>
      </c>
      <c r="H561" t="str">
        <f>IF(Gym_Expansion_Data[[#This Row],[Active Member]]=1,Gym_Expansion_Data[[#This Row],[Tier]],"Inactive")</f>
        <v>Basic</v>
      </c>
    </row>
    <row r="562" spans="1:8" x14ac:dyDescent="0.2">
      <c r="A562">
        <v>1561</v>
      </c>
      <c r="B562" t="s">
        <v>10</v>
      </c>
      <c r="C562" t="s">
        <v>7</v>
      </c>
      <c r="D562" s="1">
        <v>45569</v>
      </c>
      <c r="E562">
        <v>49</v>
      </c>
      <c r="F562">
        <v>0</v>
      </c>
      <c r="G562">
        <f>IF(Gym_Expansion_Data[[#This Row],[Churned]]=0,1,0)</f>
        <v>1</v>
      </c>
      <c r="H562" t="str">
        <f>IF(Gym_Expansion_Data[[#This Row],[Active Member]]=1,Gym_Expansion_Data[[#This Row],[Tier]],"Inactive")</f>
        <v>Basic</v>
      </c>
    </row>
    <row r="563" spans="1:8" x14ac:dyDescent="0.2">
      <c r="A563">
        <v>1562</v>
      </c>
      <c r="B563" t="s">
        <v>9</v>
      </c>
      <c r="C563" t="s">
        <v>8</v>
      </c>
      <c r="D563" s="1">
        <v>45398</v>
      </c>
      <c r="E563">
        <v>129</v>
      </c>
      <c r="F563">
        <v>0</v>
      </c>
      <c r="G563">
        <f>IF(Gym_Expansion_Data[[#This Row],[Churned]]=0,1,0)</f>
        <v>1</v>
      </c>
      <c r="H563" t="str">
        <f>IF(Gym_Expansion_Data[[#This Row],[Active Member]]=1,Gym_Expansion_Data[[#This Row],[Tier]],"Inactive")</f>
        <v>Elite</v>
      </c>
    </row>
    <row r="564" spans="1:8" x14ac:dyDescent="0.2">
      <c r="A564">
        <v>1563</v>
      </c>
      <c r="B564" t="s">
        <v>9</v>
      </c>
      <c r="C564" t="s">
        <v>7</v>
      </c>
      <c r="D564" s="1">
        <v>45330</v>
      </c>
      <c r="E564">
        <v>49</v>
      </c>
      <c r="F564">
        <v>0</v>
      </c>
      <c r="G564">
        <f>IF(Gym_Expansion_Data[[#This Row],[Churned]]=0,1,0)</f>
        <v>1</v>
      </c>
      <c r="H564" t="str">
        <f>IF(Gym_Expansion_Data[[#This Row],[Active Member]]=1,Gym_Expansion_Data[[#This Row],[Tier]],"Inactive")</f>
        <v>Basic</v>
      </c>
    </row>
    <row r="565" spans="1:8" x14ac:dyDescent="0.2">
      <c r="A565">
        <v>1564</v>
      </c>
      <c r="B565" t="s">
        <v>9</v>
      </c>
      <c r="C565" t="s">
        <v>7</v>
      </c>
      <c r="D565" s="1">
        <v>45340</v>
      </c>
      <c r="E565">
        <v>49</v>
      </c>
      <c r="F565">
        <v>0</v>
      </c>
      <c r="G565">
        <f>IF(Gym_Expansion_Data[[#This Row],[Churned]]=0,1,0)</f>
        <v>1</v>
      </c>
      <c r="H565" t="str">
        <f>IF(Gym_Expansion_Data[[#This Row],[Active Member]]=1,Gym_Expansion_Data[[#This Row],[Tier]],"Inactive")</f>
        <v>Basic</v>
      </c>
    </row>
    <row r="566" spans="1:8" x14ac:dyDescent="0.2">
      <c r="A566">
        <v>1565</v>
      </c>
      <c r="B566" t="s">
        <v>9</v>
      </c>
      <c r="C566" t="s">
        <v>12</v>
      </c>
      <c r="D566" s="1">
        <v>45425</v>
      </c>
      <c r="E566">
        <v>89</v>
      </c>
      <c r="F566">
        <v>0</v>
      </c>
      <c r="G566">
        <f>IF(Gym_Expansion_Data[[#This Row],[Churned]]=0,1,0)</f>
        <v>1</v>
      </c>
      <c r="H566" t="str">
        <f>IF(Gym_Expansion_Data[[#This Row],[Active Member]]=1,Gym_Expansion_Data[[#This Row],[Tier]],"Inactive")</f>
        <v>Premium</v>
      </c>
    </row>
    <row r="567" spans="1:8" x14ac:dyDescent="0.2">
      <c r="A567">
        <v>1566</v>
      </c>
      <c r="B567" t="s">
        <v>9</v>
      </c>
      <c r="C567" t="s">
        <v>7</v>
      </c>
      <c r="D567" s="1">
        <v>45806</v>
      </c>
      <c r="E567">
        <v>49</v>
      </c>
      <c r="F567">
        <v>0</v>
      </c>
      <c r="G567">
        <f>IF(Gym_Expansion_Data[[#This Row],[Churned]]=0,1,0)</f>
        <v>1</v>
      </c>
      <c r="H567" t="str">
        <f>IF(Gym_Expansion_Data[[#This Row],[Active Member]]=1,Gym_Expansion_Data[[#This Row],[Tier]],"Inactive")</f>
        <v>Basic</v>
      </c>
    </row>
    <row r="568" spans="1:8" x14ac:dyDescent="0.2">
      <c r="A568">
        <v>1567</v>
      </c>
      <c r="B568" t="s">
        <v>10</v>
      </c>
      <c r="C568" t="s">
        <v>8</v>
      </c>
      <c r="D568" s="1">
        <v>45676</v>
      </c>
      <c r="E568">
        <v>129</v>
      </c>
      <c r="F568">
        <v>1</v>
      </c>
      <c r="G568">
        <f>IF(Gym_Expansion_Data[[#This Row],[Churned]]=0,1,0)</f>
        <v>0</v>
      </c>
      <c r="H568" t="str">
        <f>IF(Gym_Expansion_Data[[#This Row],[Active Member]]=1,Gym_Expansion_Data[[#This Row],[Tier]],"Inactive")</f>
        <v>Inactive</v>
      </c>
    </row>
    <row r="569" spans="1:8" x14ac:dyDescent="0.2">
      <c r="A569">
        <v>1568</v>
      </c>
      <c r="B569" t="s">
        <v>9</v>
      </c>
      <c r="C569" t="s">
        <v>7</v>
      </c>
      <c r="D569" s="1">
        <v>45521</v>
      </c>
      <c r="E569">
        <v>49</v>
      </c>
      <c r="F569">
        <v>0</v>
      </c>
      <c r="G569">
        <f>IF(Gym_Expansion_Data[[#This Row],[Churned]]=0,1,0)</f>
        <v>1</v>
      </c>
      <c r="H569" t="str">
        <f>IF(Gym_Expansion_Data[[#This Row],[Active Member]]=1,Gym_Expansion_Data[[#This Row],[Tier]],"Inactive")</f>
        <v>Basic</v>
      </c>
    </row>
    <row r="570" spans="1:8" x14ac:dyDescent="0.2">
      <c r="A570">
        <v>1569</v>
      </c>
      <c r="B570" t="s">
        <v>11</v>
      </c>
      <c r="C570" t="s">
        <v>12</v>
      </c>
      <c r="D570" s="1">
        <v>45519</v>
      </c>
      <c r="E570">
        <v>89</v>
      </c>
      <c r="F570">
        <v>0</v>
      </c>
      <c r="G570">
        <f>IF(Gym_Expansion_Data[[#This Row],[Churned]]=0,1,0)</f>
        <v>1</v>
      </c>
      <c r="H570" t="str">
        <f>IF(Gym_Expansion_Data[[#This Row],[Active Member]]=1,Gym_Expansion_Data[[#This Row],[Tier]],"Inactive")</f>
        <v>Premium</v>
      </c>
    </row>
    <row r="571" spans="1:8" x14ac:dyDescent="0.2">
      <c r="A571">
        <v>1570</v>
      </c>
      <c r="B571" t="s">
        <v>10</v>
      </c>
      <c r="C571" t="s">
        <v>7</v>
      </c>
      <c r="D571" s="1">
        <v>45883</v>
      </c>
      <c r="E571">
        <v>49</v>
      </c>
      <c r="F571">
        <v>0</v>
      </c>
      <c r="G571">
        <f>IF(Gym_Expansion_Data[[#This Row],[Churned]]=0,1,0)</f>
        <v>1</v>
      </c>
      <c r="H571" t="str">
        <f>IF(Gym_Expansion_Data[[#This Row],[Active Member]]=1,Gym_Expansion_Data[[#This Row],[Tier]],"Inactive")</f>
        <v>Basic</v>
      </c>
    </row>
    <row r="572" spans="1:8" x14ac:dyDescent="0.2">
      <c r="A572">
        <v>1571</v>
      </c>
      <c r="B572" t="s">
        <v>10</v>
      </c>
      <c r="C572" t="s">
        <v>8</v>
      </c>
      <c r="D572" s="1">
        <v>45605</v>
      </c>
      <c r="E572">
        <v>129</v>
      </c>
      <c r="F572">
        <v>1</v>
      </c>
      <c r="G572">
        <f>IF(Gym_Expansion_Data[[#This Row],[Churned]]=0,1,0)</f>
        <v>0</v>
      </c>
      <c r="H572" t="str">
        <f>IF(Gym_Expansion_Data[[#This Row],[Active Member]]=1,Gym_Expansion_Data[[#This Row],[Tier]],"Inactive")</f>
        <v>Inactive</v>
      </c>
    </row>
    <row r="573" spans="1:8" x14ac:dyDescent="0.2">
      <c r="A573">
        <v>1572</v>
      </c>
      <c r="B573" t="s">
        <v>9</v>
      </c>
      <c r="C573" t="s">
        <v>12</v>
      </c>
      <c r="D573" s="1">
        <v>45927</v>
      </c>
      <c r="E573">
        <v>89</v>
      </c>
      <c r="F573">
        <v>0</v>
      </c>
      <c r="G573">
        <f>IF(Gym_Expansion_Data[[#This Row],[Churned]]=0,1,0)</f>
        <v>1</v>
      </c>
      <c r="H573" t="str">
        <f>IF(Gym_Expansion_Data[[#This Row],[Active Member]]=1,Gym_Expansion_Data[[#This Row],[Tier]],"Inactive")</f>
        <v>Premium</v>
      </c>
    </row>
    <row r="574" spans="1:8" x14ac:dyDescent="0.2">
      <c r="A574">
        <v>1573</v>
      </c>
      <c r="B574" t="s">
        <v>6</v>
      </c>
      <c r="C574" t="s">
        <v>12</v>
      </c>
      <c r="D574" s="1">
        <v>45511</v>
      </c>
      <c r="E574">
        <v>89</v>
      </c>
      <c r="F574">
        <v>0</v>
      </c>
      <c r="G574">
        <f>IF(Gym_Expansion_Data[[#This Row],[Churned]]=0,1,0)</f>
        <v>1</v>
      </c>
      <c r="H574" t="str">
        <f>IF(Gym_Expansion_Data[[#This Row],[Active Member]]=1,Gym_Expansion_Data[[#This Row],[Tier]],"Inactive")</f>
        <v>Premium</v>
      </c>
    </row>
    <row r="575" spans="1:8" x14ac:dyDescent="0.2">
      <c r="A575">
        <v>1574</v>
      </c>
      <c r="B575" t="s">
        <v>9</v>
      </c>
      <c r="C575" t="s">
        <v>7</v>
      </c>
      <c r="D575" s="1">
        <v>45586</v>
      </c>
      <c r="E575">
        <v>49</v>
      </c>
      <c r="F575">
        <v>0</v>
      </c>
      <c r="G575">
        <f>IF(Gym_Expansion_Data[[#This Row],[Churned]]=0,1,0)</f>
        <v>1</v>
      </c>
      <c r="H575" t="str">
        <f>IF(Gym_Expansion_Data[[#This Row],[Active Member]]=1,Gym_Expansion_Data[[#This Row],[Tier]],"Inactive")</f>
        <v>Basic</v>
      </c>
    </row>
    <row r="576" spans="1:8" x14ac:dyDescent="0.2">
      <c r="A576">
        <v>1575</v>
      </c>
      <c r="B576" t="s">
        <v>9</v>
      </c>
      <c r="C576" t="s">
        <v>12</v>
      </c>
      <c r="D576" s="1">
        <v>45592</v>
      </c>
      <c r="E576">
        <v>89</v>
      </c>
      <c r="F576">
        <v>0</v>
      </c>
      <c r="G576">
        <f>IF(Gym_Expansion_Data[[#This Row],[Churned]]=0,1,0)</f>
        <v>1</v>
      </c>
      <c r="H576" t="str">
        <f>IF(Gym_Expansion_Data[[#This Row],[Active Member]]=1,Gym_Expansion_Data[[#This Row],[Tier]],"Inactive")</f>
        <v>Premium</v>
      </c>
    </row>
    <row r="577" spans="1:8" x14ac:dyDescent="0.2">
      <c r="A577">
        <v>1576</v>
      </c>
      <c r="B577" t="s">
        <v>10</v>
      </c>
      <c r="C577" t="s">
        <v>12</v>
      </c>
      <c r="D577" s="1">
        <v>45382</v>
      </c>
      <c r="E577">
        <v>89</v>
      </c>
      <c r="F577">
        <v>1</v>
      </c>
      <c r="G577">
        <f>IF(Gym_Expansion_Data[[#This Row],[Churned]]=0,1,0)</f>
        <v>0</v>
      </c>
      <c r="H577" t="str">
        <f>IF(Gym_Expansion_Data[[#This Row],[Active Member]]=1,Gym_Expansion_Data[[#This Row],[Tier]],"Inactive")</f>
        <v>Inactive</v>
      </c>
    </row>
    <row r="578" spans="1:8" x14ac:dyDescent="0.2">
      <c r="A578">
        <v>1577</v>
      </c>
      <c r="B578" t="s">
        <v>9</v>
      </c>
      <c r="C578" t="s">
        <v>12</v>
      </c>
      <c r="D578" s="1">
        <v>45421</v>
      </c>
      <c r="E578">
        <v>89</v>
      </c>
      <c r="F578">
        <v>0</v>
      </c>
      <c r="G578">
        <f>IF(Gym_Expansion_Data[[#This Row],[Churned]]=0,1,0)</f>
        <v>1</v>
      </c>
      <c r="H578" t="str">
        <f>IF(Gym_Expansion_Data[[#This Row],[Active Member]]=1,Gym_Expansion_Data[[#This Row],[Tier]],"Inactive")</f>
        <v>Premium</v>
      </c>
    </row>
    <row r="579" spans="1:8" x14ac:dyDescent="0.2">
      <c r="A579">
        <v>1578</v>
      </c>
      <c r="B579" t="s">
        <v>9</v>
      </c>
      <c r="C579" t="s">
        <v>7</v>
      </c>
      <c r="D579" s="1">
        <v>45862</v>
      </c>
      <c r="E579">
        <v>49</v>
      </c>
      <c r="F579">
        <v>0</v>
      </c>
      <c r="G579">
        <f>IF(Gym_Expansion_Data[[#This Row],[Churned]]=0,1,0)</f>
        <v>1</v>
      </c>
      <c r="H579" t="str">
        <f>IF(Gym_Expansion_Data[[#This Row],[Active Member]]=1,Gym_Expansion_Data[[#This Row],[Tier]],"Inactive")</f>
        <v>Basic</v>
      </c>
    </row>
    <row r="580" spans="1:8" x14ac:dyDescent="0.2">
      <c r="A580">
        <v>1579</v>
      </c>
      <c r="B580" t="s">
        <v>10</v>
      </c>
      <c r="C580" t="s">
        <v>7</v>
      </c>
      <c r="D580" s="1">
        <v>45552</v>
      </c>
      <c r="E580">
        <v>49</v>
      </c>
      <c r="F580">
        <v>0</v>
      </c>
      <c r="G580">
        <f>IF(Gym_Expansion_Data[[#This Row],[Churned]]=0,1,0)</f>
        <v>1</v>
      </c>
      <c r="H580" t="str">
        <f>IF(Gym_Expansion_Data[[#This Row],[Active Member]]=1,Gym_Expansion_Data[[#This Row],[Tier]],"Inactive")</f>
        <v>Basic</v>
      </c>
    </row>
    <row r="581" spans="1:8" x14ac:dyDescent="0.2">
      <c r="A581">
        <v>1580</v>
      </c>
      <c r="B581" t="s">
        <v>11</v>
      </c>
      <c r="C581" t="s">
        <v>12</v>
      </c>
      <c r="D581" s="1">
        <v>45478</v>
      </c>
      <c r="E581">
        <v>89</v>
      </c>
      <c r="F581">
        <v>0</v>
      </c>
      <c r="G581">
        <f>IF(Gym_Expansion_Data[[#This Row],[Churned]]=0,1,0)</f>
        <v>1</v>
      </c>
      <c r="H581" t="str">
        <f>IF(Gym_Expansion_Data[[#This Row],[Active Member]]=1,Gym_Expansion_Data[[#This Row],[Tier]],"Inactive")</f>
        <v>Premium</v>
      </c>
    </row>
    <row r="582" spans="1:8" x14ac:dyDescent="0.2">
      <c r="A582">
        <v>1581</v>
      </c>
      <c r="B582" t="s">
        <v>9</v>
      </c>
      <c r="C582" t="s">
        <v>7</v>
      </c>
      <c r="D582" s="1">
        <v>45659</v>
      </c>
      <c r="E582">
        <v>49</v>
      </c>
      <c r="F582">
        <v>1</v>
      </c>
      <c r="G582">
        <f>IF(Gym_Expansion_Data[[#This Row],[Churned]]=0,1,0)</f>
        <v>0</v>
      </c>
      <c r="H582" t="str">
        <f>IF(Gym_Expansion_Data[[#This Row],[Active Member]]=1,Gym_Expansion_Data[[#This Row],[Tier]],"Inactive")</f>
        <v>Inactive</v>
      </c>
    </row>
    <row r="583" spans="1:8" x14ac:dyDescent="0.2">
      <c r="A583">
        <v>1582</v>
      </c>
      <c r="B583" t="s">
        <v>6</v>
      </c>
      <c r="C583" t="s">
        <v>12</v>
      </c>
      <c r="D583" s="1">
        <v>45390</v>
      </c>
      <c r="E583">
        <v>89</v>
      </c>
      <c r="F583">
        <v>0</v>
      </c>
      <c r="G583">
        <f>IF(Gym_Expansion_Data[[#This Row],[Churned]]=0,1,0)</f>
        <v>1</v>
      </c>
      <c r="H583" t="str">
        <f>IF(Gym_Expansion_Data[[#This Row],[Active Member]]=1,Gym_Expansion_Data[[#This Row],[Tier]],"Inactive")</f>
        <v>Premium</v>
      </c>
    </row>
    <row r="584" spans="1:8" x14ac:dyDescent="0.2">
      <c r="A584">
        <v>1583</v>
      </c>
      <c r="B584" t="s">
        <v>10</v>
      </c>
      <c r="C584" t="s">
        <v>12</v>
      </c>
      <c r="D584" s="1">
        <v>45493</v>
      </c>
      <c r="E584">
        <v>89</v>
      </c>
      <c r="F584">
        <v>0</v>
      </c>
      <c r="G584">
        <f>IF(Gym_Expansion_Data[[#This Row],[Churned]]=0,1,0)</f>
        <v>1</v>
      </c>
      <c r="H584" t="str">
        <f>IF(Gym_Expansion_Data[[#This Row],[Active Member]]=1,Gym_Expansion_Data[[#This Row],[Tier]],"Inactive")</f>
        <v>Premium</v>
      </c>
    </row>
    <row r="585" spans="1:8" x14ac:dyDescent="0.2">
      <c r="A585">
        <v>1584</v>
      </c>
      <c r="B585" t="s">
        <v>10</v>
      </c>
      <c r="C585" t="s">
        <v>12</v>
      </c>
      <c r="D585" s="1">
        <v>45670</v>
      </c>
      <c r="E585">
        <v>89</v>
      </c>
      <c r="F585">
        <v>0</v>
      </c>
      <c r="G585">
        <f>IF(Gym_Expansion_Data[[#This Row],[Churned]]=0,1,0)</f>
        <v>1</v>
      </c>
      <c r="H585" t="str">
        <f>IF(Gym_Expansion_Data[[#This Row],[Active Member]]=1,Gym_Expansion_Data[[#This Row],[Tier]],"Inactive")</f>
        <v>Premium</v>
      </c>
    </row>
    <row r="586" spans="1:8" x14ac:dyDescent="0.2">
      <c r="A586">
        <v>1585</v>
      </c>
      <c r="B586" t="s">
        <v>9</v>
      </c>
      <c r="C586" t="s">
        <v>7</v>
      </c>
      <c r="D586" s="1">
        <v>45373</v>
      </c>
      <c r="E586">
        <v>49</v>
      </c>
      <c r="F586">
        <v>0</v>
      </c>
      <c r="G586">
        <f>IF(Gym_Expansion_Data[[#This Row],[Churned]]=0,1,0)</f>
        <v>1</v>
      </c>
      <c r="H586" t="str">
        <f>IF(Gym_Expansion_Data[[#This Row],[Active Member]]=1,Gym_Expansion_Data[[#This Row],[Tier]],"Inactive")</f>
        <v>Basic</v>
      </c>
    </row>
    <row r="587" spans="1:8" x14ac:dyDescent="0.2">
      <c r="A587">
        <v>1586</v>
      </c>
      <c r="B587" t="s">
        <v>11</v>
      </c>
      <c r="C587" t="s">
        <v>7</v>
      </c>
      <c r="D587" s="1">
        <v>45470</v>
      </c>
      <c r="E587">
        <v>49</v>
      </c>
      <c r="F587">
        <v>0</v>
      </c>
      <c r="G587">
        <f>IF(Gym_Expansion_Data[[#This Row],[Churned]]=0,1,0)</f>
        <v>1</v>
      </c>
      <c r="H587" t="str">
        <f>IF(Gym_Expansion_Data[[#This Row],[Active Member]]=1,Gym_Expansion_Data[[#This Row],[Tier]],"Inactive")</f>
        <v>Basic</v>
      </c>
    </row>
    <row r="588" spans="1:8" x14ac:dyDescent="0.2">
      <c r="A588">
        <v>1587</v>
      </c>
      <c r="B588" t="s">
        <v>6</v>
      </c>
      <c r="C588" t="s">
        <v>7</v>
      </c>
      <c r="D588" s="1">
        <v>45540</v>
      </c>
      <c r="E588">
        <v>49</v>
      </c>
      <c r="F588">
        <v>0</v>
      </c>
      <c r="G588">
        <f>IF(Gym_Expansion_Data[[#This Row],[Churned]]=0,1,0)</f>
        <v>1</v>
      </c>
      <c r="H588" t="str">
        <f>IF(Gym_Expansion_Data[[#This Row],[Active Member]]=1,Gym_Expansion_Data[[#This Row],[Tier]],"Inactive")</f>
        <v>Basic</v>
      </c>
    </row>
    <row r="589" spans="1:8" x14ac:dyDescent="0.2">
      <c r="A589">
        <v>1588</v>
      </c>
      <c r="B589" t="s">
        <v>6</v>
      </c>
      <c r="C589" t="s">
        <v>7</v>
      </c>
      <c r="D589" s="1">
        <v>45396</v>
      </c>
      <c r="E589">
        <v>49</v>
      </c>
      <c r="F589">
        <v>0</v>
      </c>
      <c r="G589">
        <f>IF(Gym_Expansion_Data[[#This Row],[Churned]]=0,1,0)</f>
        <v>1</v>
      </c>
      <c r="H589" t="str">
        <f>IF(Gym_Expansion_Data[[#This Row],[Active Member]]=1,Gym_Expansion_Data[[#This Row],[Tier]],"Inactive")</f>
        <v>Basic</v>
      </c>
    </row>
    <row r="590" spans="1:8" x14ac:dyDescent="0.2">
      <c r="A590">
        <v>1589</v>
      </c>
      <c r="B590" t="s">
        <v>11</v>
      </c>
      <c r="C590" t="s">
        <v>7</v>
      </c>
      <c r="D590" s="1">
        <v>45695</v>
      </c>
      <c r="E590">
        <v>49</v>
      </c>
      <c r="F590">
        <v>0</v>
      </c>
      <c r="G590">
        <f>IF(Gym_Expansion_Data[[#This Row],[Churned]]=0,1,0)</f>
        <v>1</v>
      </c>
      <c r="H590" t="str">
        <f>IF(Gym_Expansion_Data[[#This Row],[Active Member]]=1,Gym_Expansion_Data[[#This Row],[Tier]],"Inactive")</f>
        <v>Basic</v>
      </c>
    </row>
    <row r="591" spans="1:8" x14ac:dyDescent="0.2">
      <c r="A591">
        <v>1590</v>
      </c>
      <c r="B591" t="s">
        <v>10</v>
      </c>
      <c r="C591" t="s">
        <v>8</v>
      </c>
      <c r="D591" s="1">
        <v>45496</v>
      </c>
      <c r="E591">
        <v>129</v>
      </c>
      <c r="F591">
        <v>0</v>
      </c>
      <c r="G591">
        <f>IF(Gym_Expansion_Data[[#This Row],[Churned]]=0,1,0)</f>
        <v>1</v>
      </c>
      <c r="H591" t="str">
        <f>IF(Gym_Expansion_Data[[#This Row],[Active Member]]=1,Gym_Expansion_Data[[#This Row],[Tier]],"Inactive")</f>
        <v>Elite</v>
      </c>
    </row>
    <row r="592" spans="1:8" x14ac:dyDescent="0.2">
      <c r="A592">
        <v>1591</v>
      </c>
      <c r="B592" t="s">
        <v>9</v>
      </c>
      <c r="C592" t="s">
        <v>7</v>
      </c>
      <c r="D592" s="1">
        <v>45507</v>
      </c>
      <c r="E592">
        <v>49</v>
      </c>
      <c r="F592">
        <v>0</v>
      </c>
      <c r="G592">
        <f>IF(Gym_Expansion_Data[[#This Row],[Churned]]=0,1,0)</f>
        <v>1</v>
      </c>
      <c r="H592" t="str">
        <f>IF(Gym_Expansion_Data[[#This Row],[Active Member]]=1,Gym_Expansion_Data[[#This Row],[Tier]],"Inactive")</f>
        <v>Basic</v>
      </c>
    </row>
    <row r="593" spans="1:8" x14ac:dyDescent="0.2">
      <c r="A593">
        <v>1592</v>
      </c>
      <c r="B593" t="s">
        <v>6</v>
      </c>
      <c r="C593" t="s">
        <v>8</v>
      </c>
      <c r="D593" s="1">
        <v>45344</v>
      </c>
      <c r="E593">
        <v>129</v>
      </c>
      <c r="F593">
        <v>0</v>
      </c>
      <c r="G593">
        <f>IF(Gym_Expansion_Data[[#This Row],[Churned]]=0,1,0)</f>
        <v>1</v>
      </c>
      <c r="H593" t="str">
        <f>IF(Gym_Expansion_Data[[#This Row],[Active Member]]=1,Gym_Expansion_Data[[#This Row],[Tier]],"Inactive")</f>
        <v>Elite</v>
      </c>
    </row>
    <row r="594" spans="1:8" x14ac:dyDescent="0.2">
      <c r="A594">
        <v>1593</v>
      </c>
      <c r="B594" t="s">
        <v>11</v>
      </c>
      <c r="C594" t="s">
        <v>7</v>
      </c>
      <c r="D594" s="1">
        <v>45357</v>
      </c>
      <c r="E594">
        <v>49</v>
      </c>
      <c r="F594">
        <v>1</v>
      </c>
      <c r="G594">
        <f>IF(Gym_Expansion_Data[[#This Row],[Churned]]=0,1,0)</f>
        <v>0</v>
      </c>
      <c r="H594" t="str">
        <f>IF(Gym_Expansion_Data[[#This Row],[Active Member]]=1,Gym_Expansion_Data[[#This Row],[Tier]],"Inactive")</f>
        <v>Inactive</v>
      </c>
    </row>
    <row r="595" spans="1:8" x14ac:dyDescent="0.2">
      <c r="A595">
        <v>1594</v>
      </c>
      <c r="B595" t="s">
        <v>6</v>
      </c>
      <c r="C595" t="s">
        <v>7</v>
      </c>
      <c r="D595" s="1">
        <v>45500</v>
      </c>
      <c r="E595">
        <v>49</v>
      </c>
      <c r="F595">
        <v>0</v>
      </c>
      <c r="G595">
        <f>IF(Gym_Expansion_Data[[#This Row],[Churned]]=0,1,0)</f>
        <v>1</v>
      </c>
      <c r="H595" t="str">
        <f>IF(Gym_Expansion_Data[[#This Row],[Active Member]]=1,Gym_Expansion_Data[[#This Row],[Tier]],"Inactive")</f>
        <v>Basic</v>
      </c>
    </row>
    <row r="596" spans="1:8" x14ac:dyDescent="0.2">
      <c r="A596">
        <v>1595</v>
      </c>
      <c r="B596" t="s">
        <v>6</v>
      </c>
      <c r="C596" t="s">
        <v>8</v>
      </c>
      <c r="D596" s="1">
        <v>45706</v>
      </c>
      <c r="E596">
        <v>129</v>
      </c>
      <c r="F596">
        <v>0</v>
      </c>
      <c r="G596">
        <f>IF(Gym_Expansion_Data[[#This Row],[Churned]]=0,1,0)</f>
        <v>1</v>
      </c>
      <c r="H596" t="str">
        <f>IF(Gym_Expansion_Data[[#This Row],[Active Member]]=1,Gym_Expansion_Data[[#This Row],[Tier]],"Inactive")</f>
        <v>Elite</v>
      </c>
    </row>
    <row r="597" spans="1:8" x14ac:dyDescent="0.2">
      <c r="A597">
        <v>1596</v>
      </c>
      <c r="B597" t="s">
        <v>11</v>
      </c>
      <c r="C597" t="s">
        <v>8</v>
      </c>
      <c r="D597" s="1">
        <v>45307</v>
      </c>
      <c r="E597">
        <v>129</v>
      </c>
      <c r="F597">
        <v>1</v>
      </c>
      <c r="G597">
        <f>IF(Gym_Expansion_Data[[#This Row],[Churned]]=0,1,0)</f>
        <v>0</v>
      </c>
      <c r="H597" t="str">
        <f>IF(Gym_Expansion_Data[[#This Row],[Active Member]]=1,Gym_Expansion_Data[[#This Row],[Tier]],"Inactive")</f>
        <v>Inactive</v>
      </c>
    </row>
    <row r="598" spans="1:8" x14ac:dyDescent="0.2">
      <c r="A598">
        <v>1597</v>
      </c>
      <c r="B598" t="s">
        <v>11</v>
      </c>
      <c r="C598" t="s">
        <v>7</v>
      </c>
      <c r="D598" s="1">
        <v>45723</v>
      </c>
      <c r="E598">
        <v>49</v>
      </c>
      <c r="F598">
        <v>0</v>
      </c>
      <c r="G598">
        <f>IF(Gym_Expansion_Data[[#This Row],[Churned]]=0,1,0)</f>
        <v>1</v>
      </c>
      <c r="H598" t="str">
        <f>IF(Gym_Expansion_Data[[#This Row],[Active Member]]=1,Gym_Expansion_Data[[#This Row],[Tier]],"Inactive")</f>
        <v>Basic</v>
      </c>
    </row>
    <row r="599" spans="1:8" x14ac:dyDescent="0.2">
      <c r="A599">
        <v>1598</v>
      </c>
      <c r="B599" t="s">
        <v>9</v>
      </c>
      <c r="C599" t="s">
        <v>7</v>
      </c>
      <c r="D599" s="1">
        <v>45991</v>
      </c>
      <c r="E599">
        <v>49</v>
      </c>
      <c r="F599">
        <v>0</v>
      </c>
      <c r="G599">
        <f>IF(Gym_Expansion_Data[[#This Row],[Churned]]=0,1,0)</f>
        <v>1</v>
      </c>
      <c r="H599" t="str">
        <f>IF(Gym_Expansion_Data[[#This Row],[Active Member]]=1,Gym_Expansion_Data[[#This Row],[Tier]],"Inactive")</f>
        <v>Basic</v>
      </c>
    </row>
    <row r="600" spans="1:8" x14ac:dyDescent="0.2">
      <c r="A600">
        <v>1599</v>
      </c>
      <c r="B600" t="s">
        <v>9</v>
      </c>
      <c r="C600" t="s">
        <v>7</v>
      </c>
      <c r="D600" s="1">
        <v>45450</v>
      </c>
      <c r="E600">
        <v>49</v>
      </c>
      <c r="F600">
        <v>0</v>
      </c>
      <c r="G600">
        <f>IF(Gym_Expansion_Data[[#This Row],[Churned]]=0,1,0)</f>
        <v>1</v>
      </c>
      <c r="H600" t="str">
        <f>IF(Gym_Expansion_Data[[#This Row],[Active Member]]=1,Gym_Expansion_Data[[#This Row],[Tier]],"Inactive")</f>
        <v>Basic</v>
      </c>
    </row>
    <row r="601" spans="1:8" x14ac:dyDescent="0.2">
      <c r="A601">
        <v>1600</v>
      </c>
      <c r="B601" t="s">
        <v>11</v>
      </c>
      <c r="C601" t="s">
        <v>12</v>
      </c>
      <c r="D601" s="1">
        <v>45430</v>
      </c>
      <c r="E601">
        <v>89</v>
      </c>
      <c r="F601">
        <v>0</v>
      </c>
      <c r="G601">
        <f>IF(Gym_Expansion_Data[[#This Row],[Churned]]=0,1,0)</f>
        <v>1</v>
      </c>
      <c r="H601" t="str">
        <f>IF(Gym_Expansion_Data[[#This Row],[Active Member]]=1,Gym_Expansion_Data[[#This Row],[Tier]],"Inactive")</f>
        <v>Premium</v>
      </c>
    </row>
    <row r="602" spans="1:8" x14ac:dyDescent="0.2">
      <c r="A602">
        <v>1601</v>
      </c>
      <c r="B602" t="s">
        <v>11</v>
      </c>
      <c r="C602" t="s">
        <v>12</v>
      </c>
      <c r="D602" s="1">
        <v>45557</v>
      </c>
      <c r="E602">
        <v>89</v>
      </c>
      <c r="F602">
        <v>0</v>
      </c>
      <c r="G602">
        <f>IF(Gym_Expansion_Data[[#This Row],[Churned]]=0,1,0)</f>
        <v>1</v>
      </c>
      <c r="H602" t="str">
        <f>IF(Gym_Expansion_Data[[#This Row],[Active Member]]=1,Gym_Expansion_Data[[#This Row],[Tier]],"Inactive")</f>
        <v>Premium</v>
      </c>
    </row>
    <row r="603" spans="1:8" x14ac:dyDescent="0.2">
      <c r="A603">
        <v>1602</v>
      </c>
      <c r="B603" t="s">
        <v>9</v>
      </c>
      <c r="C603" t="s">
        <v>7</v>
      </c>
      <c r="D603" s="1">
        <v>45413</v>
      </c>
      <c r="E603">
        <v>49</v>
      </c>
      <c r="F603">
        <v>0</v>
      </c>
      <c r="G603">
        <f>IF(Gym_Expansion_Data[[#This Row],[Churned]]=0,1,0)</f>
        <v>1</v>
      </c>
      <c r="H603" t="str">
        <f>IF(Gym_Expansion_Data[[#This Row],[Active Member]]=1,Gym_Expansion_Data[[#This Row],[Tier]],"Inactive")</f>
        <v>Basic</v>
      </c>
    </row>
    <row r="604" spans="1:8" x14ac:dyDescent="0.2">
      <c r="A604">
        <v>1603</v>
      </c>
      <c r="B604" t="s">
        <v>10</v>
      </c>
      <c r="C604" t="s">
        <v>12</v>
      </c>
      <c r="D604" s="1">
        <v>45589</v>
      </c>
      <c r="E604">
        <v>89</v>
      </c>
      <c r="F604">
        <v>0</v>
      </c>
      <c r="G604">
        <f>IF(Gym_Expansion_Data[[#This Row],[Churned]]=0,1,0)</f>
        <v>1</v>
      </c>
      <c r="H604" t="str">
        <f>IF(Gym_Expansion_Data[[#This Row],[Active Member]]=1,Gym_Expansion_Data[[#This Row],[Tier]],"Inactive")</f>
        <v>Premium</v>
      </c>
    </row>
    <row r="605" spans="1:8" x14ac:dyDescent="0.2">
      <c r="A605">
        <v>1604</v>
      </c>
      <c r="B605" t="s">
        <v>9</v>
      </c>
      <c r="C605" t="s">
        <v>7</v>
      </c>
      <c r="D605" s="1">
        <v>45445</v>
      </c>
      <c r="E605">
        <v>49</v>
      </c>
      <c r="F605">
        <v>0</v>
      </c>
      <c r="G605">
        <f>IF(Gym_Expansion_Data[[#This Row],[Churned]]=0,1,0)</f>
        <v>1</v>
      </c>
      <c r="H605" t="str">
        <f>IF(Gym_Expansion_Data[[#This Row],[Active Member]]=1,Gym_Expansion_Data[[#This Row],[Tier]],"Inactive")</f>
        <v>Basic</v>
      </c>
    </row>
    <row r="606" spans="1:8" x14ac:dyDescent="0.2">
      <c r="A606">
        <v>1605</v>
      </c>
      <c r="B606" t="s">
        <v>11</v>
      </c>
      <c r="C606" t="s">
        <v>7</v>
      </c>
      <c r="D606" s="1">
        <v>45533</v>
      </c>
      <c r="E606">
        <v>49</v>
      </c>
      <c r="F606">
        <v>0</v>
      </c>
      <c r="G606">
        <f>IF(Gym_Expansion_Data[[#This Row],[Churned]]=0,1,0)</f>
        <v>1</v>
      </c>
      <c r="H606" t="str">
        <f>IF(Gym_Expansion_Data[[#This Row],[Active Member]]=1,Gym_Expansion_Data[[#This Row],[Tier]],"Inactive")</f>
        <v>Basic</v>
      </c>
    </row>
    <row r="607" spans="1:8" x14ac:dyDescent="0.2">
      <c r="A607">
        <v>1606</v>
      </c>
      <c r="B607" t="s">
        <v>11</v>
      </c>
      <c r="C607" t="s">
        <v>12</v>
      </c>
      <c r="D607" s="1">
        <v>45466</v>
      </c>
      <c r="E607">
        <v>89</v>
      </c>
      <c r="F607">
        <v>0</v>
      </c>
      <c r="G607">
        <f>IF(Gym_Expansion_Data[[#This Row],[Churned]]=0,1,0)</f>
        <v>1</v>
      </c>
      <c r="H607" t="str">
        <f>IF(Gym_Expansion_Data[[#This Row],[Active Member]]=1,Gym_Expansion_Data[[#This Row],[Tier]],"Inactive")</f>
        <v>Premium</v>
      </c>
    </row>
    <row r="608" spans="1:8" x14ac:dyDescent="0.2">
      <c r="A608">
        <v>1607</v>
      </c>
      <c r="B608" t="s">
        <v>10</v>
      </c>
      <c r="C608" t="s">
        <v>7</v>
      </c>
      <c r="D608" s="1">
        <v>45832</v>
      </c>
      <c r="E608">
        <v>49</v>
      </c>
      <c r="F608">
        <v>0</v>
      </c>
      <c r="G608">
        <f>IF(Gym_Expansion_Data[[#This Row],[Churned]]=0,1,0)</f>
        <v>1</v>
      </c>
      <c r="H608" t="str">
        <f>IF(Gym_Expansion_Data[[#This Row],[Active Member]]=1,Gym_Expansion_Data[[#This Row],[Tier]],"Inactive")</f>
        <v>Basic</v>
      </c>
    </row>
    <row r="609" spans="1:8" x14ac:dyDescent="0.2">
      <c r="A609">
        <v>1608</v>
      </c>
      <c r="B609" t="s">
        <v>9</v>
      </c>
      <c r="C609" t="s">
        <v>12</v>
      </c>
      <c r="D609" s="1">
        <v>45524</v>
      </c>
      <c r="E609">
        <v>89</v>
      </c>
      <c r="F609">
        <v>1</v>
      </c>
      <c r="G609">
        <f>IF(Gym_Expansion_Data[[#This Row],[Churned]]=0,1,0)</f>
        <v>0</v>
      </c>
      <c r="H609" t="str">
        <f>IF(Gym_Expansion_Data[[#This Row],[Active Member]]=1,Gym_Expansion_Data[[#This Row],[Tier]],"Inactive")</f>
        <v>Inactive</v>
      </c>
    </row>
    <row r="610" spans="1:8" x14ac:dyDescent="0.2">
      <c r="A610">
        <v>1609</v>
      </c>
      <c r="B610" t="s">
        <v>11</v>
      </c>
      <c r="C610" t="s">
        <v>7</v>
      </c>
      <c r="D610" s="1">
        <v>45309</v>
      </c>
      <c r="E610">
        <v>49</v>
      </c>
      <c r="F610">
        <v>0</v>
      </c>
      <c r="G610">
        <f>IF(Gym_Expansion_Data[[#This Row],[Churned]]=0,1,0)</f>
        <v>1</v>
      </c>
      <c r="H610" t="str">
        <f>IF(Gym_Expansion_Data[[#This Row],[Active Member]]=1,Gym_Expansion_Data[[#This Row],[Tier]],"Inactive")</f>
        <v>Basic</v>
      </c>
    </row>
    <row r="611" spans="1:8" x14ac:dyDescent="0.2">
      <c r="A611">
        <v>1610</v>
      </c>
      <c r="B611" t="s">
        <v>11</v>
      </c>
      <c r="C611" t="s">
        <v>7</v>
      </c>
      <c r="D611" s="1">
        <v>45795</v>
      </c>
      <c r="E611">
        <v>49</v>
      </c>
      <c r="F611">
        <v>0</v>
      </c>
      <c r="G611">
        <f>IF(Gym_Expansion_Data[[#This Row],[Churned]]=0,1,0)</f>
        <v>1</v>
      </c>
      <c r="H611" t="str">
        <f>IF(Gym_Expansion_Data[[#This Row],[Active Member]]=1,Gym_Expansion_Data[[#This Row],[Tier]],"Inactive")</f>
        <v>Basic</v>
      </c>
    </row>
    <row r="612" spans="1:8" x14ac:dyDescent="0.2">
      <c r="A612">
        <v>1611</v>
      </c>
      <c r="B612" t="s">
        <v>11</v>
      </c>
      <c r="C612" t="s">
        <v>7</v>
      </c>
      <c r="D612" s="1">
        <v>45314</v>
      </c>
      <c r="E612">
        <v>49</v>
      </c>
      <c r="F612">
        <v>0</v>
      </c>
      <c r="G612">
        <f>IF(Gym_Expansion_Data[[#This Row],[Churned]]=0,1,0)</f>
        <v>1</v>
      </c>
      <c r="H612" t="str">
        <f>IF(Gym_Expansion_Data[[#This Row],[Active Member]]=1,Gym_Expansion_Data[[#This Row],[Tier]],"Inactive")</f>
        <v>Basic</v>
      </c>
    </row>
    <row r="613" spans="1:8" x14ac:dyDescent="0.2">
      <c r="A613">
        <v>1612</v>
      </c>
      <c r="B613" t="s">
        <v>11</v>
      </c>
      <c r="C613" t="s">
        <v>7</v>
      </c>
      <c r="D613" s="1">
        <v>45522</v>
      </c>
      <c r="E613">
        <v>49</v>
      </c>
      <c r="F613">
        <v>0</v>
      </c>
      <c r="G613">
        <f>IF(Gym_Expansion_Data[[#This Row],[Churned]]=0,1,0)</f>
        <v>1</v>
      </c>
      <c r="H613" t="str">
        <f>IF(Gym_Expansion_Data[[#This Row],[Active Member]]=1,Gym_Expansion_Data[[#This Row],[Tier]],"Inactive")</f>
        <v>Basic</v>
      </c>
    </row>
    <row r="614" spans="1:8" x14ac:dyDescent="0.2">
      <c r="A614">
        <v>1613</v>
      </c>
      <c r="B614" t="s">
        <v>10</v>
      </c>
      <c r="C614" t="s">
        <v>12</v>
      </c>
      <c r="D614" s="1">
        <v>45763</v>
      </c>
      <c r="E614">
        <v>89</v>
      </c>
      <c r="F614">
        <v>0</v>
      </c>
      <c r="G614">
        <f>IF(Gym_Expansion_Data[[#This Row],[Churned]]=0,1,0)</f>
        <v>1</v>
      </c>
      <c r="H614" t="str">
        <f>IF(Gym_Expansion_Data[[#This Row],[Active Member]]=1,Gym_Expansion_Data[[#This Row],[Tier]],"Inactive")</f>
        <v>Premium</v>
      </c>
    </row>
    <row r="615" spans="1:8" x14ac:dyDescent="0.2">
      <c r="A615">
        <v>1614</v>
      </c>
      <c r="B615" t="s">
        <v>11</v>
      </c>
      <c r="C615" t="s">
        <v>8</v>
      </c>
      <c r="D615" s="1">
        <v>45438</v>
      </c>
      <c r="E615">
        <v>129</v>
      </c>
      <c r="F615">
        <v>1</v>
      </c>
      <c r="G615">
        <f>IF(Gym_Expansion_Data[[#This Row],[Churned]]=0,1,0)</f>
        <v>0</v>
      </c>
      <c r="H615" t="str">
        <f>IF(Gym_Expansion_Data[[#This Row],[Active Member]]=1,Gym_Expansion_Data[[#This Row],[Tier]],"Inactive")</f>
        <v>Inactive</v>
      </c>
    </row>
    <row r="616" spans="1:8" x14ac:dyDescent="0.2">
      <c r="A616">
        <v>1615</v>
      </c>
      <c r="B616" t="s">
        <v>6</v>
      </c>
      <c r="C616" t="s">
        <v>12</v>
      </c>
      <c r="D616" s="1">
        <v>45809</v>
      </c>
      <c r="E616">
        <v>89</v>
      </c>
      <c r="F616">
        <v>0</v>
      </c>
      <c r="G616">
        <f>IF(Gym_Expansion_Data[[#This Row],[Churned]]=0,1,0)</f>
        <v>1</v>
      </c>
      <c r="H616" t="str">
        <f>IF(Gym_Expansion_Data[[#This Row],[Active Member]]=1,Gym_Expansion_Data[[#This Row],[Tier]],"Inactive")</f>
        <v>Premium</v>
      </c>
    </row>
    <row r="617" spans="1:8" x14ac:dyDescent="0.2">
      <c r="A617">
        <v>1616</v>
      </c>
      <c r="B617" t="s">
        <v>6</v>
      </c>
      <c r="C617" t="s">
        <v>8</v>
      </c>
      <c r="D617" s="1">
        <v>45306</v>
      </c>
      <c r="E617">
        <v>129</v>
      </c>
      <c r="F617">
        <v>0</v>
      </c>
      <c r="G617">
        <f>IF(Gym_Expansion_Data[[#This Row],[Churned]]=0,1,0)</f>
        <v>1</v>
      </c>
      <c r="H617" t="str">
        <f>IF(Gym_Expansion_Data[[#This Row],[Active Member]]=1,Gym_Expansion_Data[[#This Row],[Tier]],"Inactive")</f>
        <v>Elite</v>
      </c>
    </row>
    <row r="618" spans="1:8" x14ac:dyDescent="0.2">
      <c r="A618">
        <v>1617</v>
      </c>
      <c r="B618" t="s">
        <v>9</v>
      </c>
      <c r="C618" t="s">
        <v>7</v>
      </c>
      <c r="D618" s="1">
        <v>45944</v>
      </c>
      <c r="E618">
        <v>49</v>
      </c>
      <c r="F618">
        <v>1</v>
      </c>
      <c r="G618">
        <f>IF(Gym_Expansion_Data[[#This Row],[Churned]]=0,1,0)</f>
        <v>0</v>
      </c>
      <c r="H618" t="str">
        <f>IF(Gym_Expansion_Data[[#This Row],[Active Member]]=1,Gym_Expansion_Data[[#This Row],[Tier]],"Inactive")</f>
        <v>Inactive</v>
      </c>
    </row>
    <row r="619" spans="1:8" x14ac:dyDescent="0.2">
      <c r="A619">
        <v>1618</v>
      </c>
      <c r="B619" t="s">
        <v>9</v>
      </c>
      <c r="C619" t="s">
        <v>12</v>
      </c>
      <c r="D619" s="1">
        <v>45611</v>
      </c>
      <c r="E619">
        <v>89</v>
      </c>
      <c r="F619">
        <v>0</v>
      </c>
      <c r="G619">
        <f>IF(Gym_Expansion_Data[[#This Row],[Churned]]=0,1,0)</f>
        <v>1</v>
      </c>
      <c r="H619" t="str">
        <f>IF(Gym_Expansion_Data[[#This Row],[Active Member]]=1,Gym_Expansion_Data[[#This Row],[Tier]],"Inactive")</f>
        <v>Premium</v>
      </c>
    </row>
    <row r="620" spans="1:8" x14ac:dyDescent="0.2">
      <c r="A620">
        <v>1619</v>
      </c>
      <c r="B620" t="s">
        <v>11</v>
      </c>
      <c r="C620" t="s">
        <v>12</v>
      </c>
      <c r="D620" s="1">
        <v>45508</v>
      </c>
      <c r="E620">
        <v>89</v>
      </c>
      <c r="F620">
        <v>0</v>
      </c>
      <c r="G620">
        <f>IF(Gym_Expansion_Data[[#This Row],[Churned]]=0,1,0)</f>
        <v>1</v>
      </c>
      <c r="H620" t="str">
        <f>IF(Gym_Expansion_Data[[#This Row],[Active Member]]=1,Gym_Expansion_Data[[#This Row],[Tier]],"Inactive")</f>
        <v>Premium</v>
      </c>
    </row>
    <row r="621" spans="1:8" x14ac:dyDescent="0.2">
      <c r="A621">
        <v>1620</v>
      </c>
      <c r="B621" t="s">
        <v>9</v>
      </c>
      <c r="C621" t="s">
        <v>7</v>
      </c>
      <c r="D621" s="1">
        <v>45352</v>
      </c>
      <c r="E621">
        <v>49</v>
      </c>
      <c r="F621">
        <v>0</v>
      </c>
      <c r="G621">
        <f>IF(Gym_Expansion_Data[[#This Row],[Churned]]=0,1,0)</f>
        <v>1</v>
      </c>
      <c r="H621" t="str">
        <f>IF(Gym_Expansion_Data[[#This Row],[Active Member]]=1,Gym_Expansion_Data[[#This Row],[Tier]],"Inactive")</f>
        <v>Basic</v>
      </c>
    </row>
    <row r="622" spans="1:8" x14ac:dyDescent="0.2">
      <c r="A622">
        <v>1621</v>
      </c>
      <c r="B622" t="s">
        <v>11</v>
      </c>
      <c r="C622" t="s">
        <v>12</v>
      </c>
      <c r="D622" s="1">
        <v>45315</v>
      </c>
      <c r="E622">
        <v>89</v>
      </c>
      <c r="F622">
        <v>1</v>
      </c>
      <c r="G622">
        <f>IF(Gym_Expansion_Data[[#This Row],[Churned]]=0,1,0)</f>
        <v>0</v>
      </c>
      <c r="H622" t="str">
        <f>IF(Gym_Expansion_Data[[#This Row],[Active Member]]=1,Gym_Expansion_Data[[#This Row],[Tier]],"Inactive")</f>
        <v>Inactive</v>
      </c>
    </row>
    <row r="623" spans="1:8" x14ac:dyDescent="0.2">
      <c r="A623">
        <v>1622</v>
      </c>
      <c r="B623" t="s">
        <v>11</v>
      </c>
      <c r="C623" t="s">
        <v>7</v>
      </c>
      <c r="D623" s="1">
        <v>45498</v>
      </c>
      <c r="E623">
        <v>49</v>
      </c>
      <c r="F623">
        <v>0</v>
      </c>
      <c r="G623">
        <f>IF(Gym_Expansion_Data[[#This Row],[Churned]]=0,1,0)</f>
        <v>1</v>
      </c>
      <c r="H623" t="str">
        <f>IF(Gym_Expansion_Data[[#This Row],[Active Member]]=1,Gym_Expansion_Data[[#This Row],[Tier]],"Inactive")</f>
        <v>Basic</v>
      </c>
    </row>
    <row r="624" spans="1:8" x14ac:dyDescent="0.2">
      <c r="A624">
        <v>1623</v>
      </c>
      <c r="B624" t="s">
        <v>9</v>
      </c>
      <c r="C624" t="s">
        <v>7</v>
      </c>
      <c r="D624" s="1">
        <v>45730</v>
      </c>
      <c r="E624">
        <v>49</v>
      </c>
      <c r="F624">
        <v>0</v>
      </c>
      <c r="G624">
        <f>IF(Gym_Expansion_Data[[#This Row],[Churned]]=0,1,0)</f>
        <v>1</v>
      </c>
      <c r="H624" t="str">
        <f>IF(Gym_Expansion_Data[[#This Row],[Active Member]]=1,Gym_Expansion_Data[[#This Row],[Tier]],"Inactive")</f>
        <v>Basic</v>
      </c>
    </row>
    <row r="625" spans="1:8" x14ac:dyDescent="0.2">
      <c r="A625">
        <v>1624</v>
      </c>
      <c r="B625" t="s">
        <v>10</v>
      </c>
      <c r="C625" t="s">
        <v>12</v>
      </c>
      <c r="D625" s="1">
        <v>45814</v>
      </c>
      <c r="E625">
        <v>89</v>
      </c>
      <c r="F625">
        <v>0</v>
      </c>
      <c r="G625">
        <f>IF(Gym_Expansion_Data[[#This Row],[Churned]]=0,1,0)</f>
        <v>1</v>
      </c>
      <c r="H625" t="str">
        <f>IF(Gym_Expansion_Data[[#This Row],[Active Member]]=1,Gym_Expansion_Data[[#This Row],[Tier]],"Inactive")</f>
        <v>Premium</v>
      </c>
    </row>
    <row r="626" spans="1:8" x14ac:dyDescent="0.2">
      <c r="A626">
        <v>1625</v>
      </c>
      <c r="B626" t="s">
        <v>9</v>
      </c>
      <c r="C626" t="s">
        <v>7</v>
      </c>
      <c r="D626" s="1">
        <v>45483</v>
      </c>
      <c r="E626">
        <v>49</v>
      </c>
      <c r="F626">
        <v>1</v>
      </c>
      <c r="G626">
        <f>IF(Gym_Expansion_Data[[#This Row],[Churned]]=0,1,0)</f>
        <v>0</v>
      </c>
      <c r="H626" t="str">
        <f>IF(Gym_Expansion_Data[[#This Row],[Active Member]]=1,Gym_Expansion_Data[[#This Row],[Tier]],"Inactive")</f>
        <v>Inactive</v>
      </c>
    </row>
    <row r="627" spans="1:8" x14ac:dyDescent="0.2">
      <c r="A627">
        <v>1626</v>
      </c>
      <c r="B627" t="s">
        <v>10</v>
      </c>
      <c r="C627" t="s">
        <v>7</v>
      </c>
      <c r="D627" s="1">
        <v>45912</v>
      </c>
      <c r="E627">
        <v>49</v>
      </c>
      <c r="F627">
        <v>0</v>
      </c>
      <c r="G627">
        <f>IF(Gym_Expansion_Data[[#This Row],[Churned]]=0,1,0)</f>
        <v>1</v>
      </c>
      <c r="H627" t="str">
        <f>IF(Gym_Expansion_Data[[#This Row],[Active Member]]=1,Gym_Expansion_Data[[#This Row],[Tier]],"Inactive")</f>
        <v>Basic</v>
      </c>
    </row>
    <row r="628" spans="1:8" x14ac:dyDescent="0.2">
      <c r="A628">
        <v>1627</v>
      </c>
      <c r="B628" t="s">
        <v>9</v>
      </c>
      <c r="C628" t="s">
        <v>8</v>
      </c>
      <c r="D628" s="1">
        <v>45960</v>
      </c>
      <c r="E628">
        <v>129</v>
      </c>
      <c r="F628">
        <v>0</v>
      </c>
      <c r="G628">
        <f>IF(Gym_Expansion_Data[[#This Row],[Churned]]=0,1,0)</f>
        <v>1</v>
      </c>
      <c r="H628" t="str">
        <f>IF(Gym_Expansion_Data[[#This Row],[Active Member]]=1,Gym_Expansion_Data[[#This Row],[Tier]],"Inactive")</f>
        <v>Elite</v>
      </c>
    </row>
    <row r="629" spans="1:8" x14ac:dyDescent="0.2">
      <c r="A629">
        <v>1628</v>
      </c>
      <c r="B629" t="s">
        <v>11</v>
      </c>
      <c r="C629" t="s">
        <v>7</v>
      </c>
      <c r="D629" s="1">
        <v>45556</v>
      </c>
      <c r="E629">
        <v>49</v>
      </c>
      <c r="F629">
        <v>0</v>
      </c>
      <c r="G629">
        <f>IF(Gym_Expansion_Data[[#This Row],[Churned]]=0,1,0)</f>
        <v>1</v>
      </c>
      <c r="H629" t="str">
        <f>IF(Gym_Expansion_Data[[#This Row],[Active Member]]=1,Gym_Expansion_Data[[#This Row],[Tier]],"Inactive")</f>
        <v>Basic</v>
      </c>
    </row>
    <row r="630" spans="1:8" x14ac:dyDescent="0.2">
      <c r="A630">
        <v>1629</v>
      </c>
      <c r="B630" t="s">
        <v>10</v>
      </c>
      <c r="C630" t="s">
        <v>12</v>
      </c>
      <c r="D630" s="1">
        <v>45446</v>
      </c>
      <c r="E630">
        <v>89</v>
      </c>
      <c r="F630">
        <v>0</v>
      </c>
      <c r="G630">
        <f>IF(Gym_Expansion_Data[[#This Row],[Churned]]=0,1,0)</f>
        <v>1</v>
      </c>
      <c r="H630" t="str">
        <f>IF(Gym_Expansion_Data[[#This Row],[Active Member]]=1,Gym_Expansion_Data[[#This Row],[Tier]],"Inactive")</f>
        <v>Premium</v>
      </c>
    </row>
    <row r="631" spans="1:8" x14ac:dyDescent="0.2">
      <c r="A631">
        <v>1630</v>
      </c>
      <c r="B631" t="s">
        <v>11</v>
      </c>
      <c r="C631" t="s">
        <v>8</v>
      </c>
      <c r="D631" s="1">
        <v>45651</v>
      </c>
      <c r="E631">
        <v>129</v>
      </c>
      <c r="F631">
        <v>1</v>
      </c>
      <c r="G631">
        <f>IF(Gym_Expansion_Data[[#This Row],[Churned]]=0,1,0)</f>
        <v>0</v>
      </c>
      <c r="H631" t="str">
        <f>IF(Gym_Expansion_Data[[#This Row],[Active Member]]=1,Gym_Expansion_Data[[#This Row],[Tier]],"Inactive")</f>
        <v>Inactive</v>
      </c>
    </row>
    <row r="632" spans="1:8" x14ac:dyDescent="0.2">
      <c r="A632">
        <v>1631</v>
      </c>
      <c r="B632" t="s">
        <v>9</v>
      </c>
      <c r="C632" t="s">
        <v>8</v>
      </c>
      <c r="D632" s="1">
        <v>45415</v>
      </c>
      <c r="E632">
        <v>129</v>
      </c>
      <c r="F632">
        <v>0</v>
      </c>
      <c r="G632">
        <f>IF(Gym_Expansion_Data[[#This Row],[Churned]]=0,1,0)</f>
        <v>1</v>
      </c>
      <c r="H632" t="str">
        <f>IF(Gym_Expansion_Data[[#This Row],[Active Member]]=1,Gym_Expansion_Data[[#This Row],[Tier]],"Inactive")</f>
        <v>Elite</v>
      </c>
    </row>
    <row r="633" spans="1:8" x14ac:dyDescent="0.2">
      <c r="A633">
        <v>1632</v>
      </c>
      <c r="B633" t="s">
        <v>9</v>
      </c>
      <c r="C633" t="s">
        <v>8</v>
      </c>
      <c r="D633" s="1">
        <v>45538</v>
      </c>
      <c r="E633">
        <v>129</v>
      </c>
      <c r="F633">
        <v>0</v>
      </c>
      <c r="G633">
        <f>IF(Gym_Expansion_Data[[#This Row],[Churned]]=0,1,0)</f>
        <v>1</v>
      </c>
      <c r="H633" t="str">
        <f>IF(Gym_Expansion_Data[[#This Row],[Active Member]]=1,Gym_Expansion_Data[[#This Row],[Tier]],"Inactive")</f>
        <v>Elite</v>
      </c>
    </row>
    <row r="634" spans="1:8" x14ac:dyDescent="0.2">
      <c r="A634">
        <v>1633</v>
      </c>
      <c r="B634" t="s">
        <v>9</v>
      </c>
      <c r="C634" t="s">
        <v>7</v>
      </c>
      <c r="D634" s="1">
        <v>45957</v>
      </c>
      <c r="E634">
        <v>49</v>
      </c>
      <c r="F634">
        <v>0</v>
      </c>
      <c r="G634">
        <f>IF(Gym_Expansion_Data[[#This Row],[Churned]]=0,1,0)</f>
        <v>1</v>
      </c>
      <c r="H634" t="str">
        <f>IF(Gym_Expansion_Data[[#This Row],[Active Member]]=1,Gym_Expansion_Data[[#This Row],[Tier]],"Inactive")</f>
        <v>Basic</v>
      </c>
    </row>
    <row r="635" spans="1:8" x14ac:dyDescent="0.2">
      <c r="A635">
        <v>1634</v>
      </c>
      <c r="B635" t="s">
        <v>9</v>
      </c>
      <c r="C635" t="s">
        <v>7</v>
      </c>
      <c r="D635" s="1">
        <v>45494</v>
      </c>
      <c r="E635">
        <v>49</v>
      </c>
      <c r="F635">
        <v>0</v>
      </c>
      <c r="G635">
        <f>IF(Gym_Expansion_Data[[#This Row],[Churned]]=0,1,0)</f>
        <v>1</v>
      </c>
      <c r="H635" t="str">
        <f>IF(Gym_Expansion_Data[[#This Row],[Active Member]]=1,Gym_Expansion_Data[[#This Row],[Tier]],"Inactive")</f>
        <v>Basic</v>
      </c>
    </row>
    <row r="636" spans="1:8" x14ac:dyDescent="0.2">
      <c r="A636">
        <v>1635</v>
      </c>
      <c r="B636" t="s">
        <v>11</v>
      </c>
      <c r="C636" t="s">
        <v>8</v>
      </c>
      <c r="D636" s="1">
        <v>45885</v>
      </c>
      <c r="E636">
        <v>129</v>
      </c>
      <c r="F636">
        <v>0</v>
      </c>
      <c r="G636">
        <f>IF(Gym_Expansion_Data[[#This Row],[Churned]]=0,1,0)</f>
        <v>1</v>
      </c>
      <c r="H636" t="str">
        <f>IF(Gym_Expansion_Data[[#This Row],[Active Member]]=1,Gym_Expansion_Data[[#This Row],[Tier]],"Inactive")</f>
        <v>Elite</v>
      </c>
    </row>
    <row r="637" spans="1:8" x14ac:dyDescent="0.2">
      <c r="A637">
        <v>1636</v>
      </c>
      <c r="B637" t="s">
        <v>10</v>
      </c>
      <c r="C637" t="s">
        <v>7</v>
      </c>
      <c r="D637" s="1">
        <v>45765</v>
      </c>
      <c r="E637">
        <v>49</v>
      </c>
      <c r="F637">
        <v>0</v>
      </c>
      <c r="G637">
        <f>IF(Gym_Expansion_Data[[#This Row],[Churned]]=0,1,0)</f>
        <v>1</v>
      </c>
      <c r="H637" t="str">
        <f>IF(Gym_Expansion_Data[[#This Row],[Active Member]]=1,Gym_Expansion_Data[[#This Row],[Tier]],"Inactive")</f>
        <v>Basic</v>
      </c>
    </row>
    <row r="638" spans="1:8" x14ac:dyDescent="0.2">
      <c r="A638">
        <v>1637</v>
      </c>
      <c r="B638" t="s">
        <v>9</v>
      </c>
      <c r="C638" t="s">
        <v>7</v>
      </c>
      <c r="D638" s="1">
        <v>45959</v>
      </c>
      <c r="E638">
        <v>49</v>
      </c>
      <c r="F638">
        <v>0</v>
      </c>
      <c r="G638">
        <f>IF(Gym_Expansion_Data[[#This Row],[Churned]]=0,1,0)</f>
        <v>1</v>
      </c>
      <c r="H638" t="str">
        <f>IF(Gym_Expansion_Data[[#This Row],[Active Member]]=1,Gym_Expansion_Data[[#This Row],[Tier]],"Inactive")</f>
        <v>Basic</v>
      </c>
    </row>
    <row r="639" spans="1:8" x14ac:dyDescent="0.2">
      <c r="A639">
        <v>1638</v>
      </c>
      <c r="B639" t="s">
        <v>11</v>
      </c>
      <c r="C639" t="s">
        <v>12</v>
      </c>
      <c r="D639" s="1">
        <v>45452</v>
      </c>
      <c r="E639">
        <v>89</v>
      </c>
      <c r="F639">
        <v>0</v>
      </c>
      <c r="G639">
        <f>IF(Gym_Expansion_Data[[#This Row],[Churned]]=0,1,0)</f>
        <v>1</v>
      </c>
      <c r="H639" t="str">
        <f>IF(Gym_Expansion_Data[[#This Row],[Active Member]]=1,Gym_Expansion_Data[[#This Row],[Tier]],"Inactive")</f>
        <v>Premium</v>
      </c>
    </row>
    <row r="640" spans="1:8" x14ac:dyDescent="0.2">
      <c r="A640">
        <v>1639</v>
      </c>
      <c r="B640" t="s">
        <v>6</v>
      </c>
      <c r="C640" t="s">
        <v>8</v>
      </c>
      <c r="D640" s="1">
        <v>45811</v>
      </c>
      <c r="E640">
        <v>129</v>
      </c>
      <c r="F640">
        <v>1</v>
      </c>
      <c r="G640">
        <f>IF(Gym_Expansion_Data[[#This Row],[Churned]]=0,1,0)</f>
        <v>0</v>
      </c>
      <c r="H640" t="str">
        <f>IF(Gym_Expansion_Data[[#This Row],[Active Member]]=1,Gym_Expansion_Data[[#This Row],[Tier]],"Inactive")</f>
        <v>Inactive</v>
      </c>
    </row>
    <row r="641" spans="1:8" x14ac:dyDescent="0.2">
      <c r="A641">
        <v>1640</v>
      </c>
      <c r="B641" t="s">
        <v>10</v>
      </c>
      <c r="C641" t="s">
        <v>12</v>
      </c>
      <c r="D641" s="1">
        <v>45692</v>
      </c>
      <c r="E641">
        <v>89</v>
      </c>
      <c r="F641">
        <v>0</v>
      </c>
      <c r="G641">
        <f>IF(Gym_Expansion_Data[[#This Row],[Churned]]=0,1,0)</f>
        <v>1</v>
      </c>
      <c r="H641" t="str">
        <f>IF(Gym_Expansion_Data[[#This Row],[Active Member]]=1,Gym_Expansion_Data[[#This Row],[Tier]],"Inactive")</f>
        <v>Premium</v>
      </c>
    </row>
    <row r="642" spans="1:8" x14ac:dyDescent="0.2">
      <c r="A642">
        <v>1641</v>
      </c>
      <c r="B642" t="s">
        <v>9</v>
      </c>
      <c r="C642" t="s">
        <v>7</v>
      </c>
      <c r="D642" s="1">
        <v>45614</v>
      </c>
      <c r="E642">
        <v>49</v>
      </c>
      <c r="F642">
        <v>0</v>
      </c>
      <c r="G642">
        <f>IF(Gym_Expansion_Data[[#This Row],[Churned]]=0,1,0)</f>
        <v>1</v>
      </c>
      <c r="H642" t="str">
        <f>IF(Gym_Expansion_Data[[#This Row],[Active Member]]=1,Gym_Expansion_Data[[#This Row],[Tier]],"Inactive")</f>
        <v>Basic</v>
      </c>
    </row>
    <row r="643" spans="1:8" x14ac:dyDescent="0.2">
      <c r="A643">
        <v>1642</v>
      </c>
      <c r="B643" t="s">
        <v>9</v>
      </c>
      <c r="C643" t="s">
        <v>7</v>
      </c>
      <c r="D643" s="1">
        <v>45599</v>
      </c>
      <c r="E643">
        <v>49</v>
      </c>
      <c r="F643">
        <v>0</v>
      </c>
      <c r="G643">
        <f>IF(Gym_Expansion_Data[[#This Row],[Churned]]=0,1,0)</f>
        <v>1</v>
      </c>
      <c r="H643" t="str">
        <f>IF(Gym_Expansion_Data[[#This Row],[Active Member]]=1,Gym_Expansion_Data[[#This Row],[Tier]],"Inactive")</f>
        <v>Basic</v>
      </c>
    </row>
    <row r="644" spans="1:8" x14ac:dyDescent="0.2">
      <c r="A644">
        <v>1643</v>
      </c>
      <c r="B644" t="s">
        <v>11</v>
      </c>
      <c r="C644" t="s">
        <v>7</v>
      </c>
      <c r="D644" s="1">
        <v>45880</v>
      </c>
      <c r="E644">
        <v>49</v>
      </c>
      <c r="F644">
        <v>0</v>
      </c>
      <c r="G644">
        <f>IF(Gym_Expansion_Data[[#This Row],[Churned]]=0,1,0)</f>
        <v>1</v>
      </c>
      <c r="H644" t="str">
        <f>IF(Gym_Expansion_Data[[#This Row],[Active Member]]=1,Gym_Expansion_Data[[#This Row],[Tier]],"Inactive")</f>
        <v>Basic</v>
      </c>
    </row>
    <row r="645" spans="1:8" x14ac:dyDescent="0.2">
      <c r="A645">
        <v>1644</v>
      </c>
      <c r="B645" t="s">
        <v>6</v>
      </c>
      <c r="C645" t="s">
        <v>7</v>
      </c>
      <c r="D645" s="1">
        <v>45851</v>
      </c>
      <c r="E645">
        <v>49</v>
      </c>
      <c r="F645">
        <v>1</v>
      </c>
      <c r="G645">
        <f>IF(Gym_Expansion_Data[[#This Row],[Churned]]=0,1,0)</f>
        <v>0</v>
      </c>
      <c r="H645" t="str">
        <f>IF(Gym_Expansion_Data[[#This Row],[Active Member]]=1,Gym_Expansion_Data[[#This Row],[Tier]],"Inactive")</f>
        <v>Inactive</v>
      </c>
    </row>
    <row r="646" spans="1:8" x14ac:dyDescent="0.2">
      <c r="A646">
        <v>1645</v>
      </c>
      <c r="B646" t="s">
        <v>11</v>
      </c>
      <c r="C646" t="s">
        <v>8</v>
      </c>
      <c r="D646" s="1">
        <v>45600</v>
      </c>
      <c r="E646">
        <v>129</v>
      </c>
      <c r="F646">
        <v>0</v>
      </c>
      <c r="G646">
        <f>IF(Gym_Expansion_Data[[#This Row],[Churned]]=0,1,0)</f>
        <v>1</v>
      </c>
      <c r="H646" t="str">
        <f>IF(Gym_Expansion_Data[[#This Row],[Active Member]]=1,Gym_Expansion_Data[[#This Row],[Tier]],"Inactive")</f>
        <v>Elite</v>
      </c>
    </row>
    <row r="647" spans="1:8" x14ac:dyDescent="0.2">
      <c r="A647">
        <v>1646</v>
      </c>
      <c r="B647" t="s">
        <v>10</v>
      </c>
      <c r="C647" t="s">
        <v>8</v>
      </c>
      <c r="D647" s="1">
        <v>45384</v>
      </c>
      <c r="E647">
        <v>129</v>
      </c>
      <c r="F647">
        <v>0</v>
      </c>
      <c r="G647">
        <f>IF(Gym_Expansion_Data[[#This Row],[Churned]]=0,1,0)</f>
        <v>1</v>
      </c>
      <c r="H647" t="str">
        <f>IF(Gym_Expansion_Data[[#This Row],[Active Member]]=1,Gym_Expansion_Data[[#This Row],[Tier]],"Inactive")</f>
        <v>Elite</v>
      </c>
    </row>
    <row r="648" spans="1:8" x14ac:dyDescent="0.2">
      <c r="A648">
        <v>1647</v>
      </c>
      <c r="B648" t="s">
        <v>11</v>
      </c>
      <c r="C648" t="s">
        <v>8</v>
      </c>
      <c r="D648" s="1">
        <v>45511</v>
      </c>
      <c r="E648">
        <v>129</v>
      </c>
      <c r="F648">
        <v>0</v>
      </c>
      <c r="G648">
        <f>IF(Gym_Expansion_Data[[#This Row],[Churned]]=0,1,0)</f>
        <v>1</v>
      </c>
      <c r="H648" t="str">
        <f>IF(Gym_Expansion_Data[[#This Row],[Active Member]]=1,Gym_Expansion_Data[[#This Row],[Tier]],"Inactive")</f>
        <v>Elite</v>
      </c>
    </row>
    <row r="649" spans="1:8" x14ac:dyDescent="0.2">
      <c r="A649">
        <v>1648</v>
      </c>
      <c r="B649" t="s">
        <v>11</v>
      </c>
      <c r="C649" t="s">
        <v>12</v>
      </c>
      <c r="D649" s="1">
        <v>45550</v>
      </c>
      <c r="E649">
        <v>89</v>
      </c>
      <c r="F649">
        <v>0</v>
      </c>
      <c r="G649">
        <f>IF(Gym_Expansion_Data[[#This Row],[Churned]]=0,1,0)</f>
        <v>1</v>
      </c>
      <c r="H649" t="str">
        <f>IF(Gym_Expansion_Data[[#This Row],[Active Member]]=1,Gym_Expansion_Data[[#This Row],[Tier]],"Inactive")</f>
        <v>Premium</v>
      </c>
    </row>
    <row r="650" spans="1:8" x14ac:dyDescent="0.2">
      <c r="A650">
        <v>1649</v>
      </c>
      <c r="B650" t="s">
        <v>6</v>
      </c>
      <c r="C650" t="s">
        <v>7</v>
      </c>
      <c r="D650" s="1">
        <v>45530</v>
      </c>
      <c r="E650">
        <v>49</v>
      </c>
      <c r="F650">
        <v>0</v>
      </c>
      <c r="G650">
        <f>IF(Gym_Expansion_Data[[#This Row],[Churned]]=0,1,0)</f>
        <v>1</v>
      </c>
      <c r="H650" t="str">
        <f>IF(Gym_Expansion_Data[[#This Row],[Active Member]]=1,Gym_Expansion_Data[[#This Row],[Tier]],"Inactive")</f>
        <v>Basic</v>
      </c>
    </row>
    <row r="651" spans="1:8" x14ac:dyDescent="0.2">
      <c r="A651">
        <v>1650</v>
      </c>
      <c r="B651" t="s">
        <v>6</v>
      </c>
      <c r="C651" t="s">
        <v>12</v>
      </c>
      <c r="D651" s="1">
        <v>45556</v>
      </c>
      <c r="E651">
        <v>89</v>
      </c>
      <c r="F651">
        <v>0</v>
      </c>
      <c r="G651">
        <f>IF(Gym_Expansion_Data[[#This Row],[Churned]]=0,1,0)</f>
        <v>1</v>
      </c>
      <c r="H651" t="str">
        <f>IF(Gym_Expansion_Data[[#This Row],[Active Member]]=1,Gym_Expansion_Data[[#This Row],[Tier]],"Inactive")</f>
        <v>Premium</v>
      </c>
    </row>
    <row r="652" spans="1:8" x14ac:dyDescent="0.2">
      <c r="A652">
        <v>1651</v>
      </c>
      <c r="B652" t="s">
        <v>9</v>
      </c>
      <c r="C652" t="s">
        <v>8</v>
      </c>
      <c r="D652" s="1">
        <v>45571</v>
      </c>
      <c r="E652">
        <v>129</v>
      </c>
      <c r="F652">
        <v>0</v>
      </c>
      <c r="G652">
        <f>IF(Gym_Expansion_Data[[#This Row],[Churned]]=0,1,0)</f>
        <v>1</v>
      </c>
      <c r="H652" t="str">
        <f>IF(Gym_Expansion_Data[[#This Row],[Active Member]]=1,Gym_Expansion_Data[[#This Row],[Tier]],"Inactive")</f>
        <v>Elite</v>
      </c>
    </row>
    <row r="653" spans="1:8" x14ac:dyDescent="0.2">
      <c r="A653">
        <v>1652</v>
      </c>
      <c r="B653" t="s">
        <v>6</v>
      </c>
      <c r="C653" t="s">
        <v>12</v>
      </c>
      <c r="D653" s="1">
        <v>45488</v>
      </c>
      <c r="E653">
        <v>89</v>
      </c>
      <c r="F653">
        <v>1</v>
      </c>
      <c r="G653">
        <f>IF(Gym_Expansion_Data[[#This Row],[Churned]]=0,1,0)</f>
        <v>0</v>
      </c>
      <c r="H653" t="str">
        <f>IF(Gym_Expansion_Data[[#This Row],[Active Member]]=1,Gym_Expansion_Data[[#This Row],[Tier]],"Inactive")</f>
        <v>Inactive</v>
      </c>
    </row>
    <row r="654" spans="1:8" x14ac:dyDescent="0.2">
      <c r="A654">
        <v>1653</v>
      </c>
      <c r="B654" t="s">
        <v>6</v>
      </c>
      <c r="C654" t="s">
        <v>7</v>
      </c>
      <c r="D654" s="1">
        <v>45814</v>
      </c>
      <c r="E654">
        <v>49</v>
      </c>
      <c r="F654">
        <v>0</v>
      </c>
      <c r="G654">
        <f>IF(Gym_Expansion_Data[[#This Row],[Churned]]=0,1,0)</f>
        <v>1</v>
      </c>
      <c r="H654" t="str">
        <f>IF(Gym_Expansion_Data[[#This Row],[Active Member]]=1,Gym_Expansion_Data[[#This Row],[Tier]],"Inactive")</f>
        <v>Basic</v>
      </c>
    </row>
    <row r="655" spans="1:8" x14ac:dyDescent="0.2">
      <c r="A655">
        <v>1654</v>
      </c>
      <c r="B655" t="s">
        <v>10</v>
      </c>
      <c r="C655" t="s">
        <v>7</v>
      </c>
      <c r="D655" s="1">
        <v>45625</v>
      </c>
      <c r="E655">
        <v>49</v>
      </c>
      <c r="F655">
        <v>0</v>
      </c>
      <c r="G655">
        <f>IF(Gym_Expansion_Data[[#This Row],[Churned]]=0,1,0)</f>
        <v>1</v>
      </c>
      <c r="H655" t="str">
        <f>IF(Gym_Expansion_Data[[#This Row],[Active Member]]=1,Gym_Expansion_Data[[#This Row],[Tier]],"Inactive")</f>
        <v>Basic</v>
      </c>
    </row>
    <row r="656" spans="1:8" x14ac:dyDescent="0.2">
      <c r="A656">
        <v>1655</v>
      </c>
      <c r="B656" t="s">
        <v>11</v>
      </c>
      <c r="C656" t="s">
        <v>8</v>
      </c>
      <c r="D656" s="1">
        <v>45759</v>
      </c>
      <c r="E656">
        <v>129</v>
      </c>
      <c r="F656">
        <v>1</v>
      </c>
      <c r="G656">
        <f>IF(Gym_Expansion_Data[[#This Row],[Churned]]=0,1,0)</f>
        <v>0</v>
      </c>
      <c r="H656" t="str">
        <f>IF(Gym_Expansion_Data[[#This Row],[Active Member]]=1,Gym_Expansion_Data[[#This Row],[Tier]],"Inactive")</f>
        <v>Inactive</v>
      </c>
    </row>
    <row r="657" spans="1:8" x14ac:dyDescent="0.2">
      <c r="A657">
        <v>1656</v>
      </c>
      <c r="B657" t="s">
        <v>11</v>
      </c>
      <c r="C657" t="s">
        <v>7</v>
      </c>
      <c r="D657" s="1">
        <v>45914</v>
      </c>
      <c r="E657">
        <v>49</v>
      </c>
      <c r="F657">
        <v>0</v>
      </c>
      <c r="G657">
        <f>IF(Gym_Expansion_Data[[#This Row],[Churned]]=0,1,0)</f>
        <v>1</v>
      </c>
      <c r="H657" t="str">
        <f>IF(Gym_Expansion_Data[[#This Row],[Active Member]]=1,Gym_Expansion_Data[[#This Row],[Tier]],"Inactive")</f>
        <v>Basic</v>
      </c>
    </row>
    <row r="658" spans="1:8" x14ac:dyDescent="0.2">
      <c r="A658">
        <v>1657</v>
      </c>
      <c r="B658" t="s">
        <v>9</v>
      </c>
      <c r="C658" t="s">
        <v>7</v>
      </c>
      <c r="D658" s="1">
        <v>45976</v>
      </c>
      <c r="E658">
        <v>49</v>
      </c>
      <c r="F658">
        <v>1</v>
      </c>
      <c r="G658">
        <f>IF(Gym_Expansion_Data[[#This Row],[Churned]]=0,1,0)</f>
        <v>0</v>
      </c>
      <c r="H658" t="str">
        <f>IF(Gym_Expansion_Data[[#This Row],[Active Member]]=1,Gym_Expansion_Data[[#This Row],[Tier]],"Inactive")</f>
        <v>Inactive</v>
      </c>
    </row>
    <row r="659" spans="1:8" x14ac:dyDescent="0.2">
      <c r="A659">
        <v>1658</v>
      </c>
      <c r="B659" t="s">
        <v>9</v>
      </c>
      <c r="C659" t="s">
        <v>12</v>
      </c>
      <c r="D659" s="1">
        <v>45888</v>
      </c>
      <c r="E659">
        <v>89</v>
      </c>
      <c r="F659">
        <v>0</v>
      </c>
      <c r="G659">
        <f>IF(Gym_Expansion_Data[[#This Row],[Churned]]=0,1,0)</f>
        <v>1</v>
      </c>
      <c r="H659" t="str">
        <f>IF(Gym_Expansion_Data[[#This Row],[Active Member]]=1,Gym_Expansion_Data[[#This Row],[Tier]],"Inactive")</f>
        <v>Premium</v>
      </c>
    </row>
    <row r="660" spans="1:8" x14ac:dyDescent="0.2">
      <c r="A660">
        <v>1659</v>
      </c>
      <c r="B660" t="s">
        <v>11</v>
      </c>
      <c r="C660" t="s">
        <v>12</v>
      </c>
      <c r="D660" s="1">
        <v>45653</v>
      </c>
      <c r="E660">
        <v>89</v>
      </c>
      <c r="F660">
        <v>0</v>
      </c>
      <c r="G660">
        <f>IF(Gym_Expansion_Data[[#This Row],[Churned]]=0,1,0)</f>
        <v>1</v>
      </c>
      <c r="H660" t="str">
        <f>IF(Gym_Expansion_Data[[#This Row],[Active Member]]=1,Gym_Expansion_Data[[#This Row],[Tier]],"Inactive")</f>
        <v>Premium</v>
      </c>
    </row>
    <row r="661" spans="1:8" x14ac:dyDescent="0.2">
      <c r="A661">
        <v>1660</v>
      </c>
      <c r="B661" t="s">
        <v>9</v>
      </c>
      <c r="C661" t="s">
        <v>7</v>
      </c>
      <c r="D661" s="1">
        <v>45690</v>
      </c>
      <c r="E661">
        <v>49</v>
      </c>
      <c r="F661">
        <v>0</v>
      </c>
      <c r="G661">
        <f>IF(Gym_Expansion_Data[[#This Row],[Churned]]=0,1,0)</f>
        <v>1</v>
      </c>
      <c r="H661" t="str">
        <f>IF(Gym_Expansion_Data[[#This Row],[Active Member]]=1,Gym_Expansion_Data[[#This Row],[Tier]],"Inactive")</f>
        <v>Basic</v>
      </c>
    </row>
    <row r="662" spans="1:8" x14ac:dyDescent="0.2">
      <c r="A662">
        <v>1661</v>
      </c>
      <c r="B662" t="s">
        <v>10</v>
      </c>
      <c r="C662" t="s">
        <v>7</v>
      </c>
      <c r="D662" s="1">
        <v>45317</v>
      </c>
      <c r="E662">
        <v>49</v>
      </c>
      <c r="F662">
        <v>1</v>
      </c>
      <c r="G662">
        <f>IF(Gym_Expansion_Data[[#This Row],[Churned]]=0,1,0)</f>
        <v>0</v>
      </c>
      <c r="H662" t="str">
        <f>IF(Gym_Expansion_Data[[#This Row],[Active Member]]=1,Gym_Expansion_Data[[#This Row],[Tier]],"Inactive")</f>
        <v>Inactive</v>
      </c>
    </row>
    <row r="663" spans="1:8" x14ac:dyDescent="0.2">
      <c r="A663">
        <v>1662</v>
      </c>
      <c r="B663" t="s">
        <v>6</v>
      </c>
      <c r="C663" t="s">
        <v>12</v>
      </c>
      <c r="D663" s="1">
        <v>45798</v>
      </c>
      <c r="E663">
        <v>89</v>
      </c>
      <c r="F663">
        <v>0</v>
      </c>
      <c r="G663">
        <f>IF(Gym_Expansion_Data[[#This Row],[Churned]]=0,1,0)</f>
        <v>1</v>
      </c>
      <c r="H663" t="str">
        <f>IF(Gym_Expansion_Data[[#This Row],[Active Member]]=1,Gym_Expansion_Data[[#This Row],[Tier]],"Inactive")</f>
        <v>Premium</v>
      </c>
    </row>
    <row r="664" spans="1:8" x14ac:dyDescent="0.2">
      <c r="A664">
        <v>1663</v>
      </c>
      <c r="B664" t="s">
        <v>9</v>
      </c>
      <c r="C664" t="s">
        <v>7</v>
      </c>
      <c r="D664" s="1">
        <v>45919</v>
      </c>
      <c r="E664">
        <v>49</v>
      </c>
      <c r="F664">
        <v>0</v>
      </c>
      <c r="G664">
        <f>IF(Gym_Expansion_Data[[#This Row],[Churned]]=0,1,0)</f>
        <v>1</v>
      </c>
      <c r="H664" t="str">
        <f>IF(Gym_Expansion_Data[[#This Row],[Active Member]]=1,Gym_Expansion_Data[[#This Row],[Tier]],"Inactive")</f>
        <v>Basic</v>
      </c>
    </row>
    <row r="665" spans="1:8" x14ac:dyDescent="0.2">
      <c r="A665">
        <v>1664</v>
      </c>
      <c r="B665" t="s">
        <v>6</v>
      </c>
      <c r="C665" t="s">
        <v>7</v>
      </c>
      <c r="D665" s="1">
        <v>45768</v>
      </c>
      <c r="E665">
        <v>49</v>
      </c>
      <c r="F665">
        <v>1</v>
      </c>
      <c r="G665">
        <f>IF(Gym_Expansion_Data[[#This Row],[Churned]]=0,1,0)</f>
        <v>0</v>
      </c>
      <c r="H665" t="str">
        <f>IF(Gym_Expansion_Data[[#This Row],[Active Member]]=1,Gym_Expansion_Data[[#This Row],[Tier]],"Inactive")</f>
        <v>Inactive</v>
      </c>
    </row>
    <row r="666" spans="1:8" x14ac:dyDescent="0.2">
      <c r="A666">
        <v>1665</v>
      </c>
      <c r="B666" t="s">
        <v>9</v>
      </c>
      <c r="C666" t="s">
        <v>12</v>
      </c>
      <c r="D666" s="1">
        <v>45845</v>
      </c>
      <c r="E666">
        <v>89</v>
      </c>
      <c r="F666">
        <v>0</v>
      </c>
      <c r="G666">
        <f>IF(Gym_Expansion_Data[[#This Row],[Churned]]=0,1,0)</f>
        <v>1</v>
      </c>
      <c r="H666" t="str">
        <f>IF(Gym_Expansion_Data[[#This Row],[Active Member]]=1,Gym_Expansion_Data[[#This Row],[Tier]],"Inactive")</f>
        <v>Premium</v>
      </c>
    </row>
    <row r="667" spans="1:8" x14ac:dyDescent="0.2">
      <c r="A667">
        <v>1666</v>
      </c>
      <c r="B667" t="s">
        <v>10</v>
      </c>
      <c r="C667" t="s">
        <v>8</v>
      </c>
      <c r="D667" s="1">
        <v>45352</v>
      </c>
      <c r="E667">
        <v>129</v>
      </c>
      <c r="F667">
        <v>0</v>
      </c>
      <c r="G667">
        <f>IF(Gym_Expansion_Data[[#This Row],[Churned]]=0,1,0)</f>
        <v>1</v>
      </c>
      <c r="H667" t="str">
        <f>IF(Gym_Expansion_Data[[#This Row],[Active Member]]=1,Gym_Expansion_Data[[#This Row],[Tier]],"Inactive")</f>
        <v>Elite</v>
      </c>
    </row>
    <row r="668" spans="1:8" x14ac:dyDescent="0.2">
      <c r="A668">
        <v>1667</v>
      </c>
      <c r="B668" t="s">
        <v>11</v>
      </c>
      <c r="C668" t="s">
        <v>8</v>
      </c>
      <c r="D668" s="1">
        <v>45961</v>
      </c>
      <c r="E668">
        <v>129</v>
      </c>
      <c r="F668">
        <v>0</v>
      </c>
      <c r="G668">
        <f>IF(Gym_Expansion_Data[[#This Row],[Churned]]=0,1,0)</f>
        <v>1</v>
      </c>
      <c r="H668" t="str">
        <f>IF(Gym_Expansion_Data[[#This Row],[Active Member]]=1,Gym_Expansion_Data[[#This Row],[Tier]],"Inactive")</f>
        <v>Elite</v>
      </c>
    </row>
    <row r="669" spans="1:8" x14ac:dyDescent="0.2">
      <c r="A669">
        <v>1668</v>
      </c>
      <c r="B669" t="s">
        <v>11</v>
      </c>
      <c r="C669" t="s">
        <v>7</v>
      </c>
      <c r="D669" s="1">
        <v>45791</v>
      </c>
      <c r="E669">
        <v>49</v>
      </c>
      <c r="F669">
        <v>0</v>
      </c>
      <c r="G669">
        <f>IF(Gym_Expansion_Data[[#This Row],[Churned]]=0,1,0)</f>
        <v>1</v>
      </c>
      <c r="H669" t="str">
        <f>IF(Gym_Expansion_Data[[#This Row],[Active Member]]=1,Gym_Expansion_Data[[#This Row],[Tier]],"Inactive")</f>
        <v>Basic</v>
      </c>
    </row>
    <row r="670" spans="1:8" x14ac:dyDescent="0.2">
      <c r="A670">
        <v>1669</v>
      </c>
      <c r="B670" t="s">
        <v>6</v>
      </c>
      <c r="C670" t="s">
        <v>7</v>
      </c>
      <c r="D670" s="1">
        <v>45409</v>
      </c>
      <c r="E670">
        <v>49</v>
      </c>
      <c r="F670">
        <v>0</v>
      </c>
      <c r="G670">
        <f>IF(Gym_Expansion_Data[[#This Row],[Churned]]=0,1,0)</f>
        <v>1</v>
      </c>
      <c r="H670" t="str">
        <f>IF(Gym_Expansion_Data[[#This Row],[Active Member]]=1,Gym_Expansion_Data[[#This Row],[Tier]],"Inactive")</f>
        <v>Basic</v>
      </c>
    </row>
    <row r="671" spans="1:8" x14ac:dyDescent="0.2">
      <c r="A671">
        <v>1670</v>
      </c>
      <c r="B671" t="s">
        <v>9</v>
      </c>
      <c r="C671" t="s">
        <v>7</v>
      </c>
      <c r="D671" s="1">
        <v>45782</v>
      </c>
      <c r="E671">
        <v>49</v>
      </c>
      <c r="F671">
        <v>0</v>
      </c>
      <c r="G671">
        <f>IF(Gym_Expansion_Data[[#This Row],[Churned]]=0,1,0)</f>
        <v>1</v>
      </c>
      <c r="H671" t="str">
        <f>IF(Gym_Expansion_Data[[#This Row],[Active Member]]=1,Gym_Expansion_Data[[#This Row],[Tier]],"Inactive")</f>
        <v>Basic</v>
      </c>
    </row>
    <row r="672" spans="1:8" x14ac:dyDescent="0.2">
      <c r="A672">
        <v>1671</v>
      </c>
      <c r="B672" t="s">
        <v>11</v>
      </c>
      <c r="C672" t="s">
        <v>7</v>
      </c>
      <c r="D672" s="1">
        <v>45534</v>
      </c>
      <c r="E672">
        <v>49</v>
      </c>
      <c r="F672">
        <v>0</v>
      </c>
      <c r="G672">
        <f>IF(Gym_Expansion_Data[[#This Row],[Churned]]=0,1,0)</f>
        <v>1</v>
      </c>
      <c r="H672" t="str">
        <f>IF(Gym_Expansion_Data[[#This Row],[Active Member]]=1,Gym_Expansion_Data[[#This Row],[Tier]],"Inactive")</f>
        <v>Basic</v>
      </c>
    </row>
    <row r="673" spans="1:8" x14ac:dyDescent="0.2">
      <c r="A673">
        <v>1672</v>
      </c>
      <c r="B673" t="s">
        <v>10</v>
      </c>
      <c r="C673" t="s">
        <v>7</v>
      </c>
      <c r="D673" s="1">
        <v>45380</v>
      </c>
      <c r="E673">
        <v>49</v>
      </c>
      <c r="F673">
        <v>0</v>
      </c>
      <c r="G673">
        <f>IF(Gym_Expansion_Data[[#This Row],[Churned]]=0,1,0)</f>
        <v>1</v>
      </c>
      <c r="H673" t="str">
        <f>IF(Gym_Expansion_Data[[#This Row],[Active Member]]=1,Gym_Expansion_Data[[#This Row],[Tier]],"Inactive")</f>
        <v>Basic</v>
      </c>
    </row>
    <row r="674" spans="1:8" x14ac:dyDescent="0.2">
      <c r="A674">
        <v>1673</v>
      </c>
      <c r="B674" t="s">
        <v>9</v>
      </c>
      <c r="C674" t="s">
        <v>7</v>
      </c>
      <c r="D674" s="1">
        <v>45526</v>
      </c>
      <c r="E674">
        <v>49</v>
      </c>
      <c r="F674">
        <v>0</v>
      </c>
      <c r="G674">
        <f>IF(Gym_Expansion_Data[[#This Row],[Churned]]=0,1,0)</f>
        <v>1</v>
      </c>
      <c r="H674" t="str">
        <f>IF(Gym_Expansion_Data[[#This Row],[Active Member]]=1,Gym_Expansion_Data[[#This Row],[Tier]],"Inactive")</f>
        <v>Basic</v>
      </c>
    </row>
    <row r="675" spans="1:8" x14ac:dyDescent="0.2">
      <c r="A675">
        <v>1674</v>
      </c>
      <c r="B675" t="s">
        <v>11</v>
      </c>
      <c r="C675" t="s">
        <v>12</v>
      </c>
      <c r="D675" s="1">
        <v>45962</v>
      </c>
      <c r="E675">
        <v>89</v>
      </c>
      <c r="F675">
        <v>0</v>
      </c>
      <c r="G675">
        <f>IF(Gym_Expansion_Data[[#This Row],[Churned]]=0,1,0)</f>
        <v>1</v>
      </c>
      <c r="H675" t="str">
        <f>IF(Gym_Expansion_Data[[#This Row],[Active Member]]=1,Gym_Expansion_Data[[#This Row],[Tier]],"Inactive")</f>
        <v>Premium</v>
      </c>
    </row>
    <row r="676" spans="1:8" x14ac:dyDescent="0.2">
      <c r="A676">
        <v>1675</v>
      </c>
      <c r="B676" t="s">
        <v>9</v>
      </c>
      <c r="C676" t="s">
        <v>7</v>
      </c>
      <c r="D676" s="1">
        <v>45522</v>
      </c>
      <c r="E676">
        <v>49</v>
      </c>
      <c r="F676">
        <v>0</v>
      </c>
      <c r="G676">
        <f>IF(Gym_Expansion_Data[[#This Row],[Churned]]=0,1,0)</f>
        <v>1</v>
      </c>
      <c r="H676" t="str">
        <f>IF(Gym_Expansion_Data[[#This Row],[Active Member]]=1,Gym_Expansion_Data[[#This Row],[Tier]],"Inactive")</f>
        <v>Basic</v>
      </c>
    </row>
    <row r="677" spans="1:8" x14ac:dyDescent="0.2">
      <c r="A677">
        <v>1676</v>
      </c>
      <c r="B677" t="s">
        <v>9</v>
      </c>
      <c r="C677" t="s">
        <v>7</v>
      </c>
      <c r="D677" s="1">
        <v>45314</v>
      </c>
      <c r="E677">
        <v>49</v>
      </c>
      <c r="F677">
        <v>0</v>
      </c>
      <c r="G677">
        <f>IF(Gym_Expansion_Data[[#This Row],[Churned]]=0,1,0)</f>
        <v>1</v>
      </c>
      <c r="H677" t="str">
        <f>IF(Gym_Expansion_Data[[#This Row],[Active Member]]=1,Gym_Expansion_Data[[#This Row],[Tier]],"Inactive")</f>
        <v>Basic</v>
      </c>
    </row>
    <row r="678" spans="1:8" x14ac:dyDescent="0.2">
      <c r="A678">
        <v>1677</v>
      </c>
      <c r="B678" t="s">
        <v>9</v>
      </c>
      <c r="C678" t="s">
        <v>12</v>
      </c>
      <c r="D678" s="1">
        <v>45840</v>
      </c>
      <c r="E678">
        <v>89</v>
      </c>
      <c r="F678">
        <v>1</v>
      </c>
      <c r="G678">
        <f>IF(Gym_Expansion_Data[[#This Row],[Churned]]=0,1,0)</f>
        <v>0</v>
      </c>
      <c r="H678" t="str">
        <f>IF(Gym_Expansion_Data[[#This Row],[Active Member]]=1,Gym_Expansion_Data[[#This Row],[Tier]],"Inactive")</f>
        <v>Inactive</v>
      </c>
    </row>
    <row r="679" spans="1:8" x14ac:dyDescent="0.2">
      <c r="A679">
        <v>1678</v>
      </c>
      <c r="B679" t="s">
        <v>9</v>
      </c>
      <c r="C679" t="s">
        <v>7</v>
      </c>
      <c r="D679" s="1">
        <v>45428</v>
      </c>
      <c r="E679">
        <v>49</v>
      </c>
      <c r="F679">
        <v>0</v>
      </c>
      <c r="G679">
        <f>IF(Gym_Expansion_Data[[#This Row],[Churned]]=0,1,0)</f>
        <v>1</v>
      </c>
      <c r="H679" t="str">
        <f>IF(Gym_Expansion_Data[[#This Row],[Active Member]]=1,Gym_Expansion_Data[[#This Row],[Tier]],"Inactive")</f>
        <v>Basic</v>
      </c>
    </row>
    <row r="680" spans="1:8" x14ac:dyDescent="0.2">
      <c r="A680">
        <v>1679</v>
      </c>
      <c r="B680" t="s">
        <v>9</v>
      </c>
      <c r="C680" t="s">
        <v>12</v>
      </c>
      <c r="D680" s="1">
        <v>45880</v>
      </c>
      <c r="E680">
        <v>89</v>
      </c>
      <c r="F680">
        <v>1</v>
      </c>
      <c r="G680">
        <f>IF(Gym_Expansion_Data[[#This Row],[Churned]]=0,1,0)</f>
        <v>0</v>
      </c>
      <c r="H680" t="str">
        <f>IF(Gym_Expansion_Data[[#This Row],[Active Member]]=1,Gym_Expansion_Data[[#This Row],[Tier]],"Inactive")</f>
        <v>Inactive</v>
      </c>
    </row>
    <row r="681" spans="1:8" x14ac:dyDescent="0.2">
      <c r="A681">
        <v>1680</v>
      </c>
      <c r="B681" t="s">
        <v>11</v>
      </c>
      <c r="C681" t="s">
        <v>7</v>
      </c>
      <c r="D681" s="1">
        <v>45975</v>
      </c>
      <c r="E681">
        <v>49</v>
      </c>
      <c r="F681">
        <v>0</v>
      </c>
      <c r="G681">
        <f>IF(Gym_Expansion_Data[[#This Row],[Churned]]=0,1,0)</f>
        <v>1</v>
      </c>
      <c r="H681" t="str">
        <f>IF(Gym_Expansion_Data[[#This Row],[Active Member]]=1,Gym_Expansion_Data[[#This Row],[Tier]],"Inactive")</f>
        <v>Basic</v>
      </c>
    </row>
    <row r="682" spans="1:8" x14ac:dyDescent="0.2">
      <c r="A682">
        <v>1681</v>
      </c>
      <c r="B682" t="s">
        <v>11</v>
      </c>
      <c r="C682" t="s">
        <v>12</v>
      </c>
      <c r="D682" s="1">
        <v>45507</v>
      </c>
      <c r="E682">
        <v>89</v>
      </c>
      <c r="F682">
        <v>0</v>
      </c>
      <c r="G682">
        <f>IF(Gym_Expansion_Data[[#This Row],[Churned]]=0,1,0)</f>
        <v>1</v>
      </c>
      <c r="H682" t="str">
        <f>IF(Gym_Expansion_Data[[#This Row],[Active Member]]=1,Gym_Expansion_Data[[#This Row],[Tier]],"Inactive")</f>
        <v>Premium</v>
      </c>
    </row>
    <row r="683" spans="1:8" x14ac:dyDescent="0.2">
      <c r="A683">
        <v>1682</v>
      </c>
      <c r="B683" t="s">
        <v>6</v>
      </c>
      <c r="C683" t="s">
        <v>8</v>
      </c>
      <c r="D683" s="1">
        <v>45787</v>
      </c>
      <c r="E683">
        <v>129</v>
      </c>
      <c r="F683">
        <v>0</v>
      </c>
      <c r="G683">
        <f>IF(Gym_Expansion_Data[[#This Row],[Churned]]=0,1,0)</f>
        <v>1</v>
      </c>
      <c r="H683" t="str">
        <f>IF(Gym_Expansion_Data[[#This Row],[Active Member]]=1,Gym_Expansion_Data[[#This Row],[Tier]],"Inactive")</f>
        <v>Elite</v>
      </c>
    </row>
    <row r="684" spans="1:8" x14ac:dyDescent="0.2">
      <c r="A684">
        <v>1683</v>
      </c>
      <c r="B684" t="s">
        <v>10</v>
      </c>
      <c r="C684" t="s">
        <v>12</v>
      </c>
      <c r="D684" s="1">
        <v>45649</v>
      </c>
      <c r="E684">
        <v>89</v>
      </c>
      <c r="F684">
        <v>0</v>
      </c>
      <c r="G684">
        <f>IF(Gym_Expansion_Data[[#This Row],[Churned]]=0,1,0)</f>
        <v>1</v>
      </c>
      <c r="H684" t="str">
        <f>IF(Gym_Expansion_Data[[#This Row],[Active Member]]=1,Gym_Expansion_Data[[#This Row],[Tier]],"Inactive")</f>
        <v>Premium</v>
      </c>
    </row>
    <row r="685" spans="1:8" x14ac:dyDescent="0.2">
      <c r="A685">
        <v>1684</v>
      </c>
      <c r="B685" t="s">
        <v>6</v>
      </c>
      <c r="C685" t="s">
        <v>12</v>
      </c>
      <c r="D685" s="1">
        <v>45945</v>
      </c>
      <c r="E685">
        <v>89</v>
      </c>
      <c r="F685">
        <v>0</v>
      </c>
      <c r="G685">
        <f>IF(Gym_Expansion_Data[[#This Row],[Churned]]=0,1,0)</f>
        <v>1</v>
      </c>
      <c r="H685" t="str">
        <f>IF(Gym_Expansion_Data[[#This Row],[Active Member]]=1,Gym_Expansion_Data[[#This Row],[Tier]],"Inactive")</f>
        <v>Premium</v>
      </c>
    </row>
    <row r="686" spans="1:8" x14ac:dyDescent="0.2">
      <c r="A686">
        <v>1685</v>
      </c>
      <c r="B686" t="s">
        <v>9</v>
      </c>
      <c r="C686" t="s">
        <v>7</v>
      </c>
      <c r="D686" s="1">
        <v>45500</v>
      </c>
      <c r="E686">
        <v>49</v>
      </c>
      <c r="F686">
        <v>0</v>
      </c>
      <c r="G686">
        <f>IF(Gym_Expansion_Data[[#This Row],[Churned]]=0,1,0)</f>
        <v>1</v>
      </c>
      <c r="H686" t="str">
        <f>IF(Gym_Expansion_Data[[#This Row],[Active Member]]=1,Gym_Expansion_Data[[#This Row],[Tier]],"Inactive")</f>
        <v>Basic</v>
      </c>
    </row>
    <row r="687" spans="1:8" x14ac:dyDescent="0.2">
      <c r="A687">
        <v>1686</v>
      </c>
      <c r="B687" t="s">
        <v>6</v>
      </c>
      <c r="C687" t="s">
        <v>12</v>
      </c>
      <c r="D687" s="1">
        <v>45794</v>
      </c>
      <c r="E687">
        <v>89</v>
      </c>
      <c r="F687">
        <v>0</v>
      </c>
      <c r="G687">
        <f>IF(Gym_Expansion_Data[[#This Row],[Churned]]=0,1,0)</f>
        <v>1</v>
      </c>
      <c r="H687" t="str">
        <f>IF(Gym_Expansion_Data[[#This Row],[Active Member]]=1,Gym_Expansion_Data[[#This Row],[Tier]],"Inactive")</f>
        <v>Premium</v>
      </c>
    </row>
    <row r="688" spans="1:8" x14ac:dyDescent="0.2">
      <c r="A688">
        <v>1687</v>
      </c>
      <c r="B688" t="s">
        <v>9</v>
      </c>
      <c r="C688" t="s">
        <v>7</v>
      </c>
      <c r="D688" s="1">
        <v>45727</v>
      </c>
      <c r="E688">
        <v>49</v>
      </c>
      <c r="F688">
        <v>0</v>
      </c>
      <c r="G688">
        <f>IF(Gym_Expansion_Data[[#This Row],[Churned]]=0,1,0)</f>
        <v>1</v>
      </c>
      <c r="H688" t="str">
        <f>IF(Gym_Expansion_Data[[#This Row],[Active Member]]=1,Gym_Expansion_Data[[#This Row],[Tier]],"Inactive")</f>
        <v>Basic</v>
      </c>
    </row>
    <row r="689" spans="1:8" x14ac:dyDescent="0.2">
      <c r="A689">
        <v>1688</v>
      </c>
      <c r="B689" t="s">
        <v>9</v>
      </c>
      <c r="C689" t="s">
        <v>7</v>
      </c>
      <c r="D689" s="1">
        <v>45296</v>
      </c>
      <c r="E689">
        <v>49</v>
      </c>
      <c r="F689">
        <v>0</v>
      </c>
      <c r="G689">
        <f>IF(Gym_Expansion_Data[[#This Row],[Churned]]=0,1,0)</f>
        <v>1</v>
      </c>
      <c r="H689" t="str">
        <f>IF(Gym_Expansion_Data[[#This Row],[Active Member]]=1,Gym_Expansion_Data[[#This Row],[Tier]],"Inactive")</f>
        <v>Basic</v>
      </c>
    </row>
    <row r="690" spans="1:8" x14ac:dyDescent="0.2">
      <c r="A690">
        <v>1689</v>
      </c>
      <c r="B690" t="s">
        <v>10</v>
      </c>
      <c r="C690" t="s">
        <v>12</v>
      </c>
      <c r="D690" s="1">
        <v>45728</v>
      </c>
      <c r="E690">
        <v>89</v>
      </c>
      <c r="F690">
        <v>0</v>
      </c>
      <c r="G690">
        <f>IF(Gym_Expansion_Data[[#This Row],[Churned]]=0,1,0)</f>
        <v>1</v>
      </c>
      <c r="H690" t="str">
        <f>IF(Gym_Expansion_Data[[#This Row],[Active Member]]=1,Gym_Expansion_Data[[#This Row],[Tier]],"Inactive")</f>
        <v>Premium</v>
      </c>
    </row>
    <row r="691" spans="1:8" x14ac:dyDescent="0.2">
      <c r="A691">
        <v>1690</v>
      </c>
      <c r="B691" t="s">
        <v>11</v>
      </c>
      <c r="C691" t="s">
        <v>7</v>
      </c>
      <c r="D691" s="1">
        <v>45896</v>
      </c>
      <c r="E691">
        <v>49</v>
      </c>
      <c r="F691">
        <v>0</v>
      </c>
      <c r="G691">
        <f>IF(Gym_Expansion_Data[[#This Row],[Churned]]=0,1,0)</f>
        <v>1</v>
      </c>
      <c r="H691" t="str">
        <f>IF(Gym_Expansion_Data[[#This Row],[Active Member]]=1,Gym_Expansion_Data[[#This Row],[Tier]],"Inactive")</f>
        <v>Basic</v>
      </c>
    </row>
    <row r="692" spans="1:8" x14ac:dyDescent="0.2">
      <c r="A692">
        <v>1691</v>
      </c>
      <c r="B692" t="s">
        <v>10</v>
      </c>
      <c r="C692" t="s">
        <v>7</v>
      </c>
      <c r="D692" s="1">
        <v>45838</v>
      </c>
      <c r="E692">
        <v>49</v>
      </c>
      <c r="F692">
        <v>0</v>
      </c>
      <c r="G692">
        <f>IF(Gym_Expansion_Data[[#This Row],[Churned]]=0,1,0)</f>
        <v>1</v>
      </c>
      <c r="H692" t="str">
        <f>IF(Gym_Expansion_Data[[#This Row],[Active Member]]=1,Gym_Expansion_Data[[#This Row],[Tier]],"Inactive")</f>
        <v>Basic</v>
      </c>
    </row>
    <row r="693" spans="1:8" x14ac:dyDescent="0.2">
      <c r="A693">
        <v>1692</v>
      </c>
      <c r="B693" t="s">
        <v>9</v>
      </c>
      <c r="C693" t="s">
        <v>7</v>
      </c>
      <c r="D693" s="1">
        <v>45991</v>
      </c>
      <c r="E693">
        <v>49</v>
      </c>
      <c r="F693">
        <v>1</v>
      </c>
      <c r="G693">
        <f>IF(Gym_Expansion_Data[[#This Row],[Churned]]=0,1,0)</f>
        <v>0</v>
      </c>
      <c r="H693" t="str">
        <f>IF(Gym_Expansion_Data[[#This Row],[Active Member]]=1,Gym_Expansion_Data[[#This Row],[Tier]],"Inactive")</f>
        <v>Inactive</v>
      </c>
    </row>
    <row r="694" spans="1:8" x14ac:dyDescent="0.2">
      <c r="A694">
        <v>1693</v>
      </c>
      <c r="B694" t="s">
        <v>6</v>
      </c>
      <c r="C694" t="s">
        <v>7</v>
      </c>
      <c r="D694" s="1">
        <v>45944</v>
      </c>
      <c r="E694">
        <v>49</v>
      </c>
      <c r="F694">
        <v>0</v>
      </c>
      <c r="G694">
        <f>IF(Gym_Expansion_Data[[#This Row],[Churned]]=0,1,0)</f>
        <v>1</v>
      </c>
      <c r="H694" t="str">
        <f>IF(Gym_Expansion_Data[[#This Row],[Active Member]]=1,Gym_Expansion_Data[[#This Row],[Tier]],"Inactive")</f>
        <v>Basic</v>
      </c>
    </row>
    <row r="695" spans="1:8" x14ac:dyDescent="0.2">
      <c r="A695">
        <v>1694</v>
      </c>
      <c r="B695" t="s">
        <v>6</v>
      </c>
      <c r="C695" t="s">
        <v>12</v>
      </c>
      <c r="D695" s="1">
        <v>45371</v>
      </c>
      <c r="E695">
        <v>89</v>
      </c>
      <c r="F695">
        <v>1</v>
      </c>
      <c r="G695">
        <f>IF(Gym_Expansion_Data[[#This Row],[Churned]]=0,1,0)</f>
        <v>0</v>
      </c>
      <c r="H695" t="str">
        <f>IF(Gym_Expansion_Data[[#This Row],[Active Member]]=1,Gym_Expansion_Data[[#This Row],[Tier]],"Inactive")</f>
        <v>Inactive</v>
      </c>
    </row>
    <row r="696" spans="1:8" x14ac:dyDescent="0.2">
      <c r="A696">
        <v>1695</v>
      </c>
      <c r="B696" t="s">
        <v>9</v>
      </c>
      <c r="C696" t="s">
        <v>7</v>
      </c>
      <c r="D696" s="1">
        <v>45770</v>
      </c>
      <c r="E696">
        <v>49</v>
      </c>
      <c r="F696">
        <v>0</v>
      </c>
      <c r="G696">
        <f>IF(Gym_Expansion_Data[[#This Row],[Churned]]=0,1,0)</f>
        <v>1</v>
      </c>
      <c r="H696" t="str">
        <f>IF(Gym_Expansion_Data[[#This Row],[Active Member]]=1,Gym_Expansion_Data[[#This Row],[Tier]],"Inactive")</f>
        <v>Basic</v>
      </c>
    </row>
    <row r="697" spans="1:8" x14ac:dyDescent="0.2">
      <c r="A697">
        <v>1696</v>
      </c>
      <c r="B697" t="s">
        <v>10</v>
      </c>
      <c r="C697" t="s">
        <v>7</v>
      </c>
      <c r="D697" s="1">
        <v>45895</v>
      </c>
      <c r="E697">
        <v>49</v>
      </c>
      <c r="F697">
        <v>0</v>
      </c>
      <c r="G697">
        <f>IF(Gym_Expansion_Data[[#This Row],[Churned]]=0,1,0)</f>
        <v>1</v>
      </c>
      <c r="H697" t="str">
        <f>IF(Gym_Expansion_Data[[#This Row],[Active Member]]=1,Gym_Expansion_Data[[#This Row],[Tier]],"Inactive")</f>
        <v>Basic</v>
      </c>
    </row>
    <row r="698" spans="1:8" x14ac:dyDescent="0.2">
      <c r="A698">
        <v>1697</v>
      </c>
      <c r="B698" t="s">
        <v>11</v>
      </c>
      <c r="C698" t="s">
        <v>8</v>
      </c>
      <c r="D698" s="1">
        <v>45785</v>
      </c>
      <c r="E698">
        <v>129</v>
      </c>
      <c r="F698">
        <v>0</v>
      </c>
      <c r="G698">
        <f>IF(Gym_Expansion_Data[[#This Row],[Churned]]=0,1,0)</f>
        <v>1</v>
      </c>
      <c r="H698" t="str">
        <f>IF(Gym_Expansion_Data[[#This Row],[Active Member]]=1,Gym_Expansion_Data[[#This Row],[Tier]],"Inactive")</f>
        <v>Elite</v>
      </c>
    </row>
    <row r="699" spans="1:8" x14ac:dyDescent="0.2">
      <c r="A699">
        <v>1698</v>
      </c>
      <c r="B699" t="s">
        <v>6</v>
      </c>
      <c r="C699" t="s">
        <v>7</v>
      </c>
      <c r="D699" s="1">
        <v>45596</v>
      </c>
      <c r="E699">
        <v>49</v>
      </c>
      <c r="F699">
        <v>0</v>
      </c>
      <c r="G699">
        <f>IF(Gym_Expansion_Data[[#This Row],[Churned]]=0,1,0)</f>
        <v>1</v>
      </c>
      <c r="H699" t="str">
        <f>IF(Gym_Expansion_Data[[#This Row],[Active Member]]=1,Gym_Expansion_Data[[#This Row],[Tier]],"Inactive")</f>
        <v>Basic</v>
      </c>
    </row>
    <row r="700" spans="1:8" x14ac:dyDescent="0.2">
      <c r="A700">
        <v>1699</v>
      </c>
      <c r="B700" t="s">
        <v>6</v>
      </c>
      <c r="C700" t="s">
        <v>7</v>
      </c>
      <c r="D700" s="1">
        <v>45846</v>
      </c>
      <c r="E700">
        <v>49</v>
      </c>
      <c r="F700">
        <v>0</v>
      </c>
      <c r="G700">
        <f>IF(Gym_Expansion_Data[[#This Row],[Churned]]=0,1,0)</f>
        <v>1</v>
      </c>
      <c r="H700" t="str">
        <f>IF(Gym_Expansion_Data[[#This Row],[Active Member]]=1,Gym_Expansion_Data[[#This Row],[Tier]],"Inactive")</f>
        <v>Basic</v>
      </c>
    </row>
    <row r="701" spans="1:8" x14ac:dyDescent="0.2">
      <c r="A701">
        <v>1700</v>
      </c>
      <c r="B701" t="s">
        <v>11</v>
      </c>
      <c r="C701" t="s">
        <v>8</v>
      </c>
      <c r="D701" s="1">
        <v>45992</v>
      </c>
      <c r="E701">
        <v>129</v>
      </c>
      <c r="F701">
        <v>0</v>
      </c>
      <c r="G701">
        <f>IF(Gym_Expansion_Data[[#This Row],[Churned]]=0,1,0)</f>
        <v>1</v>
      </c>
      <c r="H701" t="str">
        <f>IF(Gym_Expansion_Data[[#This Row],[Active Member]]=1,Gym_Expansion_Data[[#This Row],[Tier]],"Inactive")</f>
        <v>Elite</v>
      </c>
    </row>
    <row r="702" spans="1:8" x14ac:dyDescent="0.2">
      <c r="A702">
        <v>1701</v>
      </c>
      <c r="B702" t="s">
        <v>10</v>
      </c>
      <c r="C702" t="s">
        <v>12</v>
      </c>
      <c r="D702" s="1">
        <v>45759</v>
      </c>
      <c r="E702">
        <v>89</v>
      </c>
      <c r="F702">
        <v>0</v>
      </c>
      <c r="G702">
        <f>IF(Gym_Expansion_Data[[#This Row],[Churned]]=0,1,0)</f>
        <v>1</v>
      </c>
      <c r="H702" t="str">
        <f>IF(Gym_Expansion_Data[[#This Row],[Active Member]]=1,Gym_Expansion_Data[[#This Row],[Tier]],"Inactive")</f>
        <v>Premium</v>
      </c>
    </row>
    <row r="703" spans="1:8" x14ac:dyDescent="0.2">
      <c r="A703">
        <v>1702</v>
      </c>
      <c r="B703" t="s">
        <v>11</v>
      </c>
      <c r="C703" t="s">
        <v>7</v>
      </c>
      <c r="D703" s="1">
        <v>45370</v>
      </c>
      <c r="E703">
        <v>49</v>
      </c>
      <c r="F703">
        <v>0</v>
      </c>
      <c r="G703">
        <f>IF(Gym_Expansion_Data[[#This Row],[Churned]]=0,1,0)</f>
        <v>1</v>
      </c>
      <c r="H703" t="str">
        <f>IF(Gym_Expansion_Data[[#This Row],[Active Member]]=1,Gym_Expansion_Data[[#This Row],[Tier]],"Inactive")</f>
        <v>Basic</v>
      </c>
    </row>
    <row r="704" spans="1:8" x14ac:dyDescent="0.2">
      <c r="A704">
        <v>1703</v>
      </c>
      <c r="B704" t="s">
        <v>9</v>
      </c>
      <c r="C704" t="s">
        <v>8</v>
      </c>
      <c r="D704" s="1">
        <v>45337</v>
      </c>
      <c r="E704">
        <v>129</v>
      </c>
      <c r="F704">
        <v>0</v>
      </c>
      <c r="G704">
        <f>IF(Gym_Expansion_Data[[#This Row],[Churned]]=0,1,0)</f>
        <v>1</v>
      </c>
      <c r="H704" t="str">
        <f>IF(Gym_Expansion_Data[[#This Row],[Active Member]]=1,Gym_Expansion_Data[[#This Row],[Tier]],"Inactive")</f>
        <v>Elite</v>
      </c>
    </row>
    <row r="705" spans="1:8" x14ac:dyDescent="0.2">
      <c r="A705">
        <v>1704</v>
      </c>
      <c r="B705" t="s">
        <v>10</v>
      </c>
      <c r="C705" t="s">
        <v>7</v>
      </c>
      <c r="D705" s="1">
        <v>45497</v>
      </c>
      <c r="E705">
        <v>49</v>
      </c>
      <c r="F705">
        <v>0</v>
      </c>
      <c r="G705">
        <f>IF(Gym_Expansion_Data[[#This Row],[Churned]]=0,1,0)</f>
        <v>1</v>
      </c>
      <c r="H705" t="str">
        <f>IF(Gym_Expansion_Data[[#This Row],[Active Member]]=1,Gym_Expansion_Data[[#This Row],[Tier]],"Inactive")</f>
        <v>Basic</v>
      </c>
    </row>
    <row r="706" spans="1:8" x14ac:dyDescent="0.2">
      <c r="A706">
        <v>1705</v>
      </c>
      <c r="B706" t="s">
        <v>10</v>
      </c>
      <c r="C706" t="s">
        <v>12</v>
      </c>
      <c r="D706" s="1">
        <v>45892</v>
      </c>
      <c r="E706">
        <v>89</v>
      </c>
      <c r="F706">
        <v>0</v>
      </c>
      <c r="G706">
        <f>IF(Gym_Expansion_Data[[#This Row],[Churned]]=0,1,0)</f>
        <v>1</v>
      </c>
      <c r="H706" t="str">
        <f>IF(Gym_Expansion_Data[[#This Row],[Active Member]]=1,Gym_Expansion_Data[[#This Row],[Tier]],"Inactive")</f>
        <v>Premium</v>
      </c>
    </row>
    <row r="707" spans="1:8" x14ac:dyDescent="0.2">
      <c r="A707">
        <v>1706</v>
      </c>
      <c r="B707" t="s">
        <v>10</v>
      </c>
      <c r="C707" t="s">
        <v>7</v>
      </c>
      <c r="D707" s="1">
        <v>45840</v>
      </c>
      <c r="E707">
        <v>49</v>
      </c>
      <c r="F707">
        <v>0</v>
      </c>
      <c r="G707">
        <f>IF(Gym_Expansion_Data[[#This Row],[Churned]]=0,1,0)</f>
        <v>1</v>
      </c>
      <c r="H707" t="str">
        <f>IF(Gym_Expansion_Data[[#This Row],[Active Member]]=1,Gym_Expansion_Data[[#This Row],[Tier]],"Inactive")</f>
        <v>Basic</v>
      </c>
    </row>
    <row r="708" spans="1:8" x14ac:dyDescent="0.2">
      <c r="A708">
        <v>1707</v>
      </c>
      <c r="B708" t="s">
        <v>9</v>
      </c>
      <c r="C708" t="s">
        <v>7</v>
      </c>
      <c r="D708" s="1">
        <v>45505</v>
      </c>
      <c r="E708">
        <v>49</v>
      </c>
      <c r="F708">
        <v>0</v>
      </c>
      <c r="G708">
        <f>IF(Gym_Expansion_Data[[#This Row],[Churned]]=0,1,0)</f>
        <v>1</v>
      </c>
      <c r="H708" t="str">
        <f>IF(Gym_Expansion_Data[[#This Row],[Active Member]]=1,Gym_Expansion_Data[[#This Row],[Tier]],"Inactive")</f>
        <v>Basic</v>
      </c>
    </row>
    <row r="709" spans="1:8" x14ac:dyDescent="0.2">
      <c r="A709">
        <v>1708</v>
      </c>
      <c r="B709" t="s">
        <v>9</v>
      </c>
      <c r="C709" t="s">
        <v>7</v>
      </c>
      <c r="D709" s="1">
        <v>45891</v>
      </c>
      <c r="E709">
        <v>49</v>
      </c>
      <c r="F709">
        <v>0</v>
      </c>
      <c r="G709">
        <f>IF(Gym_Expansion_Data[[#This Row],[Churned]]=0,1,0)</f>
        <v>1</v>
      </c>
      <c r="H709" t="str">
        <f>IF(Gym_Expansion_Data[[#This Row],[Active Member]]=1,Gym_Expansion_Data[[#This Row],[Tier]],"Inactive")</f>
        <v>Basic</v>
      </c>
    </row>
    <row r="710" spans="1:8" x14ac:dyDescent="0.2">
      <c r="A710">
        <v>1709</v>
      </c>
      <c r="B710" t="s">
        <v>9</v>
      </c>
      <c r="C710" t="s">
        <v>12</v>
      </c>
      <c r="D710" s="1">
        <v>45644</v>
      </c>
      <c r="E710">
        <v>89</v>
      </c>
      <c r="F710">
        <v>0</v>
      </c>
      <c r="G710">
        <f>IF(Gym_Expansion_Data[[#This Row],[Churned]]=0,1,0)</f>
        <v>1</v>
      </c>
      <c r="H710" t="str">
        <f>IF(Gym_Expansion_Data[[#This Row],[Active Member]]=1,Gym_Expansion_Data[[#This Row],[Tier]],"Inactive")</f>
        <v>Premium</v>
      </c>
    </row>
    <row r="711" spans="1:8" x14ac:dyDescent="0.2">
      <c r="A711">
        <v>1710</v>
      </c>
      <c r="B711" t="s">
        <v>11</v>
      </c>
      <c r="C711" t="s">
        <v>8</v>
      </c>
      <c r="D711" s="1">
        <v>45501</v>
      </c>
      <c r="E711">
        <v>129</v>
      </c>
      <c r="F711">
        <v>0</v>
      </c>
      <c r="G711">
        <f>IF(Gym_Expansion_Data[[#This Row],[Churned]]=0,1,0)</f>
        <v>1</v>
      </c>
      <c r="H711" t="str">
        <f>IF(Gym_Expansion_Data[[#This Row],[Active Member]]=1,Gym_Expansion_Data[[#This Row],[Tier]],"Inactive")</f>
        <v>Elite</v>
      </c>
    </row>
    <row r="712" spans="1:8" x14ac:dyDescent="0.2">
      <c r="A712">
        <v>1711</v>
      </c>
      <c r="B712" t="s">
        <v>6</v>
      </c>
      <c r="C712" t="s">
        <v>8</v>
      </c>
      <c r="D712" s="1">
        <v>45954</v>
      </c>
      <c r="E712">
        <v>129</v>
      </c>
      <c r="F712">
        <v>0</v>
      </c>
      <c r="G712">
        <f>IF(Gym_Expansion_Data[[#This Row],[Churned]]=0,1,0)</f>
        <v>1</v>
      </c>
      <c r="H712" t="str">
        <f>IF(Gym_Expansion_Data[[#This Row],[Active Member]]=1,Gym_Expansion_Data[[#This Row],[Tier]],"Inactive")</f>
        <v>Elite</v>
      </c>
    </row>
    <row r="713" spans="1:8" x14ac:dyDescent="0.2">
      <c r="A713">
        <v>1712</v>
      </c>
      <c r="B713" t="s">
        <v>6</v>
      </c>
      <c r="C713" t="s">
        <v>7</v>
      </c>
      <c r="D713" s="1">
        <v>45534</v>
      </c>
      <c r="E713">
        <v>49</v>
      </c>
      <c r="F713">
        <v>0</v>
      </c>
      <c r="G713">
        <f>IF(Gym_Expansion_Data[[#This Row],[Churned]]=0,1,0)</f>
        <v>1</v>
      </c>
      <c r="H713" t="str">
        <f>IF(Gym_Expansion_Data[[#This Row],[Active Member]]=1,Gym_Expansion_Data[[#This Row],[Tier]],"Inactive")</f>
        <v>Basic</v>
      </c>
    </row>
    <row r="714" spans="1:8" x14ac:dyDescent="0.2">
      <c r="A714">
        <v>1713</v>
      </c>
      <c r="B714" t="s">
        <v>11</v>
      </c>
      <c r="C714" t="s">
        <v>12</v>
      </c>
      <c r="D714" s="1">
        <v>45719</v>
      </c>
      <c r="E714">
        <v>89</v>
      </c>
      <c r="F714">
        <v>0</v>
      </c>
      <c r="G714">
        <f>IF(Gym_Expansion_Data[[#This Row],[Churned]]=0,1,0)</f>
        <v>1</v>
      </c>
      <c r="H714" t="str">
        <f>IF(Gym_Expansion_Data[[#This Row],[Active Member]]=1,Gym_Expansion_Data[[#This Row],[Tier]],"Inactive")</f>
        <v>Premium</v>
      </c>
    </row>
    <row r="715" spans="1:8" x14ac:dyDescent="0.2">
      <c r="A715">
        <v>1714</v>
      </c>
      <c r="B715" t="s">
        <v>10</v>
      </c>
      <c r="C715" t="s">
        <v>7</v>
      </c>
      <c r="D715" s="1">
        <v>45582</v>
      </c>
      <c r="E715">
        <v>49</v>
      </c>
      <c r="F715">
        <v>0</v>
      </c>
      <c r="G715">
        <f>IF(Gym_Expansion_Data[[#This Row],[Churned]]=0,1,0)</f>
        <v>1</v>
      </c>
      <c r="H715" t="str">
        <f>IF(Gym_Expansion_Data[[#This Row],[Active Member]]=1,Gym_Expansion_Data[[#This Row],[Tier]],"Inactive")</f>
        <v>Basic</v>
      </c>
    </row>
    <row r="716" spans="1:8" x14ac:dyDescent="0.2">
      <c r="A716">
        <v>1715</v>
      </c>
      <c r="B716" t="s">
        <v>10</v>
      </c>
      <c r="C716" t="s">
        <v>7</v>
      </c>
      <c r="D716" s="1">
        <v>45861</v>
      </c>
      <c r="E716">
        <v>49</v>
      </c>
      <c r="F716">
        <v>0</v>
      </c>
      <c r="G716">
        <f>IF(Gym_Expansion_Data[[#This Row],[Churned]]=0,1,0)</f>
        <v>1</v>
      </c>
      <c r="H716" t="str">
        <f>IF(Gym_Expansion_Data[[#This Row],[Active Member]]=1,Gym_Expansion_Data[[#This Row],[Tier]],"Inactive")</f>
        <v>Basic</v>
      </c>
    </row>
    <row r="717" spans="1:8" x14ac:dyDescent="0.2">
      <c r="A717">
        <v>1716</v>
      </c>
      <c r="B717" t="s">
        <v>10</v>
      </c>
      <c r="C717" t="s">
        <v>7</v>
      </c>
      <c r="D717" s="1">
        <v>45836</v>
      </c>
      <c r="E717">
        <v>49</v>
      </c>
      <c r="F717">
        <v>0</v>
      </c>
      <c r="G717">
        <f>IF(Gym_Expansion_Data[[#This Row],[Churned]]=0,1,0)</f>
        <v>1</v>
      </c>
      <c r="H717" t="str">
        <f>IF(Gym_Expansion_Data[[#This Row],[Active Member]]=1,Gym_Expansion_Data[[#This Row],[Tier]],"Inactive")</f>
        <v>Basic</v>
      </c>
    </row>
    <row r="718" spans="1:8" x14ac:dyDescent="0.2">
      <c r="A718">
        <v>1717</v>
      </c>
      <c r="B718" t="s">
        <v>11</v>
      </c>
      <c r="C718" t="s">
        <v>8</v>
      </c>
      <c r="D718" s="1">
        <v>45397</v>
      </c>
      <c r="E718">
        <v>129</v>
      </c>
      <c r="F718">
        <v>0</v>
      </c>
      <c r="G718">
        <f>IF(Gym_Expansion_Data[[#This Row],[Churned]]=0,1,0)</f>
        <v>1</v>
      </c>
      <c r="H718" t="str">
        <f>IF(Gym_Expansion_Data[[#This Row],[Active Member]]=1,Gym_Expansion_Data[[#This Row],[Tier]],"Inactive")</f>
        <v>Elite</v>
      </c>
    </row>
    <row r="719" spans="1:8" x14ac:dyDescent="0.2">
      <c r="A719">
        <v>1718</v>
      </c>
      <c r="B719" t="s">
        <v>9</v>
      </c>
      <c r="C719" t="s">
        <v>8</v>
      </c>
      <c r="D719" s="1">
        <v>45559</v>
      </c>
      <c r="E719">
        <v>129</v>
      </c>
      <c r="F719">
        <v>0</v>
      </c>
      <c r="G719">
        <f>IF(Gym_Expansion_Data[[#This Row],[Churned]]=0,1,0)</f>
        <v>1</v>
      </c>
      <c r="H719" t="str">
        <f>IF(Gym_Expansion_Data[[#This Row],[Active Member]]=1,Gym_Expansion_Data[[#This Row],[Tier]],"Inactive")</f>
        <v>Elite</v>
      </c>
    </row>
    <row r="720" spans="1:8" x14ac:dyDescent="0.2">
      <c r="A720">
        <v>1719</v>
      </c>
      <c r="B720" t="s">
        <v>9</v>
      </c>
      <c r="C720" t="s">
        <v>8</v>
      </c>
      <c r="D720" s="1">
        <v>45754</v>
      </c>
      <c r="E720">
        <v>129</v>
      </c>
      <c r="F720">
        <v>0</v>
      </c>
      <c r="G720">
        <f>IF(Gym_Expansion_Data[[#This Row],[Churned]]=0,1,0)</f>
        <v>1</v>
      </c>
      <c r="H720" t="str">
        <f>IF(Gym_Expansion_Data[[#This Row],[Active Member]]=1,Gym_Expansion_Data[[#This Row],[Tier]],"Inactive")</f>
        <v>Elite</v>
      </c>
    </row>
    <row r="721" spans="1:8" x14ac:dyDescent="0.2">
      <c r="A721">
        <v>1720</v>
      </c>
      <c r="B721" t="s">
        <v>10</v>
      </c>
      <c r="C721" t="s">
        <v>12</v>
      </c>
      <c r="D721" s="1">
        <v>45632</v>
      </c>
      <c r="E721">
        <v>89</v>
      </c>
      <c r="F721">
        <v>1</v>
      </c>
      <c r="G721">
        <f>IF(Gym_Expansion_Data[[#This Row],[Churned]]=0,1,0)</f>
        <v>0</v>
      </c>
      <c r="H721" t="str">
        <f>IF(Gym_Expansion_Data[[#This Row],[Active Member]]=1,Gym_Expansion_Data[[#This Row],[Tier]],"Inactive")</f>
        <v>Inactive</v>
      </c>
    </row>
    <row r="722" spans="1:8" x14ac:dyDescent="0.2">
      <c r="A722">
        <v>1721</v>
      </c>
      <c r="B722" t="s">
        <v>9</v>
      </c>
      <c r="C722" t="s">
        <v>7</v>
      </c>
      <c r="D722" s="1">
        <v>45648</v>
      </c>
      <c r="E722">
        <v>49</v>
      </c>
      <c r="F722">
        <v>0</v>
      </c>
      <c r="G722">
        <f>IF(Gym_Expansion_Data[[#This Row],[Churned]]=0,1,0)</f>
        <v>1</v>
      </c>
      <c r="H722" t="str">
        <f>IF(Gym_Expansion_Data[[#This Row],[Active Member]]=1,Gym_Expansion_Data[[#This Row],[Tier]],"Inactive")</f>
        <v>Basic</v>
      </c>
    </row>
    <row r="723" spans="1:8" x14ac:dyDescent="0.2">
      <c r="A723">
        <v>1722</v>
      </c>
      <c r="B723" t="s">
        <v>10</v>
      </c>
      <c r="C723" t="s">
        <v>7</v>
      </c>
      <c r="D723" s="1">
        <v>45964</v>
      </c>
      <c r="E723">
        <v>49</v>
      </c>
      <c r="F723">
        <v>0</v>
      </c>
      <c r="G723">
        <f>IF(Gym_Expansion_Data[[#This Row],[Churned]]=0,1,0)</f>
        <v>1</v>
      </c>
      <c r="H723" t="str">
        <f>IF(Gym_Expansion_Data[[#This Row],[Active Member]]=1,Gym_Expansion_Data[[#This Row],[Tier]],"Inactive")</f>
        <v>Basic</v>
      </c>
    </row>
    <row r="724" spans="1:8" x14ac:dyDescent="0.2">
      <c r="A724">
        <v>1723</v>
      </c>
      <c r="B724" t="s">
        <v>9</v>
      </c>
      <c r="C724" t="s">
        <v>12</v>
      </c>
      <c r="D724" s="1">
        <v>45475</v>
      </c>
      <c r="E724">
        <v>89</v>
      </c>
      <c r="F724">
        <v>0</v>
      </c>
      <c r="G724">
        <f>IF(Gym_Expansion_Data[[#This Row],[Churned]]=0,1,0)</f>
        <v>1</v>
      </c>
      <c r="H724" t="str">
        <f>IF(Gym_Expansion_Data[[#This Row],[Active Member]]=1,Gym_Expansion_Data[[#This Row],[Tier]],"Inactive")</f>
        <v>Premium</v>
      </c>
    </row>
    <row r="725" spans="1:8" x14ac:dyDescent="0.2">
      <c r="A725">
        <v>1724</v>
      </c>
      <c r="B725" t="s">
        <v>11</v>
      </c>
      <c r="C725" t="s">
        <v>8</v>
      </c>
      <c r="D725" s="1">
        <v>45702</v>
      </c>
      <c r="E725">
        <v>129</v>
      </c>
      <c r="F725">
        <v>0</v>
      </c>
      <c r="G725">
        <f>IF(Gym_Expansion_Data[[#This Row],[Churned]]=0,1,0)</f>
        <v>1</v>
      </c>
      <c r="H725" t="str">
        <f>IF(Gym_Expansion_Data[[#This Row],[Active Member]]=1,Gym_Expansion_Data[[#This Row],[Tier]],"Inactive")</f>
        <v>Elite</v>
      </c>
    </row>
    <row r="726" spans="1:8" x14ac:dyDescent="0.2">
      <c r="A726">
        <v>1725</v>
      </c>
      <c r="B726" t="s">
        <v>9</v>
      </c>
      <c r="C726" t="s">
        <v>12</v>
      </c>
      <c r="D726" s="1">
        <v>45971</v>
      </c>
      <c r="E726">
        <v>89</v>
      </c>
      <c r="F726">
        <v>0</v>
      </c>
      <c r="G726">
        <f>IF(Gym_Expansion_Data[[#This Row],[Churned]]=0,1,0)</f>
        <v>1</v>
      </c>
      <c r="H726" t="str">
        <f>IF(Gym_Expansion_Data[[#This Row],[Active Member]]=1,Gym_Expansion_Data[[#This Row],[Tier]],"Inactive")</f>
        <v>Premium</v>
      </c>
    </row>
    <row r="727" spans="1:8" x14ac:dyDescent="0.2">
      <c r="A727">
        <v>1726</v>
      </c>
      <c r="B727" t="s">
        <v>6</v>
      </c>
      <c r="C727" t="s">
        <v>7</v>
      </c>
      <c r="D727" s="1">
        <v>45909</v>
      </c>
      <c r="E727">
        <v>49</v>
      </c>
      <c r="F727">
        <v>0</v>
      </c>
      <c r="G727">
        <f>IF(Gym_Expansion_Data[[#This Row],[Churned]]=0,1,0)</f>
        <v>1</v>
      </c>
      <c r="H727" t="str">
        <f>IF(Gym_Expansion_Data[[#This Row],[Active Member]]=1,Gym_Expansion_Data[[#This Row],[Tier]],"Inactive")</f>
        <v>Basic</v>
      </c>
    </row>
    <row r="728" spans="1:8" x14ac:dyDescent="0.2">
      <c r="A728">
        <v>1727</v>
      </c>
      <c r="B728" t="s">
        <v>11</v>
      </c>
      <c r="C728" t="s">
        <v>12</v>
      </c>
      <c r="D728" s="1">
        <v>45330</v>
      </c>
      <c r="E728">
        <v>89</v>
      </c>
      <c r="F728">
        <v>1</v>
      </c>
      <c r="G728">
        <f>IF(Gym_Expansion_Data[[#This Row],[Churned]]=0,1,0)</f>
        <v>0</v>
      </c>
      <c r="H728" t="str">
        <f>IF(Gym_Expansion_Data[[#This Row],[Active Member]]=1,Gym_Expansion_Data[[#This Row],[Tier]],"Inactive")</f>
        <v>Inactive</v>
      </c>
    </row>
    <row r="729" spans="1:8" x14ac:dyDescent="0.2">
      <c r="A729">
        <v>1728</v>
      </c>
      <c r="B729" t="s">
        <v>11</v>
      </c>
      <c r="C729" t="s">
        <v>7</v>
      </c>
      <c r="D729" s="1">
        <v>45440</v>
      </c>
      <c r="E729">
        <v>49</v>
      </c>
      <c r="F729">
        <v>0</v>
      </c>
      <c r="G729">
        <f>IF(Gym_Expansion_Data[[#This Row],[Churned]]=0,1,0)</f>
        <v>1</v>
      </c>
      <c r="H729" t="str">
        <f>IF(Gym_Expansion_Data[[#This Row],[Active Member]]=1,Gym_Expansion_Data[[#This Row],[Tier]],"Inactive")</f>
        <v>Basic</v>
      </c>
    </row>
    <row r="730" spans="1:8" x14ac:dyDescent="0.2">
      <c r="A730">
        <v>1729</v>
      </c>
      <c r="B730" t="s">
        <v>11</v>
      </c>
      <c r="C730" t="s">
        <v>12</v>
      </c>
      <c r="D730" s="1">
        <v>45941</v>
      </c>
      <c r="E730">
        <v>89</v>
      </c>
      <c r="F730">
        <v>0</v>
      </c>
      <c r="G730">
        <f>IF(Gym_Expansion_Data[[#This Row],[Churned]]=0,1,0)</f>
        <v>1</v>
      </c>
      <c r="H730" t="str">
        <f>IF(Gym_Expansion_Data[[#This Row],[Active Member]]=1,Gym_Expansion_Data[[#This Row],[Tier]],"Inactive")</f>
        <v>Premium</v>
      </c>
    </row>
    <row r="731" spans="1:8" x14ac:dyDescent="0.2">
      <c r="A731">
        <v>1730</v>
      </c>
      <c r="B731" t="s">
        <v>10</v>
      </c>
      <c r="C731" t="s">
        <v>8</v>
      </c>
      <c r="D731" s="1">
        <v>45625</v>
      </c>
      <c r="E731">
        <v>129</v>
      </c>
      <c r="F731">
        <v>0</v>
      </c>
      <c r="G731">
        <f>IF(Gym_Expansion_Data[[#This Row],[Churned]]=0,1,0)</f>
        <v>1</v>
      </c>
      <c r="H731" t="str">
        <f>IF(Gym_Expansion_Data[[#This Row],[Active Member]]=1,Gym_Expansion_Data[[#This Row],[Tier]],"Inactive")</f>
        <v>Elite</v>
      </c>
    </row>
    <row r="732" spans="1:8" x14ac:dyDescent="0.2">
      <c r="A732">
        <v>1731</v>
      </c>
      <c r="B732" t="s">
        <v>11</v>
      </c>
      <c r="C732" t="s">
        <v>7</v>
      </c>
      <c r="D732" s="1">
        <v>45632</v>
      </c>
      <c r="E732">
        <v>49</v>
      </c>
      <c r="F732">
        <v>0</v>
      </c>
      <c r="G732">
        <f>IF(Gym_Expansion_Data[[#This Row],[Churned]]=0,1,0)</f>
        <v>1</v>
      </c>
      <c r="H732" t="str">
        <f>IF(Gym_Expansion_Data[[#This Row],[Active Member]]=1,Gym_Expansion_Data[[#This Row],[Tier]],"Inactive")</f>
        <v>Basic</v>
      </c>
    </row>
    <row r="733" spans="1:8" x14ac:dyDescent="0.2">
      <c r="A733">
        <v>1732</v>
      </c>
      <c r="B733" t="s">
        <v>6</v>
      </c>
      <c r="C733" t="s">
        <v>12</v>
      </c>
      <c r="D733" s="1">
        <v>45340</v>
      </c>
      <c r="E733">
        <v>89</v>
      </c>
      <c r="F733">
        <v>0</v>
      </c>
      <c r="G733">
        <f>IF(Gym_Expansion_Data[[#This Row],[Churned]]=0,1,0)</f>
        <v>1</v>
      </c>
      <c r="H733" t="str">
        <f>IF(Gym_Expansion_Data[[#This Row],[Active Member]]=1,Gym_Expansion_Data[[#This Row],[Tier]],"Inactive")</f>
        <v>Premium</v>
      </c>
    </row>
    <row r="734" spans="1:8" x14ac:dyDescent="0.2">
      <c r="A734">
        <v>1733</v>
      </c>
      <c r="B734" t="s">
        <v>6</v>
      </c>
      <c r="C734" t="s">
        <v>12</v>
      </c>
      <c r="D734" s="1">
        <v>45932</v>
      </c>
      <c r="E734">
        <v>89</v>
      </c>
      <c r="F734">
        <v>0</v>
      </c>
      <c r="G734">
        <f>IF(Gym_Expansion_Data[[#This Row],[Churned]]=0,1,0)</f>
        <v>1</v>
      </c>
      <c r="H734" t="str">
        <f>IF(Gym_Expansion_Data[[#This Row],[Active Member]]=1,Gym_Expansion_Data[[#This Row],[Tier]],"Inactive")</f>
        <v>Premium</v>
      </c>
    </row>
    <row r="735" spans="1:8" x14ac:dyDescent="0.2">
      <c r="A735">
        <v>1734</v>
      </c>
      <c r="B735" t="s">
        <v>6</v>
      </c>
      <c r="C735" t="s">
        <v>7</v>
      </c>
      <c r="D735" s="1">
        <v>45365</v>
      </c>
      <c r="E735">
        <v>49</v>
      </c>
      <c r="F735">
        <v>0</v>
      </c>
      <c r="G735">
        <f>IF(Gym_Expansion_Data[[#This Row],[Churned]]=0,1,0)</f>
        <v>1</v>
      </c>
      <c r="H735" t="str">
        <f>IF(Gym_Expansion_Data[[#This Row],[Active Member]]=1,Gym_Expansion_Data[[#This Row],[Tier]],"Inactive")</f>
        <v>Basic</v>
      </c>
    </row>
    <row r="736" spans="1:8" x14ac:dyDescent="0.2">
      <c r="A736">
        <v>1735</v>
      </c>
      <c r="B736" t="s">
        <v>9</v>
      </c>
      <c r="C736" t="s">
        <v>7</v>
      </c>
      <c r="D736" s="1">
        <v>45957</v>
      </c>
      <c r="E736">
        <v>49</v>
      </c>
      <c r="F736">
        <v>0</v>
      </c>
      <c r="G736">
        <f>IF(Gym_Expansion_Data[[#This Row],[Churned]]=0,1,0)</f>
        <v>1</v>
      </c>
      <c r="H736" t="str">
        <f>IF(Gym_Expansion_Data[[#This Row],[Active Member]]=1,Gym_Expansion_Data[[#This Row],[Tier]],"Inactive")</f>
        <v>Basic</v>
      </c>
    </row>
    <row r="737" spans="1:8" x14ac:dyDescent="0.2">
      <c r="A737">
        <v>1736</v>
      </c>
      <c r="B737" t="s">
        <v>11</v>
      </c>
      <c r="C737" t="s">
        <v>12</v>
      </c>
      <c r="D737" s="1">
        <v>45987</v>
      </c>
      <c r="E737">
        <v>89</v>
      </c>
      <c r="F737">
        <v>0</v>
      </c>
      <c r="G737">
        <f>IF(Gym_Expansion_Data[[#This Row],[Churned]]=0,1,0)</f>
        <v>1</v>
      </c>
      <c r="H737" t="str">
        <f>IF(Gym_Expansion_Data[[#This Row],[Active Member]]=1,Gym_Expansion_Data[[#This Row],[Tier]],"Inactive")</f>
        <v>Premium</v>
      </c>
    </row>
    <row r="738" spans="1:8" x14ac:dyDescent="0.2">
      <c r="A738">
        <v>1737</v>
      </c>
      <c r="B738" t="s">
        <v>9</v>
      </c>
      <c r="C738" t="s">
        <v>7</v>
      </c>
      <c r="D738" s="1">
        <v>45371</v>
      </c>
      <c r="E738">
        <v>49</v>
      </c>
      <c r="F738">
        <v>0</v>
      </c>
      <c r="G738">
        <f>IF(Gym_Expansion_Data[[#This Row],[Churned]]=0,1,0)</f>
        <v>1</v>
      </c>
      <c r="H738" t="str">
        <f>IF(Gym_Expansion_Data[[#This Row],[Active Member]]=1,Gym_Expansion_Data[[#This Row],[Tier]],"Inactive")</f>
        <v>Basic</v>
      </c>
    </row>
    <row r="739" spans="1:8" x14ac:dyDescent="0.2">
      <c r="A739">
        <v>1738</v>
      </c>
      <c r="B739" t="s">
        <v>10</v>
      </c>
      <c r="C739" t="s">
        <v>7</v>
      </c>
      <c r="D739" s="1">
        <v>45784</v>
      </c>
      <c r="E739">
        <v>49</v>
      </c>
      <c r="F739">
        <v>0</v>
      </c>
      <c r="G739">
        <f>IF(Gym_Expansion_Data[[#This Row],[Churned]]=0,1,0)</f>
        <v>1</v>
      </c>
      <c r="H739" t="str">
        <f>IF(Gym_Expansion_Data[[#This Row],[Active Member]]=1,Gym_Expansion_Data[[#This Row],[Tier]],"Inactive")</f>
        <v>Basic</v>
      </c>
    </row>
    <row r="740" spans="1:8" x14ac:dyDescent="0.2">
      <c r="A740">
        <v>1739</v>
      </c>
      <c r="B740" t="s">
        <v>10</v>
      </c>
      <c r="C740" t="s">
        <v>12</v>
      </c>
      <c r="D740" s="1">
        <v>45304</v>
      </c>
      <c r="E740">
        <v>89</v>
      </c>
      <c r="F740">
        <v>0</v>
      </c>
      <c r="G740">
        <f>IF(Gym_Expansion_Data[[#This Row],[Churned]]=0,1,0)</f>
        <v>1</v>
      </c>
      <c r="H740" t="str">
        <f>IF(Gym_Expansion_Data[[#This Row],[Active Member]]=1,Gym_Expansion_Data[[#This Row],[Tier]],"Inactive")</f>
        <v>Premium</v>
      </c>
    </row>
    <row r="741" spans="1:8" x14ac:dyDescent="0.2">
      <c r="A741">
        <v>1740</v>
      </c>
      <c r="B741" t="s">
        <v>6</v>
      </c>
      <c r="C741" t="s">
        <v>7</v>
      </c>
      <c r="D741" s="1">
        <v>45624</v>
      </c>
      <c r="E741">
        <v>49</v>
      </c>
      <c r="F741">
        <v>0</v>
      </c>
      <c r="G741">
        <f>IF(Gym_Expansion_Data[[#This Row],[Churned]]=0,1,0)</f>
        <v>1</v>
      </c>
      <c r="H741" t="str">
        <f>IF(Gym_Expansion_Data[[#This Row],[Active Member]]=1,Gym_Expansion_Data[[#This Row],[Tier]],"Inactive")</f>
        <v>Basic</v>
      </c>
    </row>
    <row r="742" spans="1:8" x14ac:dyDescent="0.2">
      <c r="A742">
        <v>1741</v>
      </c>
      <c r="B742" t="s">
        <v>6</v>
      </c>
      <c r="C742" t="s">
        <v>12</v>
      </c>
      <c r="D742" s="1">
        <v>45790</v>
      </c>
      <c r="E742">
        <v>89</v>
      </c>
      <c r="F742">
        <v>0</v>
      </c>
      <c r="G742">
        <f>IF(Gym_Expansion_Data[[#This Row],[Churned]]=0,1,0)</f>
        <v>1</v>
      </c>
      <c r="H742" t="str">
        <f>IF(Gym_Expansion_Data[[#This Row],[Active Member]]=1,Gym_Expansion_Data[[#This Row],[Tier]],"Inactive")</f>
        <v>Premium</v>
      </c>
    </row>
    <row r="743" spans="1:8" x14ac:dyDescent="0.2">
      <c r="A743">
        <v>1742</v>
      </c>
      <c r="B743" t="s">
        <v>11</v>
      </c>
      <c r="C743" t="s">
        <v>8</v>
      </c>
      <c r="D743" s="1">
        <v>45781</v>
      </c>
      <c r="E743">
        <v>129</v>
      </c>
      <c r="F743">
        <v>0</v>
      </c>
      <c r="G743">
        <f>IF(Gym_Expansion_Data[[#This Row],[Churned]]=0,1,0)</f>
        <v>1</v>
      </c>
      <c r="H743" t="str">
        <f>IF(Gym_Expansion_Data[[#This Row],[Active Member]]=1,Gym_Expansion_Data[[#This Row],[Tier]],"Inactive")</f>
        <v>Elite</v>
      </c>
    </row>
    <row r="744" spans="1:8" x14ac:dyDescent="0.2">
      <c r="A744">
        <v>1743</v>
      </c>
      <c r="B744" t="s">
        <v>11</v>
      </c>
      <c r="C744" t="s">
        <v>7</v>
      </c>
      <c r="D744" s="1">
        <v>45804</v>
      </c>
      <c r="E744">
        <v>49</v>
      </c>
      <c r="F744">
        <v>0</v>
      </c>
      <c r="G744">
        <f>IF(Gym_Expansion_Data[[#This Row],[Churned]]=0,1,0)</f>
        <v>1</v>
      </c>
      <c r="H744" t="str">
        <f>IF(Gym_Expansion_Data[[#This Row],[Active Member]]=1,Gym_Expansion_Data[[#This Row],[Tier]],"Inactive")</f>
        <v>Basic</v>
      </c>
    </row>
    <row r="745" spans="1:8" x14ac:dyDescent="0.2">
      <c r="A745">
        <v>1744</v>
      </c>
      <c r="B745" t="s">
        <v>6</v>
      </c>
      <c r="C745" t="s">
        <v>7</v>
      </c>
      <c r="D745" s="1">
        <v>45547</v>
      </c>
      <c r="E745">
        <v>49</v>
      </c>
      <c r="F745">
        <v>0</v>
      </c>
      <c r="G745">
        <f>IF(Gym_Expansion_Data[[#This Row],[Churned]]=0,1,0)</f>
        <v>1</v>
      </c>
      <c r="H745" t="str">
        <f>IF(Gym_Expansion_Data[[#This Row],[Active Member]]=1,Gym_Expansion_Data[[#This Row],[Tier]],"Inactive")</f>
        <v>Basic</v>
      </c>
    </row>
    <row r="746" spans="1:8" x14ac:dyDescent="0.2">
      <c r="A746">
        <v>1745</v>
      </c>
      <c r="B746" t="s">
        <v>6</v>
      </c>
      <c r="C746" t="s">
        <v>7</v>
      </c>
      <c r="D746" s="1">
        <v>45820</v>
      </c>
      <c r="E746">
        <v>49</v>
      </c>
      <c r="F746">
        <v>0</v>
      </c>
      <c r="G746">
        <f>IF(Gym_Expansion_Data[[#This Row],[Churned]]=0,1,0)</f>
        <v>1</v>
      </c>
      <c r="H746" t="str">
        <f>IF(Gym_Expansion_Data[[#This Row],[Active Member]]=1,Gym_Expansion_Data[[#This Row],[Tier]],"Inactive")</f>
        <v>Basic</v>
      </c>
    </row>
    <row r="747" spans="1:8" x14ac:dyDescent="0.2">
      <c r="A747">
        <v>1746</v>
      </c>
      <c r="B747" t="s">
        <v>11</v>
      </c>
      <c r="C747" t="s">
        <v>7</v>
      </c>
      <c r="D747" s="1">
        <v>45768</v>
      </c>
      <c r="E747">
        <v>49</v>
      </c>
      <c r="F747">
        <v>0</v>
      </c>
      <c r="G747">
        <f>IF(Gym_Expansion_Data[[#This Row],[Churned]]=0,1,0)</f>
        <v>1</v>
      </c>
      <c r="H747" t="str">
        <f>IF(Gym_Expansion_Data[[#This Row],[Active Member]]=1,Gym_Expansion_Data[[#This Row],[Tier]],"Inactive")</f>
        <v>Basic</v>
      </c>
    </row>
    <row r="748" spans="1:8" x14ac:dyDescent="0.2">
      <c r="A748">
        <v>1747</v>
      </c>
      <c r="B748" t="s">
        <v>9</v>
      </c>
      <c r="C748" t="s">
        <v>7</v>
      </c>
      <c r="D748" s="1">
        <v>45811</v>
      </c>
      <c r="E748">
        <v>49</v>
      </c>
      <c r="F748">
        <v>1</v>
      </c>
      <c r="G748">
        <f>IF(Gym_Expansion_Data[[#This Row],[Churned]]=0,1,0)</f>
        <v>0</v>
      </c>
      <c r="H748" t="str">
        <f>IF(Gym_Expansion_Data[[#This Row],[Active Member]]=1,Gym_Expansion_Data[[#This Row],[Tier]],"Inactive")</f>
        <v>Inactive</v>
      </c>
    </row>
    <row r="749" spans="1:8" x14ac:dyDescent="0.2">
      <c r="A749">
        <v>1748</v>
      </c>
      <c r="B749" t="s">
        <v>10</v>
      </c>
      <c r="C749" t="s">
        <v>7</v>
      </c>
      <c r="D749" s="1">
        <v>45467</v>
      </c>
      <c r="E749">
        <v>49</v>
      </c>
      <c r="F749">
        <v>0</v>
      </c>
      <c r="G749">
        <f>IF(Gym_Expansion_Data[[#This Row],[Churned]]=0,1,0)</f>
        <v>1</v>
      </c>
      <c r="H749" t="str">
        <f>IF(Gym_Expansion_Data[[#This Row],[Active Member]]=1,Gym_Expansion_Data[[#This Row],[Tier]],"Inactive")</f>
        <v>Basic</v>
      </c>
    </row>
    <row r="750" spans="1:8" x14ac:dyDescent="0.2">
      <c r="A750">
        <v>1749</v>
      </c>
      <c r="B750" t="s">
        <v>6</v>
      </c>
      <c r="C750" t="s">
        <v>12</v>
      </c>
      <c r="D750" s="1">
        <v>45546</v>
      </c>
      <c r="E750">
        <v>89</v>
      </c>
      <c r="F750">
        <v>0</v>
      </c>
      <c r="G750">
        <f>IF(Gym_Expansion_Data[[#This Row],[Churned]]=0,1,0)</f>
        <v>1</v>
      </c>
      <c r="H750" t="str">
        <f>IF(Gym_Expansion_Data[[#This Row],[Active Member]]=1,Gym_Expansion_Data[[#This Row],[Tier]],"Inactive")</f>
        <v>Premium</v>
      </c>
    </row>
    <row r="751" spans="1:8" x14ac:dyDescent="0.2">
      <c r="A751">
        <v>1750</v>
      </c>
      <c r="B751" t="s">
        <v>11</v>
      </c>
      <c r="C751" t="s">
        <v>12</v>
      </c>
      <c r="D751" s="1">
        <v>45838</v>
      </c>
      <c r="E751">
        <v>89</v>
      </c>
      <c r="F751">
        <v>0</v>
      </c>
      <c r="G751">
        <f>IF(Gym_Expansion_Data[[#This Row],[Churned]]=0,1,0)</f>
        <v>1</v>
      </c>
      <c r="H751" t="str">
        <f>IF(Gym_Expansion_Data[[#This Row],[Active Member]]=1,Gym_Expansion_Data[[#This Row],[Tier]],"Inactive")</f>
        <v>Premium</v>
      </c>
    </row>
    <row r="752" spans="1:8" x14ac:dyDescent="0.2">
      <c r="A752">
        <v>1751</v>
      </c>
      <c r="B752" t="s">
        <v>9</v>
      </c>
      <c r="C752" t="s">
        <v>7</v>
      </c>
      <c r="D752" s="1">
        <v>45599</v>
      </c>
      <c r="E752">
        <v>49</v>
      </c>
      <c r="F752">
        <v>0</v>
      </c>
      <c r="G752">
        <f>IF(Gym_Expansion_Data[[#This Row],[Churned]]=0,1,0)</f>
        <v>1</v>
      </c>
      <c r="H752" t="str">
        <f>IF(Gym_Expansion_Data[[#This Row],[Active Member]]=1,Gym_Expansion_Data[[#This Row],[Tier]],"Inactive")</f>
        <v>Basic</v>
      </c>
    </row>
    <row r="753" spans="1:8" x14ac:dyDescent="0.2">
      <c r="A753">
        <v>1752</v>
      </c>
      <c r="B753" t="s">
        <v>9</v>
      </c>
      <c r="C753" t="s">
        <v>12</v>
      </c>
      <c r="D753" s="1">
        <v>45933</v>
      </c>
      <c r="E753">
        <v>89</v>
      </c>
      <c r="F753">
        <v>0</v>
      </c>
      <c r="G753">
        <f>IF(Gym_Expansion_Data[[#This Row],[Churned]]=0,1,0)</f>
        <v>1</v>
      </c>
      <c r="H753" t="str">
        <f>IF(Gym_Expansion_Data[[#This Row],[Active Member]]=1,Gym_Expansion_Data[[#This Row],[Tier]],"Inactive")</f>
        <v>Premium</v>
      </c>
    </row>
    <row r="754" spans="1:8" x14ac:dyDescent="0.2">
      <c r="A754">
        <v>1753</v>
      </c>
      <c r="B754" t="s">
        <v>11</v>
      </c>
      <c r="C754" t="s">
        <v>12</v>
      </c>
      <c r="D754" s="1">
        <v>45602</v>
      </c>
      <c r="E754">
        <v>89</v>
      </c>
      <c r="F754">
        <v>1</v>
      </c>
      <c r="G754">
        <f>IF(Gym_Expansion_Data[[#This Row],[Churned]]=0,1,0)</f>
        <v>0</v>
      </c>
      <c r="H754" t="str">
        <f>IF(Gym_Expansion_Data[[#This Row],[Active Member]]=1,Gym_Expansion_Data[[#This Row],[Tier]],"Inactive")</f>
        <v>Inactive</v>
      </c>
    </row>
    <row r="755" spans="1:8" x14ac:dyDescent="0.2">
      <c r="A755">
        <v>1754</v>
      </c>
      <c r="B755" t="s">
        <v>9</v>
      </c>
      <c r="C755" t="s">
        <v>12</v>
      </c>
      <c r="D755" s="1">
        <v>45379</v>
      </c>
      <c r="E755">
        <v>89</v>
      </c>
      <c r="F755">
        <v>0</v>
      </c>
      <c r="G755">
        <f>IF(Gym_Expansion_Data[[#This Row],[Churned]]=0,1,0)</f>
        <v>1</v>
      </c>
      <c r="H755" t="str">
        <f>IF(Gym_Expansion_Data[[#This Row],[Active Member]]=1,Gym_Expansion_Data[[#This Row],[Tier]],"Inactive")</f>
        <v>Premium</v>
      </c>
    </row>
    <row r="756" spans="1:8" x14ac:dyDescent="0.2">
      <c r="A756">
        <v>1755</v>
      </c>
      <c r="B756" t="s">
        <v>9</v>
      </c>
      <c r="C756" t="s">
        <v>12</v>
      </c>
      <c r="D756" s="1">
        <v>45665</v>
      </c>
      <c r="E756">
        <v>89</v>
      </c>
      <c r="F756">
        <v>0</v>
      </c>
      <c r="G756">
        <f>IF(Gym_Expansion_Data[[#This Row],[Churned]]=0,1,0)</f>
        <v>1</v>
      </c>
      <c r="H756" t="str">
        <f>IF(Gym_Expansion_Data[[#This Row],[Active Member]]=1,Gym_Expansion_Data[[#This Row],[Tier]],"Inactive")</f>
        <v>Premium</v>
      </c>
    </row>
    <row r="757" spans="1:8" x14ac:dyDescent="0.2">
      <c r="A757">
        <v>1756</v>
      </c>
      <c r="B757" t="s">
        <v>9</v>
      </c>
      <c r="C757" t="s">
        <v>7</v>
      </c>
      <c r="D757" s="1">
        <v>45653</v>
      </c>
      <c r="E757">
        <v>49</v>
      </c>
      <c r="F757">
        <v>0</v>
      </c>
      <c r="G757">
        <f>IF(Gym_Expansion_Data[[#This Row],[Churned]]=0,1,0)</f>
        <v>1</v>
      </c>
      <c r="H757" t="str">
        <f>IF(Gym_Expansion_Data[[#This Row],[Active Member]]=1,Gym_Expansion_Data[[#This Row],[Tier]],"Inactive")</f>
        <v>Basic</v>
      </c>
    </row>
    <row r="758" spans="1:8" x14ac:dyDescent="0.2">
      <c r="A758">
        <v>1757</v>
      </c>
      <c r="B758" t="s">
        <v>11</v>
      </c>
      <c r="C758" t="s">
        <v>7</v>
      </c>
      <c r="D758" s="1">
        <v>45372</v>
      </c>
      <c r="E758">
        <v>49</v>
      </c>
      <c r="F758">
        <v>0</v>
      </c>
      <c r="G758">
        <f>IF(Gym_Expansion_Data[[#This Row],[Churned]]=0,1,0)</f>
        <v>1</v>
      </c>
      <c r="H758" t="str">
        <f>IF(Gym_Expansion_Data[[#This Row],[Active Member]]=1,Gym_Expansion_Data[[#This Row],[Tier]],"Inactive")</f>
        <v>Basic</v>
      </c>
    </row>
    <row r="759" spans="1:8" x14ac:dyDescent="0.2">
      <c r="A759">
        <v>1758</v>
      </c>
      <c r="B759" t="s">
        <v>9</v>
      </c>
      <c r="C759" t="s">
        <v>7</v>
      </c>
      <c r="D759" s="1">
        <v>45533</v>
      </c>
      <c r="E759">
        <v>49</v>
      </c>
      <c r="F759">
        <v>0</v>
      </c>
      <c r="G759">
        <f>IF(Gym_Expansion_Data[[#This Row],[Churned]]=0,1,0)</f>
        <v>1</v>
      </c>
      <c r="H759" t="str">
        <f>IF(Gym_Expansion_Data[[#This Row],[Active Member]]=1,Gym_Expansion_Data[[#This Row],[Tier]],"Inactive")</f>
        <v>Basic</v>
      </c>
    </row>
    <row r="760" spans="1:8" x14ac:dyDescent="0.2">
      <c r="A760">
        <v>1759</v>
      </c>
      <c r="B760" t="s">
        <v>6</v>
      </c>
      <c r="C760" t="s">
        <v>12</v>
      </c>
      <c r="D760" s="1">
        <v>45825</v>
      </c>
      <c r="E760">
        <v>89</v>
      </c>
      <c r="F760">
        <v>0</v>
      </c>
      <c r="G760">
        <f>IF(Gym_Expansion_Data[[#This Row],[Churned]]=0,1,0)</f>
        <v>1</v>
      </c>
      <c r="H760" t="str">
        <f>IF(Gym_Expansion_Data[[#This Row],[Active Member]]=1,Gym_Expansion_Data[[#This Row],[Tier]],"Inactive")</f>
        <v>Premium</v>
      </c>
    </row>
    <row r="761" spans="1:8" x14ac:dyDescent="0.2">
      <c r="A761">
        <v>1760</v>
      </c>
      <c r="B761" t="s">
        <v>6</v>
      </c>
      <c r="C761" t="s">
        <v>7</v>
      </c>
      <c r="D761" s="1">
        <v>45627</v>
      </c>
      <c r="E761">
        <v>49</v>
      </c>
      <c r="F761">
        <v>0</v>
      </c>
      <c r="G761">
        <f>IF(Gym_Expansion_Data[[#This Row],[Churned]]=0,1,0)</f>
        <v>1</v>
      </c>
      <c r="H761" t="str">
        <f>IF(Gym_Expansion_Data[[#This Row],[Active Member]]=1,Gym_Expansion_Data[[#This Row],[Tier]],"Inactive")</f>
        <v>Basic</v>
      </c>
    </row>
    <row r="762" spans="1:8" x14ac:dyDescent="0.2">
      <c r="A762">
        <v>1761</v>
      </c>
      <c r="B762" t="s">
        <v>6</v>
      </c>
      <c r="C762" t="s">
        <v>7</v>
      </c>
      <c r="D762" s="1">
        <v>45815</v>
      </c>
      <c r="E762">
        <v>49</v>
      </c>
      <c r="F762">
        <v>0</v>
      </c>
      <c r="G762">
        <f>IF(Gym_Expansion_Data[[#This Row],[Churned]]=0,1,0)</f>
        <v>1</v>
      </c>
      <c r="H762" t="str">
        <f>IF(Gym_Expansion_Data[[#This Row],[Active Member]]=1,Gym_Expansion_Data[[#This Row],[Tier]],"Inactive")</f>
        <v>Basic</v>
      </c>
    </row>
    <row r="763" spans="1:8" x14ac:dyDescent="0.2">
      <c r="A763">
        <v>1762</v>
      </c>
      <c r="B763" t="s">
        <v>10</v>
      </c>
      <c r="C763" t="s">
        <v>8</v>
      </c>
      <c r="D763" s="1">
        <v>45398</v>
      </c>
      <c r="E763">
        <v>129</v>
      </c>
      <c r="F763">
        <v>0</v>
      </c>
      <c r="G763">
        <f>IF(Gym_Expansion_Data[[#This Row],[Churned]]=0,1,0)</f>
        <v>1</v>
      </c>
      <c r="H763" t="str">
        <f>IF(Gym_Expansion_Data[[#This Row],[Active Member]]=1,Gym_Expansion_Data[[#This Row],[Tier]],"Inactive")</f>
        <v>Elite</v>
      </c>
    </row>
    <row r="764" spans="1:8" x14ac:dyDescent="0.2">
      <c r="A764">
        <v>1763</v>
      </c>
      <c r="B764" t="s">
        <v>9</v>
      </c>
      <c r="C764" t="s">
        <v>7</v>
      </c>
      <c r="D764" s="1">
        <v>45789</v>
      </c>
      <c r="E764">
        <v>49</v>
      </c>
      <c r="F764">
        <v>0</v>
      </c>
      <c r="G764">
        <f>IF(Gym_Expansion_Data[[#This Row],[Churned]]=0,1,0)</f>
        <v>1</v>
      </c>
      <c r="H764" t="str">
        <f>IF(Gym_Expansion_Data[[#This Row],[Active Member]]=1,Gym_Expansion_Data[[#This Row],[Tier]],"Inactive")</f>
        <v>Basic</v>
      </c>
    </row>
    <row r="765" spans="1:8" x14ac:dyDescent="0.2">
      <c r="A765">
        <v>1764</v>
      </c>
      <c r="B765" t="s">
        <v>9</v>
      </c>
      <c r="C765" t="s">
        <v>8</v>
      </c>
      <c r="D765" s="1">
        <v>45781</v>
      </c>
      <c r="E765">
        <v>129</v>
      </c>
      <c r="F765">
        <v>0</v>
      </c>
      <c r="G765">
        <f>IF(Gym_Expansion_Data[[#This Row],[Churned]]=0,1,0)</f>
        <v>1</v>
      </c>
      <c r="H765" t="str">
        <f>IF(Gym_Expansion_Data[[#This Row],[Active Member]]=1,Gym_Expansion_Data[[#This Row],[Tier]],"Inactive")</f>
        <v>Elite</v>
      </c>
    </row>
    <row r="766" spans="1:8" x14ac:dyDescent="0.2">
      <c r="A766">
        <v>1765</v>
      </c>
      <c r="B766" t="s">
        <v>10</v>
      </c>
      <c r="C766" t="s">
        <v>7</v>
      </c>
      <c r="D766" s="1">
        <v>45526</v>
      </c>
      <c r="E766">
        <v>49</v>
      </c>
      <c r="F766">
        <v>0</v>
      </c>
      <c r="G766">
        <f>IF(Gym_Expansion_Data[[#This Row],[Churned]]=0,1,0)</f>
        <v>1</v>
      </c>
      <c r="H766" t="str">
        <f>IF(Gym_Expansion_Data[[#This Row],[Active Member]]=1,Gym_Expansion_Data[[#This Row],[Tier]],"Inactive")</f>
        <v>Basic</v>
      </c>
    </row>
    <row r="767" spans="1:8" x14ac:dyDescent="0.2">
      <c r="A767">
        <v>1766</v>
      </c>
      <c r="B767" t="s">
        <v>10</v>
      </c>
      <c r="C767" t="s">
        <v>12</v>
      </c>
      <c r="D767" s="1">
        <v>45617</v>
      </c>
      <c r="E767">
        <v>89</v>
      </c>
      <c r="F767">
        <v>0</v>
      </c>
      <c r="G767">
        <f>IF(Gym_Expansion_Data[[#This Row],[Churned]]=0,1,0)</f>
        <v>1</v>
      </c>
      <c r="H767" t="str">
        <f>IF(Gym_Expansion_Data[[#This Row],[Active Member]]=1,Gym_Expansion_Data[[#This Row],[Tier]],"Inactive")</f>
        <v>Premium</v>
      </c>
    </row>
    <row r="768" spans="1:8" x14ac:dyDescent="0.2">
      <c r="A768">
        <v>1767</v>
      </c>
      <c r="B768" t="s">
        <v>6</v>
      </c>
      <c r="C768" t="s">
        <v>12</v>
      </c>
      <c r="D768" s="1">
        <v>45984</v>
      </c>
      <c r="E768">
        <v>89</v>
      </c>
      <c r="F768">
        <v>0</v>
      </c>
      <c r="G768">
        <f>IF(Gym_Expansion_Data[[#This Row],[Churned]]=0,1,0)</f>
        <v>1</v>
      </c>
      <c r="H768" t="str">
        <f>IF(Gym_Expansion_Data[[#This Row],[Active Member]]=1,Gym_Expansion_Data[[#This Row],[Tier]],"Inactive")</f>
        <v>Premium</v>
      </c>
    </row>
    <row r="769" spans="1:8" x14ac:dyDescent="0.2">
      <c r="A769">
        <v>1768</v>
      </c>
      <c r="B769" t="s">
        <v>11</v>
      </c>
      <c r="C769" t="s">
        <v>7</v>
      </c>
      <c r="D769" s="1">
        <v>45580</v>
      </c>
      <c r="E769">
        <v>49</v>
      </c>
      <c r="F769">
        <v>0</v>
      </c>
      <c r="G769">
        <f>IF(Gym_Expansion_Data[[#This Row],[Churned]]=0,1,0)</f>
        <v>1</v>
      </c>
      <c r="H769" t="str">
        <f>IF(Gym_Expansion_Data[[#This Row],[Active Member]]=1,Gym_Expansion_Data[[#This Row],[Tier]],"Inactive")</f>
        <v>Basic</v>
      </c>
    </row>
    <row r="770" spans="1:8" x14ac:dyDescent="0.2">
      <c r="A770">
        <v>1769</v>
      </c>
      <c r="B770" t="s">
        <v>11</v>
      </c>
      <c r="C770" t="s">
        <v>12</v>
      </c>
      <c r="D770" s="1">
        <v>45435</v>
      </c>
      <c r="E770">
        <v>89</v>
      </c>
      <c r="F770">
        <v>0</v>
      </c>
      <c r="G770">
        <f>IF(Gym_Expansion_Data[[#This Row],[Churned]]=0,1,0)</f>
        <v>1</v>
      </c>
      <c r="H770" t="str">
        <f>IF(Gym_Expansion_Data[[#This Row],[Active Member]]=1,Gym_Expansion_Data[[#This Row],[Tier]],"Inactive")</f>
        <v>Premium</v>
      </c>
    </row>
    <row r="771" spans="1:8" x14ac:dyDescent="0.2">
      <c r="A771">
        <v>1770</v>
      </c>
      <c r="B771" t="s">
        <v>11</v>
      </c>
      <c r="C771" t="s">
        <v>8</v>
      </c>
      <c r="D771" s="1">
        <v>45545</v>
      </c>
      <c r="E771">
        <v>129</v>
      </c>
      <c r="F771">
        <v>0</v>
      </c>
      <c r="G771">
        <f>IF(Gym_Expansion_Data[[#This Row],[Churned]]=0,1,0)</f>
        <v>1</v>
      </c>
      <c r="H771" t="str">
        <f>IF(Gym_Expansion_Data[[#This Row],[Active Member]]=1,Gym_Expansion_Data[[#This Row],[Tier]],"Inactive")</f>
        <v>Elite</v>
      </c>
    </row>
    <row r="772" spans="1:8" x14ac:dyDescent="0.2">
      <c r="A772">
        <v>1771</v>
      </c>
      <c r="B772" t="s">
        <v>11</v>
      </c>
      <c r="C772" t="s">
        <v>8</v>
      </c>
      <c r="D772" s="1">
        <v>45951</v>
      </c>
      <c r="E772">
        <v>129</v>
      </c>
      <c r="F772">
        <v>0</v>
      </c>
      <c r="G772">
        <f>IF(Gym_Expansion_Data[[#This Row],[Churned]]=0,1,0)</f>
        <v>1</v>
      </c>
      <c r="H772" t="str">
        <f>IF(Gym_Expansion_Data[[#This Row],[Active Member]]=1,Gym_Expansion_Data[[#This Row],[Tier]],"Inactive")</f>
        <v>Elite</v>
      </c>
    </row>
    <row r="773" spans="1:8" x14ac:dyDescent="0.2">
      <c r="A773">
        <v>1772</v>
      </c>
      <c r="B773" t="s">
        <v>9</v>
      </c>
      <c r="C773" t="s">
        <v>8</v>
      </c>
      <c r="D773" s="1">
        <v>45802</v>
      </c>
      <c r="E773">
        <v>129</v>
      </c>
      <c r="F773">
        <v>0</v>
      </c>
      <c r="G773">
        <f>IF(Gym_Expansion_Data[[#This Row],[Churned]]=0,1,0)</f>
        <v>1</v>
      </c>
      <c r="H773" t="str">
        <f>IF(Gym_Expansion_Data[[#This Row],[Active Member]]=1,Gym_Expansion_Data[[#This Row],[Tier]],"Inactive")</f>
        <v>Elite</v>
      </c>
    </row>
    <row r="774" spans="1:8" x14ac:dyDescent="0.2">
      <c r="A774">
        <v>1773</v>
      </c>
      <c r="B774" t="s">
        <v>11</v>
      </c>
      <c r="C774" t="s">
        <v>7</v>
      </c>
      <c r="D774" s="1">
        <v>45816</v>
      </c>
      <c r="E774">
        <v>49</v>
      </c>
      <c r="F774">
        <v>0</v>
      </c>
      <c r="G774">
        <f>IF(Gym_Expansion_Data[[#This Row],[Churned]]=0,1,0)</f>
        <v>1</v>
      </c>
      <c r="H774" t="str">
        <f>IF(Gym_Expansion_Data[[#This Row],[Active Member]]=1,Gym_Expansion_Data[[#This Row],[Tier]],"Inactive")</f>
        <v>Basic</v>
      </c>
    </row>
    <row r="775" spans="1:8" x14ac:dyDescent="0.2">
      <c r="A775">
        <v>1774</v>
      </c>
      <c r="B775" t="s">
        <v>9</v>
      </c>
      <c r="C775" t="s">
        <v>12</v>
      </c>
      <c r="D775" s="1">
        <v>45629</v>
      </c>
      <c r="E775">
        <v>89</v>
      </c>
      <c r="F775">
        <v>0</v>
      </c>
      <c r="G775">
        <f>IF(Gym_Expansion_Data[[#This Row],[Churned]]=0,1,0)</f>
        <v>1</v>
      </c>
      <c r="H775" t="str">
        <f>IF(Gym_Expansion_Data[[#This Row],[Active Member]]=1,Gym_Expansion_Data[[#This Row],[Tier]],"Inactive")</f>
        <v>Premium</v>
      </c>
    </row>
    <row r="776" spans="1:8" x14ac:dyDescent="0.2">
      <c r="A776">
        <v>1775</v>
      </c>
      <c r="B776" t="s">
        <v>10</v>
      </c>
      <c r="C776" t="s">
        <v>7</v>
      </c>
      <c r="D776" s="1">
        <v>45562</v>
      </c>
      <c r="E776">
        <v>49</v>
      </c>
      <c r="F776">
        <v>0</v>
      </c>
      <c r="G776">
        <f>IF(Gym_Expansion_Data[[#This Row],[Churned]]=0,1,0)</f>
        <v>1</v>
      </c>
      <c r="H776" t="str">
        <f>IF(Gym_Expansion_Data[[#This Row],[Active Member]]=1,Gym_Expansion_Data[[#This Row],[Tier]],"Inactive")</f>
        <v>Basic</v>
      </c>
    </row>
    <row r="777" spans="1:8" x14ac:dyDescent="0.2">
      <c r="A777">
        <v>1776</v>
      </c>
      <c r="B777" t="s">
        <v>9</v>
      </c>
      <c r="C777" t="s">
        <v>7</v>
      </c>
      <c r="D777" s="1">
        <v>45586</v>
      </c>
      <c r="E777">
        <v>49</v>
      </c>
      <c r="F777">
        <v>0</v>
      </c>
      <c r="G777">
        <f>IF(Gym_Expansion_Data[[#This Row],[Churned]]=0,1,0)</f>
        <v>1</v>
      </c>
      <c r="H777" t="str">
        <f>IF(Gym_Expansion_Data[[#This Row],[Active Member]]=1,Gym_Expansion_Data[[#This Row],[Tier]],"Inactive")</f>
        <v>Basic</v>
      </c>
    </row>
    <row r="778" spans="1:8" x14ac:dyDescent="0.2">
      <c r="A778">
        <v>1777</v>
      </c>
      <c r="B778" t="s">
        <v>6</v>
      </c>
      <c r="C778" t="s">
        <v>12</v>
      </c>
      <c r="D778" s="1">
        <v>45724</v>
      </c>
      <c r="E778">
        <v>89</v>
      </c>
      <c r="F778">
        <v>0</v>
      </c>
      <c r="G778">
        <f>IF(Gym_Expansion_Data[[#This Row],[Churned]]=0,1,0)</f>
        <v>1</v>
      </c>
      <c r="H778" t="str">
        <f>IF(Gym_Expansion_Data[[#This Row],[Active Member]]=1,Gym_Expansion_Data[[#This Row],[Tier]],"Inactive")</f>
        <v>Premium</v>
      </c>
    </row>
    <row r="779" spans="1:8" x14ac:dyDescent="0.2">
      <c r="A779">
        <v>1778</v>
      </c>
      <c r="B779" t="s">
        <v>6</v>
      </c>
      <c r="C779" t="s">
        <v>7</v>
      </c>
      <c r="D779" s="1">
        <v>45482</v>
      </c>
      <c r="E779">
        <v>49</v>
      </c>
      <c r="F779">
        <v>0</v>
      </c>
      <c r="G779">
        <f>IF(Gym_Expansion_Data[[#This Row],[Churned]]=0,1,0)</f>
        <v>1</v>
      </c>
      <c r="H779" t="str">
        <f>IF(Gym_Expansion_Data[[#This Row],[Active Member]]=1,Gym_Expansion_Data[[#This Row],[Tier]],"Inactive")</f>
        <v>Basic</v>
      </c>
    </row>
    <row r="780" spans="1:8" x14ac:dyDescent="0.2">
      <c r="A780">
        <v>1779</v>
      </c>
      <c r="B780" t="s">
        <v>10</v>
      </c>
      <c r="C780" t="s">
        <v>8</v>
      </c>
      <c r="D780" s="1">
        <v>45349</v>
      </c>
      <c r="E780">
        <v>129</v>
      </c>
      <c r="F780">
        <v>1</v>
      </c>
      <c r="G780">
        <f>IF(Gym_Expansion_Data[[#This Row],[Churned]]=0,1,0)</f>
        <v>0</v>
      </c>
      <c r="H780" t="str">
        <f>IF(Gym_Expansion_Data[[#This Row],[Active Member]]=1,Gym_Expansion_Data[[#This Row],[Tier]],"Inactive")</f>
        <v>Inactive</v>
      </c>
    </row>
    <row r="781" spans="1:8" x14ac:dyDescent="0.2">
      <c r="A781">
        <v>1780</v>
      </c>
      <c r="B781" t="s">
        <v>6</v>
      </c>
      <c r="C781" t="s">
        <v>8</v>
      </c>
      <c r="D781" s="1">
        <v>45421</v>
      </c>
      <c r="E781">
        <v>129</v>
      </c>
      <c r="F781">
        <v>0</v>
      </c>
      <c r="G781">
        <f>IF(Gym_Expansion_Data[[#This Row],[Churned]]=0,1,0)</f>
        <v>1</v>
      </c>
      <c r="H781" t="str">
        <f>IF(Gym_Expansion_Data[[#This Row],[Active Member]]=1,Gym_Expansion_Data[[#This Row],[Tier]],"Inactive")</f>
        <v>Elite</v>
      </c>
    </row>
    <row r="782" spans="1:8" x14ac:dyDescent="0.2">
      <c r="A782">
        <v>1781</v>
      </c>
      <c r="B782" t="s">
        <v>10</v>
      </c>
      <c r="C782" t="s">
        <v>8</v>
      </c>
      <c r="D782" s="1">
        <v>45956</v>
      </c>
      <c r="E782">
        <v>129</v>
      </c>
      <c r="F782">
        <v>0</v>
      </c>
      <c r="G782">
        <f>IF(Gym_Expansion_Data[[#This Row],[Churned]]=0,1,0)</f>
        <v>1</v>
      </c>
      <c r="H782" t="str">
        <f>IF(Gym_Expansion_Data[[#This Row],[Active Member]]=1,Gym_Expansion_Data[[#This Row],[Tier]],"Inactive")</f>
        <v>Elite</v>
      </c>
    </row>
    <row r="783" spans="1:8" x14ac:dyDescent="0.2">
      <c r="A783">
        <v>1782</v>
      </c>
      <c r="B783" t="s">
        <v>10</v>
      </c>
      <c r="C783" t="s">
        <v>12</v>
      </c>
      <c r="D783" s="1">
        <v>45956</v>
      </c>
      <c r="E783">
        <v>89</v>
      </c>
      <c r="F783">
        <v>1</v>
      </c>
      <c r="G783">
        <f>IF(Gym_Expansion_Data[[#This Row],[Churned]]=0,1,0)</f>
        <v>0</v>
      </c>
      <c r="H783" t="str">
        <f>IF(Gym_Expansion_Data[[#This Row],[Active Member]]=1,Gym_Expansion_Data[[#This Row],[Tier]],"Inactive")</f>
        <v>Inactive</v>
      </c>
    </row>
    <row r="784" spans="1:8" x14ac:dyDescent="0.2">
      <c r="A784">
        <v>1783</v>
      </c>
      <c r="B784" t="s">
        <v>11</v>
      </c>
      <c r="C784" t="s">
        <v>7</v>
      </c>
      <c r="D784" s="1">
        <v>45324</v>
      </c>
      <c r="E784">
        <v>49</v>
      </c>
      <c r="F784">
        <v>0</v>
      </c>
      <c r="G784">
        <f>IF(Gym_Expansion_Data[[#This Row],[Churned]]=0,1,0)</f>
        <v>1</v>
      </c>
      <c r="H784" t="str">
        <f>IF(Gym_Expansion_Data[[#This Row],[Active Member]]=1,Gym_Expansion_Data[[#This Row],[Tier]],"Inactive")</f>
        <v>Basic</v>
      </c>
    </row>
    <row r="785" spans="1:8" x14ac:dyDescent="0.2">
      <c r="A785">
        <v>1784</v>
      </c>
      <c r="B785" t="s">
        <v>9</v>
      </c>
      <c r="C785" t="s">
        <v>12</v>
      </c>
      <c r="D785" s="1">
        <v>45802</v>
      </c>
      <c r="E785">
        <v>89</v>
      </c>
      <c r="F785">
        <v>1</v>
      </c>
      <c r="G785">
        <f>IF(Gym_Expansion_Data[[#This Row],[Churned]]=0,1,0)</f>
        <v>0</v>
      </c>
      <c r="H785" t="str">
        <f>IF(Gym_Expansion_Data[[#This Row],[Active Member]]=1,Gym_Expansion_Data[[#This Row],[Tier]],"Inactive")</f>
        <v>Inactive</v>
      </c>
    </row>
    <row r="786" spans="1:8" x14ac:dyDescent="0.2">
      <c r="A786">
        <v>1785</v>
      </c>
      <c r="B786" t="s">
        <v>10</v>
      </c>
      <c r="C786" t="s">
        <v>7</v>
      </c>
      <c r="D786" s="1">
        <v>45419</v>
      </c>
      <c r="E786">
        <v>49</v>
      </c>
      <c r="F786">
        <v>0</v>
      </c>
      <c r="G786">
        <f>IF(Gym_Expansion_Data[[#This Row],[Churned]]=0,1,0)</f>
        <v>1</v>
      </c>
      <c r="H786" t="str">
        <f>IF(Gym_Expansion_Data[[#This Row],[Active Member]]=1,Gym_Expansion_Data[[#This Row],[Tier]],"Inactive")</f>
        <v>Basic</v>
      </c>
    </row>
    <row r="787" spans="1:8" x14ac:dyDescent="0.2">
      <c r="A787">
        <v>1786</v>
      </c>
      <c r="B787" t="s">
        <v>9</v>
      </c>
      <c r="C787" t="s">
        <v>8</v>
      </c>
      <c r="D787" s="1">
        <v>45875</v>
      </c>
      <c r="E787">
        <v>129</v>
      </c>
      <c r="F787">
        <v>0</v>
      </c>
      <c r="G787">
        <f>IF(Gym_Expansion_Data[[#This Row],[Churned]]=0,1,0)</f>
        <v>1</v>
      </c>
      <c r="H787" t="str">
        <f>IF(Gym_Expansion_Data[[#This Row],[Active Member]]=1,Gym_Expansion_Data[[#This Row],[Tier]],"Inactive")</f>
        <v>Elite</v>
      </c>
    </row>
    <row r="788" spans="1:8" x14ac:dyDescent="0.2">
      <c r="A788">
        <v>1787</v>
      </c>
      <c r="B788" t="s">
        <v>9</v>
      </c>
      <c r="C788" t="s">
        <v>8</v>
      </c>
      <c r="D788" s="1">
        <v>45515</v>
      </c>
      <c r="E788">
        <v>129</v>
      </c>
      <c r="F788">
        <v>0</v>
      </c>
      <c r="G788">
        <f>IF(Gym_Expansion_Data[[#This Row],[Churned]]=0,1,0)</f>
        <v>1</v>
      </c>
      <c r="H788" t="str">
        <f>IF(Gym_Expansion_Data[[#This Row],[Active Member]]=1,Gym_Expansion_Data[[#This Row],[Tier]],"Inactive")</f>
        <v>Elite</v>
      </c>
    </row>
    <row r="789" spans="1:8" x14ac:dyDescent="0.2">
      <c r="A789">
        <v>1788</v>
      </c>
      <c r="B789" t="s">
        <v>10</v>
      </c>
      <c r="C789" t="s">
        <v>7</v>
      </c>
      <c r="D789" s="1">
        <v>45452</v>
      </c>
      <c r="E789">
        <v>49</v>
      </c>
      <c r="F789">
        <v>0</v>
      </c>
      <c r="G789">
        <f>IF(Gym_Expansion_Data[[#This Row],[Churned]]=0,1,0)</f>
        <v>1</v>
      </c>
      <c r="H789" t="str">
        <f>IF(Gym_Expansion_Data[[#This Row],[Active Member]]=1,Gym_Expansion_Data[[#This Row],[Tier]],"Inactive")</f>
        <v>Basic</v>
      </c>
    </row>
    <row r="790" spans="1:8" x14ac:dyDescent="0.2">
      <c r="A790">
        <v>1789</v>
      </c>
      <c r="B790" t="s">
        <v>11</v>
      </c>
      <c r="C790" t="s">
        <v>8</v>
      </c>
      <c r="D790" s="1">
        <v>45719</v>
      </c>
      <c r="E790">
        <v>129</v>
      </c>
      <c r="F790">
        <v>0</v>
      </c>
      <c r="G790">
        <f>IF(Gym_Expansion_Data[[#This Row],[Churned]]=0,1,0)</f>
        <v>1</v>
      </c>
      <c r="H790" t="str">
        <f>IF(Gym_Expansion_Data[[#This Row],[Active Member]]=1,Gym_Expansion_Data[[#This Row],[Tier]],"Inactive")</f>
        <v>Elite</v>
      </c>
    </row>
    <row r="791" spans="1:8" x14ac:dyDescent="0.2">
      <c r="A791">
        <v>1790</v>
      </c>
      <c r="B791" t="s">
        <v>9</v>
      </c>
      <c r="C791" t="s">
        <v>7</v>
      </c>
      <c r="D791" s="1">
        <v>45851</v>
      </c>
      <c r="E791">
        <v>49</v>
      </c>
      <c r="F791">
        <v>0</v>
      </c>
      <c r="G791">
        <f>IF(Gym_Expansion_Data[[#This Row],[Churned]]=0,1,0)</f>
        <v>1</v>
      </c>
      <c r="H791" t="str">
        <f>IF(Gym_Expansion_Data[[#This Row],[Active Member]]=1,Gym_Expansion_Data[[#This Row],[Tier]],"Inactive")</f>
        <v>Basic</v>
      </c>
    </row>
    <row r="792" spans="1:8" x14ac:dyDescent="0.2">
      <c r="A792">
        <v>1791</v>
      </c>
      <c r="B792" t="s">
        <v>6</v>
      </c>
      <c r="C792" t="s">
        <v>12</v>
      </c>
      <c r="D792" s="1">
        <v>45586</v>
      </c>
      <c r="E792">
        <v>89</v>
      </c>
      <c r="F792">
        <v>0</v>
      </c>
      <c r="G792">
        <f>IF(Gym_Expansion_Data[[#This Row],[Churned]]=0,1,0)</f>
        <v>1</v>
      </c>
      <c r="H792" t="str">
        <f>IF(Gym_Expansion_Data[[#This Row],[Active Member]]=1,Gym_Expansion_Data[[#This Row],[Tier]],"Inactive")</f>
        <v>Premium</v>
      </c>
    </row>
    <row r="793" spans="1:8" x14ac:dyDescent="0.2">
      <c r="A793">
        <v>1792</v>
      </c>
      <c r="B793" t="s">
        <v>11</v>
      </c>
      <c r="C793" t="s">
        <v>7</v>
      </c>
      <c r="D793" s="1">
        <v>45937</v>
      </c>
      <c r="E793">
        <v>49</v>
      </c>
      <c r="F793">
        <v>0</v>
      </c>
      <c r="G793">
        <f>IF(Gym_Expansion_Data[[#This Row],[Churned]]=0,1,0)</f>
        <v>1</v>
      </c>
      <c r="H793" t="str">
        <f>IF(Gym_Expansion_Data[[#This Row],[Active Member]]=1,Gym_Expansion_Data[[#This Row],[Tier]],"Inactive")</f>
        <v>Basic</v>
      </c>
    </row>
    <row r="794" spans="1:8" x14ac:dyDescent="0.2">
      <c r="A794">
        <v>1793</v>
      </c>
      <c r="B794" t="s">
        <v>10</v>
      </c>
      <c r="C794" t="s">
        <v>8</v>
      </c>
      <c r="D794" s="1">
        <v>45438</v>
      </c>
      <c r="E794">
        <v>129</v>
      </c>
      <c r="F794">
        <v>0</v>
      </c>
      <c r="G794">
        <f>IF(Gym_Expansion_Data[[#This Row],[Churned]]=0,1,0)</f>
        <v>1</v>
      </c>
      <c r="H794" t="str">
        <f>IF(Gym_Expansion_Data[[#This Row],[Active Member]]=1,Gym_Expansion_Data[[#This Row],[Tier]],"Inactive")</f>
        <v>Elite</v>
      </c>
    </row>
    <row r="795" spans="1:8" x14ac:dyDescent="0.2">
      <c r="A795">
        <v>1794</v>
      </c>
      <c r="B795" t="s">
        <v>9</v>
      </c>
      <c r="C795" t="s">
        <v>7</v>
      </c>
      <c r="D795" s="1">
        <v>45676</v>
      </c>
      <c r="E795">
        <v>49</v>
      </c>
      <c r="F795">
        <v>0</v>
      </c>
      <c r="G795">
        <f>IF(Gym_Expansion_Data[[#This Row],[Churned]]=0,1,0)</f>
        <v>1</v>
      </c>
      <c r="H795" t="str">
        <f>IF(Gym_Expansion_Data[[#This Row],[Active Member]]=1,Gym_Expansion_Data[[#This Row],[Tier]],"Inactive")</f>
        <v>Basic</v>
      </c>
    </row>
    <row r="796" spans="1:8" x14ac:dyDescent="0.2">
      <c r="A796">
        <v>1795</v>
      </c>
      <c r="B796" t="s">
        <v>11</v>
      </c>
      <c r="C796" t="s">
        <v>7</v>
      </c>
      <c r="D796" s="1">
        <v>45552</v>
      </c>
      <c r="E796">
        <v>49</v>
      </c>
      <c r="F796">
        <v>0</v>
      </c>
      <c r="G796">
        <f>IF(Gym_Expansion_Data[[#This Row],[Churned]]=0,1,0)</f>
        <v>1</v>
      </c>
      <c r="H796" t="str">
        <f>IF(Gym_Expansion_Data[[#This Row],[Active Member]]=1,Gym_Expansion_Data[[#This Row],[Tier]],"Inactive")</f>
        <v>Basic</v>
      </c>
    </row>
    <row r="797" spans="1:8" x14ac:dyDescent="0.2">
      <c r="A797">
        <v>1796</v>
      </c>
      <c r="B797" t="s">
        <v>9</v>
      </c>
      <c r="C797" t="s">
        <v>12</v>
      </c>
      <c r="D797" s="1">
        <v>45872</v>
      </c>
      <c r="E797">
        <v>89</v>
      </c>
      <c r="F797">
        <v>1</v>
      </c>
      <c r="G797">
        <f>IF(Gym_Expansion_Data[[#This Row],[Churned]]=0,1,0)</f>
        <v>0</v>
      </c>
      <c r="H797" t="str">
        <f>IF(Gym_Expansion_Data[[#This Row],[Active Member]]=1,Gym_Expansion_Data[[#This Row],[Tier]],"Inactive")</f>
        <v>Inactive</v>
      </c>
    </row>
    <row r="798" spans="1:8" x14ac:dyDescent="0.2">
      <c r="A798">
        <v>1797</v>
      </c>
      <c r="B798" t="s">
        <v>11</v>
      </c>
      <c r="C798" t="s">
        <v>7</v>
      </c>
      <c r="D798" s="1">
        <v>45528</v>
      </c>
      <c r="E798">
        <v>49</v>
      </c>
      <c r="F798">
        <v>0</v>
      </c>
      <c r="G798">
        <f>IF(Gym_Expansion_Data[[#This Row],[Churned]]=0,1,0)</f>
        <v>1</v>
      </c>
      <c r="H798" t="str">
        <f>IF(Gym_Expansion_Data[[#This Row],[Active Member]]=1,Gym_Expansion_Data[[#This Row],[Tier]],"Inactive")</f>
        <v>Basic</v>
      </c>
    </row>
    <row r="799" spans="1:8" x14ac:dyDescent="0.2">
      <c r="A799">
        <v>1798</v>
      </c>
      <c r="B799" t="s">
        <v>9</v>
      </c>
      <c r="C799" t="s">
        <v>7</v>
      </c>
      <c r="D799" s="1">
        <v>45464</v>
      </c>
      <c r="E799">
        <v>49</v>
      </c>
      <c r="F799">
        <v>0</v>
      </c>
      <c r="G799">
        <f>IF(Gym_Expansion_Data[[#This Row],[Churned]]=0,1,0)</f>
        <v>1</v>
      </c>
      <c r="H799" t="str">
        <f>IF(Gym_Expansion_Data[[#This Row],[Active Member]]=1,Gym_Expansion_Data[[#This Row],[Tier]],"Inactive")</f>
        <v>Basic</v>
      </c>
    </row>
    <row r="800" spans="1:8" x14ac:dyDescent="0.2">
      <c r="A800">
        <v>1799</v>
      </c>
      <c r="B800" t="s">
        <v>6</v>
      </c>
      <c r="C800" t="s">
        <v>7</v>
      </c>
      <c r="D800" s="1">
        <v>45833</v>
      </c>
      <c r="E800">
        <v>49</v>
      </c>
      <c r="F800">
        <v>1</v>
      </c>
      <c r="G800">
        <f>IF(Gym_Expansion_Data[[#This Row],[Churned]]=0,1,0)</f>
        <v>0</v>
      </c>
      <c r="H800" t="str">
        <f>IF(Gym_Expansion_Data[[#This Row],[Active Member]]=1,Gym_Expansion_Data[[#This Row],[Tier]],"Inactive")</f>
        <v>Inactive</v>
      </c>
    </row>
    <row r="801" spans="1:8" x14ac:dyDescent="0.2">
      <c r="A801">
        <v>1800</v>
      </c>
      <c r="B801" t="s">
        <v>9</v>
      </c>
      <c r="C801" t="s">
        <v>7</v>
      </c>
      <c r="D801" s="1">
        <v>45802</v>
      </c>
      <c r="E801">
        <v>49</v>
      </c>
      <c r="F801">
        <v>1</v>
      </c>
      <c r="G801">
        <f>IF(Gym_Expansion_Data[[#This Row],[Churned]]=0,1,0)</f>
        <v>0</v>
      </c>
      <c r="H801" t="str">
        <f>IF(Gym_Expansion_Data[[#This Row],[Active Member]]=1,Gym_Expansion_Data[[#This Row],[Tier]],"Inactive")</f>
        <v>Inactive</v>
      </c>
    </row>
    <row r="802" spans="1:8" x14ac:dyDescent="0.2">
      <c r="A802">
        <v>1801</v>
      </c>
      <c r="B802" t="s">
        <v>6</v>
      </c>
      <c r="C802" t="s">
        <v>12</v>
      </c>
      <c r="D802" s="1">
        <v>45380</v>
      </c>
      <c r="E802">
        <v>89</v>
      </c>
      <c r="F802">
        <v>0</v>
      </c>
      <c r="G802">
        <f>IF(Gym_Expansion_Data[[#This Row],[Churned]]=0,1,0)</f>
        <v>1</v>
      </c>
      <c r="H802" t="str">
        <f>IF(Gym_Expansion_Data[[#This Row],[Active Member]]=1,Gym_Expansion_Data[[#This Row],[Tier]],"Inactive")</f>
        <v>Premium</v>
      </c>
    </row>
    <row r="803" spans="1:8" x14ac:dyDescent="0.2">
      <c r="A803">
        <v>1802</v>
      </c>
      <c r="B803" t="s">
        <v>6</v>
      </c>
      <c r="C803" t="s">
        <v>7</v>
      </c>
      <c r="D803" s="1">
        <v>45926</v>
      </c>
      <c r="E803">
        <v>49</v>
      </c>
      <c r="F803">
        <v>0</v>
      </c>
      <c r="G803">
        <f>IF(Gym_Expansion_Data[[#This Row],[Churned]]=0,1,0)</f>
        <v>1</v>
      </c>
      <c r="H803" t="str">
        <f>IF(Gym_Expansion_Data[[#This Row],[Active Member]]=1,Gym_Expansion_Data[[#This Row],[Tier]],"Inactive")</f>
        <v>Basic</v>
      </c>
    </row>
    <row r="804" spans="1:8" x14ac:dyDescent="0.2">
      <c r="A804">
        <v>1803</v>
      </c>
      <c r="B804" t="s">
        <v>9</v>
      </c>
      <c r="C804" t="s">
        <v>7</v>
      </c>
      <c r="D804" s="1">
        <v>45780</v>
      </c>
      <c r="E804">
        <v>49</v>
      </c>
      <c r="F804">
        <v>0</v>
      </c>
      <c r="G804">
        <f>IF(Gym_Expansion_Data[[#This Row],[Churned]]=0,1,0)</f>
        <v>1</v>
      </c>
      <c r="H804" t="str">
        <f>IF(Gym_Expansion_Data[[#This Row],[Active Member]]=1,Gym_Expansion_Data[[#This Row],[Tier]],"Inactive")</f>
        <v>Basic</v>
      </c>
    </row>
    <row r="805" spans="1:8" x14ac:dyDescent="0.2">
      <c r="A805">
        <v>1804</v>
      </c>
      <c r="B805" t="s">
        <v>11</v>
      </c>
      <c r="C805" t="s">
        <v>8</v>
      </c>
      <c r="D805" s="1">
        <v>45892</v>
      </c>
      <c r="E805">
        <v>129</v>
      </c>
      <c r="F805">
        <v>0</v>
      </c>
      <c r="G805">
        <f>IF(Gym_Expansion_Data[[#This Row],[Churned]]=0,1,0)</f>
        <v>1</v>
      </c>
      <c r="H805" t="str">
        <f>IF(Gym_Expansion_Data[[#This Row],[Active Member]]=1,Gym_Expansion_Data[[#This Row],[Tier]],"Inactive")</f>
        <v>Elite</v>
      </c>
    </row>
    <row r="806" spans="1:8" x14ac:dyDescent="0.2">
      <c r="A806">
        <v>1805</v>
      </c>
      <c r="B806" t="s">
        <v>11</v>
      </c>
      <c r="C806" t="s">
        <v>7</v>
      </c>
      <c r="D806" s="1">
        <v>45450</v>
      </c>
      <c r="E806">
        <v>49</v>
      </c>
      <c r="F806">
        <v>0</v>
      </c>
      <c r="G806">
        <f>IF(Gym_Expansion_Data[[#This Row],[Churned]]=0,1,0)</f>
        <v>1</v>
      </c>
      <c r="H806" t="str">
        <f>IF(Gym_Expansion_Data[[#This Row],[Active Member]]=1,Gym_Expansion_Data[[#This Row],[Tier]],"Inactive")</f>
        <v>Basic</v>
      </c>
    </row>
    <row r="807" spans="1:8" x14ac:dyDescent="0.2">
      <c r="A807">
        <v>1806</v>
      </c>
      <c r="B807" t="s">
        <v>9</v>
      </c>
      <c r="C807" t="s">
        <v>7</v>
      </c>
      <c r="D807" s="1">
        <v>45765</v>
      </c>
      <c r="E807">
        <v>49</v>
      </c>
      <c r="F807">
        <v>1</v>
      </c>
      <c r="G807">
        <f>IF(Gym_Expansion_Data[[#This Row],[Churned]]=0,1,0)</f>
        <v>0</v>
      </c>
      <c r="H807" t="str">
        <f>IF(Gym_Expansion_Data[[#This Row],[Active Member]]=1,Gym_Expansion_Data[[#This Row],[Tier]],"Inactive")</f>
        <v>Inactive</v>
      </c>
    </row>
    <row r="808" spans="1:8" x14ac:dyDescent="0.2">
      <c r="A808">
        <v>1807</v>
      </c>
      <c r="B808" t="s">
        <v>11</v>
      </c>
      <c r="C808" t="s">
        <v>7</v>
      </c>
      <c r="D808" s="1">
        <v>45349</v>
      </c>
      <c r="E808">
        <v>49</v>
      </c>
      <c r="F808">
        <v>0</v>
      </c>
      <c r="G808">
        <f>IF(Gym_Expansion_Data[[#This Row],[Churned]]=0,1,0)</f>
        <v>1</v>
      </c>
      <c r="H808" t="str">
        <f>IF(Gym_Expansion_Data[[#This Row],[Active Member]]=1,Gym_Expansion_Data[[#This Row],[Tier]],"Inactive")</f>
        <v>Basic</v>
      </c>
    </row>
    <row r="809" spans="1:8" x14ac:dyDescent="0.2">
      <c r="A809">
        <v>1808</v>
      </c>
      <c r="B809" t="s">
        <v>9</v>
      </c>
      <c r="C809" t="s">
        <v>7</v>
      </c>
      <c r="D809" s="1">
        <v>45928</v>
      </c>
      <c r="E809">
        <v>49</v>
      </c>
      <c r="F809">
        <v>0</v>
      </c>
      <c r="G809">
        <f>IF(Gym_Expansion_Data[[#This Row],[Churned]]=0,1,0)</f>
        <v>1</v>
      </c>
      <c r="H809" t="str">
        <f>IF(Gym_Expansion_Data[[#This Row],[Active Member]]=1,Gym_Expansion_Data[[#This Row],[Tier]],"Inactive")</f>
        <v>Basic</v>
      </c>
    </row>
    <row r="810" spans="1:8" x14ac:dyDescent="0.2">
      <c r="A810">
        <v>1809</v>
      </c>
      <c r="B810" t="s">
        <v>9</v>
      </c>
      <c r="C810" t="s">
        <v>12</v>
      </c>
      <c r="D810" s="1">
        <v>45459</v>
      </c>
      <c r="E810">
        <v>89</v>
      </c>
      <c r="F810">
        <v>0</v>
      </c>
      <c r="G810">
        <f>IF(Gym_Expansion_Data[[#This Row],[Churned]]=0,1,0)</f>
        <v>1</v>
      </c>
      <c r="H810" t="str">
        <f>IF(Gym_Expansion_Data[[#This Row],[Active Member]]=1,Gym_Expansion_Data[[#This Row],[Tier]],"Inactive")</f>
        <v>Premium</v>
      </c>
    </row>
    <row r="811" spans="1:8" x14ac:dyDescent="0.2">
      <c r="A811">
        <v>1810</v>
      </c>
      <c r="B811" t="s">
        <v>11</v>
      </c>
      <c r="C811" t="s">
        <v>7</v>
      </c>
      <c r="D811" s="1">
        <v>45395</v>
      </c>
      <c r="E811">
        <v>49</v>
      </c>
      <c r="F811">
        <v>1</v>
      </c>
      <c r="G811">
        <f>IF(Gym_Expansion_Data[[#This Row],[Churned]]=0,1,0)</f>
        <v>0</v>
      </c>
      <c r="H811" t="str">
        <f>IF(Gym_Expansion_Data[[#This Row],[Active Member]]=1,Gym_Expansion_Data[[#This Row],[Tier]],"Inactive")</f>
        <v>Inactive</v>
      </c>
    </row>
    <row r="812" spans="1:8" x14ac:dyDescent="0.2">
      <c r="A812">
        <v>1811</v>
      </c>
      <c r="B812" t="s">
        <v>9</v>
      </c>
      <c r="C812" t="s">
        <v>7</v>
      </c>
      <c r="D812" s="1">
        <v>45561</v>
      </c>
      <c r="E812">
        <v>49</v>
      </c>
      <c r="F812">
        <v>0</v>
      </c>
      <c r="G812">
        <f>IF(Gym_Expansion_Data[[#This Row],[Churned]]=0,1,0)</f>
        <v>1</v>
      </c>
      <c r="H812" t="str">
        <f>IF(Gym_Expansion_Data[[#This Row],[Active Member]]=1,Gym_Expansion_Data[[#This Row],[Tier]],"Inactive")</f>
        <v>Basic</v>
      </c>
    </row>
    <row r="813" spans="1:8" x14ac:dyDescent="0.2">
      <c r="A813">
        <v>1812</v>
      </c>
      <c r="B813" t="s">
        <v>6</v>
      </c>
      <c r="C813" t="s">
        <v>7</v>
      </c>
      <c r="D813" s="1">
        <v>45442</v>
      </c>
      <c r="E813">
        <v>49</v>
      </c>
      <c r="F813">
        <v>0</v>
      </c>
      <c r="G813">
        <f>IF(Gym_Expansion_Data[[#This Row],[Churned]]=0,1,0)</f>
        <v>1</v>
      </c>
      <c r="H813" t="str">
        <f>IF(Gym_Expansion_Data[[#This Row],[Active Member]]=1,Gym_Expansion_Data[[#This Row],[Tier]],"Inactive")</f>
        <v>Basic</v>
      </c>
    </row>
    <row r="814" spans="1:8" x14ac:dyDescent="0.2">
      <c r="A814">
        <v>1813</v>
      </c>
      <c r="B814" t="s">
        <v>11</v>
      </c>
      <c r="C814" t="s">
        <v>12</v>
      </c>
      <c r="D814" s="1">
        <v>45332</v>
      </c>
      <c r="E814">
        <v>89</v>
      </c>
      <c r="F814">
        <v>0</v>
      </c>
      <c r="G814">
        <f>IF(Gym_Expansion_Data[[#This Row],[Churned]]=0,1,0)</f>
        <v>1</v>
      </c>
      <c r="H814" t="str">
        <f>IF(Gym_Expansion_Data[[#This Row],[Active Member]]=1,Gym_Expansion_Data[[#This Row],[Tier]],"Inactive")</f>
        <v>Premium</v>
      </c>
    </row>
    <row r="815" spans="1:8" x14ac:dyDescent="0.2">
      <c r="A815">
        <v>1814</v>
      </c>
      <c r="B815" t="s">
        <v>10</v>
      </c>
      <c r="C815" t="s">
        <v>7</v>
      </c>
      <c r="D815" s="1">
        <v>45451</v>
      </c>
      <c r="E815">
        <v>49</v>
      </c>
      <c r="F815">
        <v>0</v>
      </c>
      <c r="G815">
        <f>IF(Gym_Expansion_Data[[#This Row],[Churned]]=0,1,0)</f>
        <v>1</v>
      </c>
      <c r="H815" t="str">
        <f>IF(Gym_Expansion_Data[[#This Row],[Active Member]]=1,Gym_Expansion_Data[[#This Row],[Tier]],"Inactive")</f>
        <v>Basic</v>
      </c>
    </row>
    <row r="816" spans="1:8" x14ac:dyDescent="0.2">
      <c r="A816">
        <v>1815</v>
      </c>
      <c r="B816" t="s">
        <v>10</v>
      </c>
      <c r="C816" t="s">
        <v>12</v>
      </c>
      <c r="D816" s="1">
        <v>45645</v>
      </c>
      <c r="E816">
        <v>89</v>
      </c>
      <c r="F816">
        <v>0</v>
      </c>
      <c r="G816">
        <f>IF(Gym_Expansion_Data[[#This Row],[Churned]]=0,1,0)</f>
        <v>1</v>
      </c>
      <c r="H816" t="str">
        <f>IF(Gym_Expansion_Data[[#This Row],[Active Member]]=1,Gym_Expansion_Data[[#This Row],[Tier]],"Inactive")</f>
        <v>Premium</v>
      </c>
    </row>
    <row r="817" spans="1:8" x14ac:dyDescent="0.2">
      <c r="A817">
        <v>1816</v>
      </c>
      <c r="B817" t="s">
        <v>10</v>
      </c>
      <c r="C817" t="s">
        <v>12</v>
      </c>
      <c r="D817" s="1">
        <v>45883</v>
      </c>
      <c r="E817">
        <v>89</v>
      </c>
      <c r="F817">
        <v>0</v>
      </c>
      <c r="G817">
        <f>IF(Gym_Expansion_Data[[#This Row],[Churned]]=0,1,0)</f>
        <v>1</v>
      </c>
      <c r="H817" t="str">
        <f>IF(Gym_Expansion_Data[[#This Row],[Active Member]]=1,Gym_Expansion_Data[[#This Row],[Tier]],"Inactive")</f>
        <v>Premium</v>
      </c>
    </row>
    <row r="818" spans="1:8" x14ac:dyDescent="0.2">
      <c r="A818">
        <v>1817</v>
      </c>
      <c r="B818" t="s">
        <v>6</v>
      </c>
      <c r="C818" t="s">
        <v>7</v>
      </c>
      <c r="D818" s="1">
        <v>45308</v>
      </c>
      <c r="E818">
        <v>49</v>
      </c>
      <c r="F818">
        <v>0</v>
      </c>
      <c r="G818">
        <f>IF(Gym_Expansion_Data[[#This Row],[Churned]]=0,1,0)</f>
        <v>1</v>
      </c>
      <c r="H818" t="str">
        <f>IF(Gym_Expansion_Data[[#This Row],[Active Member]]=1,Gym_Expansion_Data[[#This Row],[Tier]],"Inactive")</f>
        <v>Basic</v>
      </c>
    </row>
    <row r="819" spans="1:8" x14ac:dyDescent="0.2">
      <c r="A819">
        <v>1818</v>
      </c>
      <c r="B819" t="s">
        <v>9</v>
      </c>
      <c r="C819" t="s">
        <v>12</v>
      </c>
      <c r="D819" s="1">
        <v>45472</v>
      </c>
      <c r="E819">
        <v>89</v>
      </c>
      <c r="F819">
        <v>0</v>
      </c>
      <c r="G819">
        <f>IF(Gym_Expansion_Data[[#This Row],[Churned]]=0,1,0)</f>
        <v>1</v>
      </c>
      <c r="H819" t="str">
        <f>IF(Gym_Expansion_Data[[#This Row],[Active Member]]=1,Gym_Expansion_Data[[#This Row],[Tier]],"Inactive")</f>
        <v>Premium</v>
      </c>
    </row>
    <row r="820" spans="1:8" x14ac:dyDescent="0.2">
      <c r="A820">
        <v>1819</v>
      </c>
      <c r="B820" t="s">
        <v>9</v>
      </c>
      <c r="C820" t="s">
        <v>7</v>
      </c>
      <c r="D820" s="1">
        <v>45466</v>
      </c>
      <c r="E820">
        <v>49</v>
      </c>
      <c r="F820">
        <v>0</v>
      </c>
      <c r="G820">
        <f>IF(Gym_Expansion_Data[[#This Row],[Churned]]=0,1,0)</f>
        <v>1</v>
      </c>
      <c r="H820" t="str">
        <f>IF(Gym_Expansion_Data[[#This Row],[Active Member]]=1,Gym_Expansion_Data[[#This Row],[Tier]],"Inactive")</f>
        <v>Basic</v>
      </c>
    </row>
    <row r="821" spans="1:8" x14ac:dyDescent="0.2">
      <c r="A821">
        <v>1820</v>
      </c>
      <c r="B821" t="s">
        <v>11</v>
      </c>
      <c r="C821" t="s">
        <v>12</v>
      </c>
      <c r="D821" s="1">
        <v>45868</v>
      </c>
      <c r="E821">
        <v>89</v>
      </c>
      <c r="F821">
        <v>0</v>
      </c>
      <c r="G821">
        <f>IF(Gym_Expansion_Data[[#This Row],[Churned]]=0,1,0)</f>
        <v>1</v>
      </c>
      <c r="H821" t="str">
        <f>IF(Gym_Expansion_Data[[#This Row],[Active Member]]=1,Gym_Expansion_Data[[#This Row],[Tier]],"Inactive")</f>
        <v>Premium</v>
      </c>
    </row>
    <row r="822" spans="1:8" x14ac:dyDescent="0.2">
      <c r="A822">
        <v>1821</v>
      </c>
      <c r="B822" t="s">
        <v>9</v>
      </c>
      <c r="C822" t="s">
        <v>8</v>
      </c>
      <c r="D822" s="1">
        <v>45761</v>
      </c>
      <c r="E822">
        <v>129</v>
      </c>
      <c r="F822">
        <v>0</v>
      </c>
      <c r="G822">
        <f>IF(Gym_Expansion_Data[[#This Row],[Churned]]=0,1,0)</f>
        <v>1</v>
      </c>
      <c r="H822" t="str">
        <f>IF(Gym_Expansion_Data[[#This Row],[Active Member]]=1,Gym_Expansion_Data[[#This Row],[Tier]],"Inactive")</f>
        <v>Elite</v>
      </c>
    </row>
    <row r="823" spans="1:8" x14ac:dyDescent="0.2">
      <c r="A823">
        <v>1822</v>
      </c>
      <c r="B823" t="s">
        <v>10</v>
      </c>
      <c r="C823" t="s">
        <v>7</v>
      </c>
      <c r="D823" s="1">
        <v>45395</v>
      </c>
      <c r="E823">
        <v>49</v>
      </c>
      <c r="F823">
        <v>0</v>
      </c>
      <c r="G823">
        <f>IF(Gym_Expansion_Data[[#This Row],[Churned]]=0,1,0)</f>
        <v>1</v>
      </c>
      <c r="H823" t="str">
        <f>IF(Gym_Expansion_Data[[#This Row],[Active Member]]=1,Gym_Expansion_Data[[#This Row],[Tier]],"Inactive")</f>
        <v>Basic</v>
      </c>
    </row>
    <row r="824" spans="1:8" x14ac:dyDescent="0.2">
      <c r="A824">
        <v>1823</v>
      </c>
      <c r="B824" t="s">
        <v>11</v>
      </c>
      <c r="C824" t="s">
        <v>8</v>
      </c>
      <c r="D824" s="1">
        <v>45610</v>
      </c>
      <c r="E824">
        <v>129</v>
      </c>
      <c r="F824">
        <v>0</v>
      </c>
      <c r="G824">
        <f>IF(Gym_Expansion_Data[[#This Row],[Churned]]=0,1,0)</f>
        <v>1</v>
      </c>
      <c r="H824" t="str">
        <f>IF(Gym_Expansion_Data[[#This Row],[Active Member]]=1,Gym_Expansion_Data[[#This Row],[Tier]],"Inactive")</f>
        <v>Elite</v>
      </c>
    </row>
    <row r="825" spans="1:8" x14ac:dyDescent="0.2">
      <c r="A825">
        <v>1824</v>
      </c>
      <c r="B825" t="s">
        <v>9</v>
      </c>
      <c r="C825" t="s">
        <v>12</v>
      </c>
      <c r="D825" s="1">
        <v>45730</v>
      </c>
      <c r="E825">
        <v>89</v>
      </c>
      <c r="F825">
        <v>0</v>
      </c>
      <c r="G825">
        <f>IF(Gym_Expansion_Data[[#This Row],[Churned]]=0,1,0)</f>
        <v>1</v>
      </c>
      <c r="H825" t="str">
        <f>IF(Gym_Expansion_Data[[#This Row],[Active Member]]=1,Gym_Expansion_Data[[#This Row],[Tier]],"Inactive")</f>
        <v>Premium</v>
      </c>
    </row>
    <row r="826" spans="1:8" x14ac:dyDescent="0.2">
      <c r="A826">
        <v>1825</v>
      </c>
      <c r="B826" t="s">
        <v>9</v>
      </c>
      <c r="C826" t="s">
        <v>8</v>
      </c>
      <c r="D826" s="1">
        <v>45686</v>
      </c>
      <c r="E826">
        <v>129</v>
      </c>
      <c r="F826">
        <v>0</v>
      </c>
      <c r="G826">
        <f>IF(Gym_Expansion_Data[[#This Row],[Churned]]=0,1,0)</f>
        <v>1</v>
      </c>
      <c r="H826" t="str">
        <f>IF(Gym_Expansion_Data[[#This Row],[Active Member]]=1,Gym_Expansion_Data[[#This Row],[Tier]],"Inactive")</f>
        <v>Elite</v>
      </c>
    </row>
    <row r="827" spans="1:8" x14ac:dyDescent="0.2">
      <c r="A827">
        <v>1826</v>
      </c>
      <c r="B827" t="s">
        <v>6</v>
      </c>
      <c r="C827" t="s">
        <v>8</v>
      </c>
      <c r="D827" s="1">
        <v>45541</v>
      </c>
      <c r="E827">
        <v>129</v>
      </c>
      <c r="F827">
        <v>0</v>
      </c>
      <c r="G827">
        <f>IF(Gym_Expansion_Data[[#This Row],[Churned]]=0,1,0)</f>
        <v>1</v>
      </c>
      <c r="H827" t="str">
        <f>IF(Gym_Expansion_Data[[#This Row],[Active Member]]=1,Gym_Expansion_Data[[#This Row],[Tier]],"Inactive")</f>
        <v>Elite</v>
      </c>
    </row>
    <row r="828" spans="1:8" x14ac:dyDescent="0.2">
      <c r="A828">
        <v>1827</v>
      </c>
      <c r="B828" t="s">
        <v>9</v>
      </c>
      <c r="C828" t="s">
        <v>12</v>
      </c>
      <c r="D828" s="1">
        <v>45296</v>
      </c>
      <c r="E828">
        <v>89</v>
      </c>
      <c r="F828">
        <v>0</v>
      </c>
      <c r="G828">
        <f>IF(Gym_Expansion_Data[[#This Row],[Churned]]=0,1,0)</f>
        <v>1</v>
      </c>
      <c r="H828" t="str">
        <f>IF(Gym_Expansion_Data[[#This Row],[Active Member]]=1,Gym_Expansion_Data[[#This Row],[Tier]],"Inactive")</f>
        <v>Premium</v>
      </c>
    </row>
    <row r="829" spans="1:8" x14ac:dyDescent="0.2">
      <c r="A829">
        <v>1828</v>
      </c>
      <c r="B829" t="s">
        <v>9</v>
      </c>
      <c r="C829" t="s">
        <v>12</v>
      </c>
      <c r="D829" s="1">
        <v>45611</v>
      </c>
      <c r="E829">
        <v>89</v>
      </c>
      <c r="F829">
        <v>1</v>
      </c>
      <c r="G829">
        <f>IF(Gym_Expansion_Data[[#This Row],[Churned]]=0,1,0)</f>
        <v>0</v>
      </c>
      <c r="H829" t="str">
        <f>IF(Gym_Expansion_Data[[#This Row],[Active Member]]=1,Gym_Expansion_Data[[#This Row],[Tier]],"Inactive")</f>
        <v>Inactive</v>
      </c>
    </row>
    <row r="830" spans="1:8" x14ac:dyDescent="0.2">
      <c r="A830">
        <v>1829</v>
      </c>
      <c r="B830" t="s">
        <v>9</v>
      </c>
      <c r="C830" t="s">
        <v>7</v>
      </c>
      <c r="D830" s="1">
        <v>45962</v>
      </c>
      <c r="E830">
        <v>49</v>
      </c>
      <c r="F830">
        <v>1</v>
      </c>
      <c r="G830">
        <f>IF(Gym_Expansion_Data[[#This Row],[Churned]]=0,1,0)</f>
        <v>0</v>
      </c>
      <c r="H830" t="str">
        <f>IF(Gym_Expansion_Data[[#This Row],[Active Member]]=1,Gym_Expansion_Data[[#This Row],[Tier]],"Inactive")</f>
        <v>Inactive</v>
      </c>
    </row>
    <row r="831" spans="1:8" x14ac:dyDescent="0.2">
      <c r="A831">
        <v>1830</v>
      </c>
      <c r="B831" t="s">
        <v>9</v>
      </c>
      <c r="C831" t="s">
        <v>8</v>
      </c>
      <c r="D831" s="1">
        <v>45643</v>
      </c>
      <c r="E831">
        <v>129</v>
      </c>
      <c r="F831">
        <v>0</v>
      </c>
      <c r="G831">
        <f>IF(Gym_Expansion_Data[[#This Row],[Churned]]=0,1,0)</f>
        <v>1</v>
      </c>
      <c r="H831" t="str">
        <f>IF(Gym_Expansion_Data[[#This Row],[Active Member]]=1,Gym_Expansion_Data[[#This Row],[Tier]],"Inactive")</f>
        <v>Elite</v>
      </c>
    </row>
    <row r="832" spans="1:8" x14ac:dyDescent="0.2">
      <c r="A832">
        <v>1831</v>
      </c>
      <c r="B832" t="s">
        <v>9</v>
      </c>
      <c r="C832" t="s">
        <v>12</v>
      </c>
      <c r="D832" s="1">
        <v>45589</v>
      </c>
      <c r="E832">
        <v>89</v>
      </c>
      <c r="F832">
        <v>0</v>
      </c>
      <c r="G832">
        <f>IF(Gym_Expansion_Data[[#This Row],[Churned]]=0,1,0)</f>
        <v>1</v>
      </c>
      <c r="H832" t="str">
        <f>IF(Gym_Expansion_Data[[#This Row],[Active Member]]=1,Gym_Expansion_Data[[#This Row],[Tier]],"Inactive")</f>
        <v>Premium</v>
      </c>
    </row>
    <row r="833" spans="1:8" x14ac:dyDescent="0.2">
      <c r="A833">
        <v>1832</v>
      </c>
      <c r="B833" t="s">
        <v>11</v>
      </c>
      <c r="C833" t="s">
        <v>12</v>
      </c>
      <c r="D833" s="1">
        <v>45584</v>
      </c>
      <c r="E833">
        <v>89</v>
      </c>
      <c r="F833">
        <v>0</v>
      </c>
      <c r="G833">
        <f>IF(Gym_Expansion_Data[[#This Row],[Churned]]=0,1,0)</f>
        <v>1</v>
      </c>
      <c r="H833" t="str">
        <f>IF(Gym_Expansion_Data[[#This Row],[Active Member]]=1,Gym_Expansion_Data[[#This Row],[Tier]],"Inactive")</f>
        <v>Premium</v>
      </c>
    </row>
    <row r="834" spans="1:8" x14ac:dyDescent="0.2">
      <c r="A834">
        <v>1833</v>
      </c>
      <c r="B834" t="s">
        <v>9</v>
      </c>
      <c r="C834" t="s">
        <v>12</v>
      </c>
      <c r="D834" s="1">
        <v>45700</v>
      </c>
      <c r="E834">
        <v>89</v>
      </c>
      <c r="F834">
        <v>0</v>
      </c>
      <c r="G834">
        <f>IF(Gym_Expansion_Data[[#This Row],[Churned]]=0,1,0)</f>
        <v>1</v>
      </c>
      <c r="H834" t="str">
        <f>IF(Gym_Expansion_Data[[#This Row],[Active Member]]=1,Gym_Expansion_Data[[#This Row],[Tier]],"Inactive")</f>
        <v>Premium</v>
      </c>
    </row>
    <row r="835" spans="1:8" x14ac:dyDescent="0.2">
      <c r="A835">
        <v>1834</v>
      </c>
      <c r="B835" t="s">
        <v>11</v>
      </c>
      <c r="C835" t="s">
        <v>7</v>
      </c>
      <c r="D835" s="1">
        <v>45971</v>
      </c>
      <c r="E835">
        <v>49</v>
      </c>
      <c r="F835">
        <v>0</v>
      </c>
      <c r="G835">
        <f>IF(Gym_Expansion_Data[[#This Row],[Churned]]=0,1,0)</f>
        <v>1</v>
      </c>
      <c r="H835" t="str">
        <f>IF(Gym_Expansion_Data[[#This Row],[Active Member]]=1,Gym_Expansion_Data[[#This Row],[Tier]],"Inactive")</f>
        <v>Basic</v>
      </c>
    </row>
    <row r="836" spans="1:8" x14ac:dyDescent="0.2">
      <c r="A836">
        <v>1835</v>
      </c>
      <c r="B836" t="s">
        <v>11</v>
      </c>
      <c r="C836" t="s">
        <v>8</v>
      </c>
      <c r="D836" s="1">
        <v>45891</v>
      </c>
      <c r="E836">
        <v>129</v>
      </c>
      <c r="F836">
        <v>0</v>
      </c>
      <c r="G836">
        <f>IF(Gym_Expansion_Data[[#This Row],[Churned]]=0,1,0)</f>
        <v>1</v>
      </c>
      <c r="H836" t="str">
        <f>IF(Gym_Expansion_Data[[#This Row],[Active Member]]=1,Gym_Expansion_Data[[#This Row],[Tier]],"Inactive")</f>
        <v>Elite</v>
      </c>
    </row>
    <row r="837" spans="1:8" x14ac:dyDescent="0.2">
      <c r="A837">
        <v>1836</v>
      </c>
      <c r="B837" t="s">
        <v>10</v>
      </c>
      <c r="C837" t="s">
        <v>12</v>
      </c>
      <c r="D837" s="1">
        <v>45949</v>
      </c>
      <c r="E837">
        <v>89</v>
      </c>
      <c r="F837">
        <v>0</v>
      </c>
      <c r="G837">
        <f>IF(Gym_Expansion_Data[[#This Row],[Churned]]=0,1,0)</f>
        <v>1</v>
      </c>
      <c r="H837" t="str">
        <f>IF(Gym_Expansion_Data[[#This Row],[Active Member]]=1,Gym_Expansion_Data[[#This Row],[Tier]],"Inactive")</f>
        <v>Premium</v>
      </c>
    </row>
    <row r="838" spans="1:8" x14ac:dyDescent="0.2">
      <c r="A838">
        <v>1837</v>
      </c>
      <c r="B838" t="s">
        <v>9</v>
      </c>
      <c r="C838" t="s">
        <v>7</v>
      </c>
      <c r="D838" s="1">
        <v>45632</v>
      </c>
      <c r="E838">
        <v>49</v>
      </c>
      <c r="F838">
        <v>0</v>
      </c>
      <c r="G838">
        <f>IF(Gym_Expansion_Data[[#This Row],[Churned]]=0,1,0)</f>
        <v>1</v>
      </c>
      <c r="H838" t="str">
        <f>IF(Gym_Expansion_Data[[#This Row],[Active Member]]=1,Gym_Expansion_Data[[#This Row],[Tier]],"Inactive")</f>
        <v>Basic</v>
      </c>
    </row>
    <row r="839" spans="1:8" x14ac:dyDescent="0.2">
      <c r="A839">
        <v>1838</v>
      </c>
      <c r="B839" t="s">
        <v>10</v>
      </c>
      <c r="C839" t="s">
        <v>7</v>
      </c>
      <c r="D839" s="1">
        <v>45559</v>
      </c>
      <c r="E839">
        <v>49</v>
      </c>
      <c r="F839">
        <v>0</v>
      </c>
      <c r="G839">
        <f>IF(Gym_Expansion_Data[[#This Row],[Churned]]=0,1,0)</f>
        <v>1</v>
      </c>
      <c r="H839" t="str">
        <f>IF(Gym_Expansion_Data[[#This Row],[Active Member]]=1,Gym_Expansion_Data[[#This Row],[Tier]],"Inactive")</f>
        <v>Basic</v>
      </c>
    </row>
    <row r="840" spans="1:8" x14ac:dyDescent="0.2">
      <c r="A840">
        <v>1839</v>
      </c>
      <c r="B840" t="s">
        <v>6</v>
      </c>
      <c r="C840" t="s">
        <v>7</v>
      </c>
      <c r="D840" s="1">
        <v>45295</v>
      </c>
      <c r="E840">
        <v>49</v>
      </c>
      <c r="F840">
        <v>0</v>
      </c>
      <c r="G840">
        <f>IF(Gym_Expansion_Data[[#This Row],[Churned]]=0,1,0)</f>
        <v>1</v>
      </c>
      <c r="H840" t="str">
        <f>IF(Gym_Expansion_Data[[#This Row],[Active Member]]=1,Gym_Expansion_Data[[#This Row],[Tier]],"Inactive")</f>
        <v>Basic</v>
      </c>
    </row>
    <row r="841" spans="1:8" x14ac:dyDescent="0.2">
      <c r="A841">
        <v>1840</v>
      </c>
      <c r="B841" t="s">
        <v>9</v>
      </c>
      <c r="C841" t="s">
        <v>12</v>
      </c>
      <c r="D841" s="1">
        <v>45554</v>
      </c>
      <c r="E841">
        <v>89</v>
      </c>
      <c r="F841">
        <v>0</v>
      </c>
      <c r="G841">
        <f>IF(Gym_Expansion_Data[[#This Row],[Churned]]=0,1,0)</f>
        <v>1</v>
      </c>
      <c r="H841" t="str">
        <f>IF(Gym_Expansion_Data[[#This Row],[Active Member]]=1,Gym_Expansion_Data[[#This Row],[Tier]],"Inactive")</f>
        <v>Premium</v>
      </c>
    </row>
    <row r="842" spans="1:8" x14ac:dyDescent="0.2">
      <c r="A842">
        <v>1841</v>
      </c>
      <c r="B842" t="s">
        <v>10</v>
      </c>
      <c r="C842" t="s">
        <v>8</v>
      </c>
      <c r="D842" s="1">
        <v>45979</v>
      </c>
      <c r="E842">
        <v>129</v>
      </c>
      <c r="F842">
        <v>0</v>
      </c>
      <c r="G842">
        <f>IF(Gym_Expansion_Data[[#This Row],[Churned]]=0,1,0)</f>
        <v>1</v>
      </c>
      <c r="H842" t="str">
        <f>IF(Gym_Expansion_Data[[#This Row],[Active Member]]=1,Gym_Expansion_Data[[#This Row],[Tier]],"Inactive")</f>
        <v>Elite</v>
      </c>
    </row>
    <row r="843" spans="1:8" x14ac:dyDescent="0.2">
      <c r="A843">
        <v>1842</v>
      </c>
      <c r="B843" t="s">
        <v>6</v>
      </c>
      <c r="C843" t="s">
        <v>7</v>
      </c>
      <c r="D843" s="1">
        <v>45619</v>
      </c>
      <c r="E843">
        <v>49</v>
      </c>
      <c r="F843">
        <v>0</v>
      </c>
      <c r="G843">
        <f>IF(Gym_Expansion_Data[[#This Row],[Churned]]=0,1,0)</f>
        <v>1</v>
      </c>
      <c r="H843" t="str">
        <f>IF(Gym_Expansion_Data[[#This Row],[Active Member]]=1,Gym_Expansion_Data[[#This Row],[Tier]],"Inactive")</f>
        <v>Basic</v>
      </c>
    </row>
    <row r="844" spans="1:8" x14ac:dyDescent="0.2">
      <c r="A844">
        <v>1843</v>
      </c>
      <c r="B844" t="s">
        <v>9</v>
      </c>
      <c r="C844" t="s">
        <v>7</v>
      </c>
      <c r="D844" s="1">
        <v>45630</v>
      </c>
      <c r="E844">
        <v>49</v>
      </c>
      <c r="F844">
        <v>1</v>
      </c>
      <c r="G844">
        <f>IF(Gym_Expansion_Data[[#This Row],[Churned]]=0,1,0)</f>
        <v>0</v>
      </c>
      <c r="H844" t="str">
        <f>IF(Gym_Expansion_Data[[#This Row],[Active Member]]=1,Gym_Expansion_Data[[#This Row],[Tier]],"Inactive")</f>
        <v>Inactive</v>
      </c>
    </row>
    <row r="845" spans="1:8" x14ac:dyDescent="0.2">
      <c r="A845">
        <v>1844</v>
      </c>
      <c r="B845" t="s">
        <v>11</v>
      </c>
      <c r="C845" t="s">
        <v>8</v>
      </c>
      <c r="D845" s="1">
        <v>45328</v>
      </c>
      <c r="E845">
        <v>129</v>
      </c>
      <c r="F845">
        <v>1</v>
      </c>
      <c r="G845">
        <f>IF(Gym_Expansion_Data[[#This Row],[Churned]]=0,1,0)</f>
        <v>0</v>
      </c>
      <c r="H845" t="str">
        <f>IF(Gym_Expansion_Data[[#This Row],[Active Member]]=1,Gym_Expansion_Data[[#This Row],[Tier]],"Inactive")</f>
        <v>Inactive</v>
      </c>
    </row>
    <row r="846" spans="1:8" x14ac:dyDescent="0.2">
      <c r="A846">
        <v>1845</v>
      </c>
      <c r="B846" t="s">
        <v>11</v>
      </c>
      <c r="C846" t="s">
        <v>7</v>
      </c>
      <c r="D846" s="1">
        <v>45744</v>
      </c>
      <c r="E846">
        <v>49</v>
      </c>
      <c r="F846">
        <v>0</v>
      </c>
      <c r="G846">
        <f>IF(Gym_Expansion_Data[[#This Row],[Churned]]=0,1,0)</f>
        <v>1</v>
      </c>
      <c r="H846" t="str">
        <f>IF(Gym_Expansion_Data[[#This Row],[Active Member]]=1,Gym_Expansion_Data[[#This Row],[Tier]],"Inactive")</f>
        <v>Basic</v>
      </c>
    </row>
    <row r="847" spans="1:8" x14ac:dyDescent="0.2">
      <c r="A847">
        <v>1846</v>
      </c>
      <c r="B847" t="s">
        <v>9</v>
      </c>
      <c r="C847" t="s">
        <v>12</v>
      </c>
      <c r="D847" s="1">
        <v>45542</v>
      </c>
      <c r="E847">
        <v>89</v>
      </c>
      <c r="F847">
        <v>0</v>
      </c>
      <c r="G847">
        <f>IF(Gym_Expansion_Data[[#This Row],[Churned]]=0,1,0)</f>
        <v>1</v>
      </c>
      <c r="H847" t="str">
        <f>IF(Gym_Expansion_Data[[#This Row],[Active Member]]=1,Gym_Expansion_Data[[#This Row],[Tier]],"Inactive")</f>
        <v>Premium</v>
      </c>
    </row>
    <row r="848" spans="1:8" x14ac:dyDescent="0.2">
      <c r="A848">
        <v>1847</v>
      </c>
      <c r="B848" t="s">
        <v>9</v>
      </c>
      <c r="C848" t="s">
        <v>12</v>
      </c>
      <c r="D848" s="1">
        <v>45423</v>
      </c>
      <c r="E848">
        <v>89</v>
      </c>
      <c r="F848">
        <v>0</v>
      </c>
      <c r="G848">
        <f>IF(Gym_Expansion_Data[[#This Row],[Churned]]=0,1,0)</f>
        <v>1</v>
      </c>
      <c r="H848" t="str">
        <f>IF(Gym_Expansion_Data[[#This Row],[Active Member]]=1,Gym_Expansion_Data[[#This Row],[Tier]],"Inactive")</f>
        <v>Premium</v>
      </c>
    </row>
    <row r="849" spans="1:8" x14ac:dyDescent="0.2">
      <c r="A849">
        <v>1848</v>
      </c>
      <c r="B849" t="s">
        <v>11</v>
      </c>
      <c r="C849" t="s">
        <v>8</v>
      </c>
      <c r="D849" s="1">
        <v>45429</v>
      </c>
      <c r="E849">
        <v>129</v>
      </c>
      <c r="F849">
        <v>0</v>
      </c>
      <c r="G849">
        <f>IF(Gym_Expansion_Data[[#This Row],[Churned]]=0,1,0)</f>
        <v>1</v>
      </c>
      <c r="H849" t="str">
        <f>IF(Gym_Expansion_Data[[#This Row],[Active Member]]=1,Gym_Expansion_Data[[#This Row],[Tier]],"Inactive")</f>
        <v>Elite</v>
      </c>
    </row>
    <row r="850" spans="1:8" x14ac:dyDescent="0.2">
      <c r="A850">
        <v>1849</v>
      </c>
      <c r="B850" t="s">
        <v>6</v>
      </c>
      <c r="C850" t="s">
        <v>7</v>
      </c>
      <c r="D850" s="1">
        <v>45464</v>
      </c>
      <c r="E850">
        <v>49</v>
      </c>
      <c r="F850">
        <v>0</v>
      </c>
      <c r="G850">
        <f>IF(Gym_Expansion_Data[[#This Row],[Churned]]=0,1,0)</f>
        <v>1</v>
      </c>
      <c r="H850" t="str">
        <f>IF(Gym_Expansion_Data[[#This Row],[Active Member]]=1,Gym_Expansion_Data[[#This Row],[Tier]],"Inactive")</f>
        <v>Basic</v>
      </c>
    </row>
    <row r="851" spans="1:8" x14ac:dyDescent="0.2">
      <c r="A851">
        <v>1850</v>
      </c>
      <c r="B851" t="s">
        <v>9</v>
      </c>
      <c r="C851" t="s">
        <v>8</v>
      </c>
      <c r="D851" s="1">
        <v>45442</v>
      </c>
      <c r="E851">
        <v>129</v>
      </c>
      <c r="F851">
        <v>0</v>
      </c>
      <c r="G851">
        <f>IF(Gym_Expansion_Data[[#This Row],[Churned]]=0,1,0)</f>
        <v>1</v>
      </c>
      <c r="H851" t="str">
        <f>IF(Gym_Expansion_Data[[#This Row],[Active Member]]=1,Gym_Expansion_Data[[#This Row],[Tier]],"Inactive")</f>
        <v>Elite</v>
      </c>
    </row>
    <row r="852" spans="1:8" x14ac:dyDescent="0.2">
      <c r="A852">
        <v>1851</v>
      </c>
      <c r="B852" t="s">
        <v>11</v>
      </c>
      <c r="C852" t="s">
        <v>7</v>
      </c>
      <c r="D852" s="1">
        <v>45535</v>
      </c>
      <c r="E852">
        <v>49</v>
      </c>
      <c r="F852">
        <v>0</v>
      </c>
      <c r="G852">
        <f>IF(Gym_Expansion_Data[[#This Row],[Churned]]=0,1,0)</f>
        <v>1</v>
      </c>
      <c r="H852" t="str">
        <f>IF(Gym_Expansion_Data[[#This Row],[Active Member]]=1,Gym_Expansion_Data[[#This Row],[Tier]],"Inactive")</f>
        <v>Basic</v>
      </c>
    </row>
    <row r="853" spans="1:8" x14ac:dyDescent="0.2">
      <c r="A853">
        <v>1852</v>
      </c>
      <c r="B853" t="s">
        <v>10</v>
      </c>
      <c r="C853" t="s">
        <v>7</v>
      </c>
      <c r="D853" s="1">
        <v>45686</v>
      </c>
      <c r="E853">
        <v>49</v>
      </c>
      <c r="F853">
        <v>0</v>
      </c>
      <c r="G853">
        <f>IF(Gym_Expansion_Data[[#This Row],[Churned]]=0,1,0)</f>
        <v>1</v>
      </c>
      <c r="H853" t="str">
        <f>IF(Gym_Expansion_Data[[#This Row],[Active Member]]=1,Gym_Expansion_Data[[#This Row],[Tier]],"Inactive")</f>
        <v>Basic</v>
      </c>
    </row>
    <row r="854" spans="1:8" x14ac:dyDescent="0.2">
      <c r="A854">
        <v>1853</v>
      </c>
      <c r="B854" t="s">
        <v>9</v>
      </c>
      <c r="C854" t="s">
        <v>7</v>
      </c>
      <c r="D854" s="1">
        <v>45408</v>
      </c>
      <c r="E854">
        <v>49</v>
      </c>
      <c r="F854">
        <v>0</v>
      </c>
      <c r="G854">
        <f>IF(Gym_Expansion_Data[[#This Row],[Churned]]=0,1,0)</f>
        <v>1</v>
      </c>
      <c r="H854" t="str">
        <f>IF(Gym_Expansion_Data[[#This Row],[Active Member]]=1,Gym_Expansion_Data[[#This Row],[Tier]],"Inactive")</f>
        <v>Basic</v>
      </c>
    </row>
    <row r="855" spans="1:8" x14ac:dyDescent="0.2">
      <c r="A855">
        <v>1854</v>
      </c>
      <c r="B855" t="s">
        <v>11</v>
      </c>
      <c r="C855" t="s">
        <v>7</v>
      </c>
      <c r="D855" s="1">
        <v>45630</v>
      </c>
      <c r="E855">
        <v>49</v>
      </c>
      <c r="F855">
        <v>0</v>
      </c>
      <c r="G855">
        <f>IF(Gym_Expansion_Data[[#This Row],[Churned]]=0,1,0)</f>
        <v>1</v>
      </c>
      <c r="H855" t="str">
        <f>IF(Gym_Expansion_Data[[#This Row],[Active Member]]=1,Gym_Expansion_Data[[#This Row],[Tier]],"Inactive")</f>
        <v>Basic</v>
      </c>
    </row>
    <row r="856" spans="1:8" x14ac:dyDescent="0.2">
      <c r="A856">
        <v>1855</v>
      </c>
      <c r="B856" t="s">
        <v>10</v>
      </c>
      <c r="C856" t="s">
        <v>8</v>
      </c>
      <c r="D856" s="1">
        <v>45752</v>
      </c>
      <c r="E856">
        <v>129</v>
      </c>
      <c r="F856">
        <v>0</v>
      </c>
      <c r="G856">
        <f>IF(Gym_Expansion_Data[[#This Row],[Churned]]=0,1,0)</f>
        <v>1</v>
      </c>
      <c r="H856" t="str">
        <f>IF(Gym_Expansion_Data[[#This Row],[Active Member]]=1,Gym_Expansion_Data[[#This Row],[Tier]],"Inactive")</f>
        <v>Elite</v>
      </c>
    </row>
    <row r="857" spans="1:8" x14ac:dyDescent="0.2">
      <c r="A857">
        <v>1856</v>
      </c>
      <c r="B857" t="s">
        <v>9</v>
      </c>
      <c r="C857" t="s">
        <v>7</v>
      </c>
      <c r="D857" s="1">
        <v>45480</v>
      </c>
      <c r="E857">
        <v>49</v>
      </c>
      <c r="F857">
        <v>0</v>
      </c>
      <c r="G857">
        <f>IF(Gym_Expansion_Data[[#This Row],[Churned]]=0,1,0)</f>
        <v>1</v>
      </c>
      <c r="H857" t="str">
        <f>IF(Gym_Expansion_Data[[#This Row],[Active Member]]=1,Gym_Expansion_Data[[#This Row],[Tier]],"Inactive")</f>
        <v>Basic</v>
      </c>
    </row>
    <row r="858" spans="1:8" x14ac:dyDescent="0.2">
      <c r="A858">
        <v>1857</v>
      </c>
      <c r="B858" t="s">
        <v>11</v>
      </c>
      <c r="C858" t="s">
        <v>7</v>
      </c>
      <c r="D858" s="1">
        <v>45904</v>
      </c>
      <c r="E858">
        <v>49</v>
      </c>
      <c r="F858">
        <v>0</v>
      </c>
      <c r="G858">
        <f>IF(Gym_Expansion_Data[[#This Row],[Churned]]=0,1,0)</f>
        <v>1</v>
      </c>
      <c r="H858" t="str">
        <f>IF(Gym_Expansion_Data[[#This Row],[Active Member]]=1,Gym_Expansion_Data[[#This Row],[Tier]],"Inactive")</f>
        <v>Basic</v>
      </c>
    </row>
    <row r="859" spans="1:8" x14ac:dyDescent="0.2">
      <c r="A859">
        <v>1858</v>
      </c>
      <c r="B859" t="s">
        <v>6</v>
      </c>
      <c r="C859" t="s">
        <v>7</v>
      </c>
      <c r="D859" s="1">
        <v>45850</v>
      </c>
      <c r="E859">
        <v>49</v>
      </c>
      <c r="F859">
        <v>0</v>
      </c>
      <c r="G859">
        <f>IF(Gym_Expansion_Data[[#This Row],[Churned]]=0,1,0)</f>
        <v>1</v>
      </c>
      <c r="H859" t="str">
        <f>IF(Gym_Expansion_Data[[#This Row],[Active Member]]=1,Gym_Expansion_Data[[#This Row],[Tier]],"Inactive")</f>
        <v>Basic</v>
      </c>
    </row>
    <row r="860" spans="1:8" x14ac:dyDescent="0.2">
      <c r="A860">
        <v>1859</v>
      </c>
      <c r="B860" t="s">
        <v>11</v>
      </c>
      <c r="C860" t="s">
        <v>8</v>
      </c>
      <c r="D860" s="1">
        <v>45870</v>
      </c>
      <c r="E860">
        <v>129</v>
      </c>
      <c r="F860">
        <v>0</v>
      </c>
      <c r="G860">
        <f>IF(Gym_Expansion_Data[[#This Row],[Churned]]=0,1,0)</f>
        <v>1</v>
      </c>
      <c r="H860" t="str">
        <f>IF(Gym_Expansion_Data[[#This Row],[Active Member]]=1,Gym_Expansion_Data[[#This Row],[Tier]],"Inactive")</f>
        <v>Elite</v>
      </c>
    </row>
    <row r="861" spans="1:8" x14ac:dyDescent="0.2">
      <c r="A861">
        <v>1860</v>
      </c>
      <c r="B861" t="s">
        <v>6</v>
      </c>
      <c r="C861" t="s">
        <v>8</v>
      </c>
      <c r="D861" s="1">
        <v>45808</v>
      </c>
      <c r="E861">
        <v>129</v>
      </c>
      <c r="F861">
        <v>0</v>
      </c>
      <c r="G861">
        <f>IF(Gym_Expansion_Data[[#This Row],[Churned]]=0,1,0)</f>
        <v>1</v>
      </c>
      <c r="H861" t="str">
        <f>IF(Gym_Expansion_Data[[#This Row],[Active Member]]=1,Gym_Expansion_Data[[#This Row],[Tier]],"Inactive")</f>
        <v>Elite</v>
      </c>
    </row>
    <row r="862" spans="1:8" x14ac:dyDescent="0.2">
      <c r="A862">
        <v>1861</v>
      </c>
      <c r="B862" t="s">
        <v>6</v>
      </c>
      <c r="C862" t="s">
        <v>8</v>
      </c>
      <c r="D862" s="1">
        <v>45637</v>
      </c>
      <c r="E862">
        <v>129</v>
      </c>
      <c r="F862">
        <v>0</v>
      </c>
      <c r="G862">
        <f>IF(Gym_Expansion_Data[[#This Row],[Churned]]=0,1,0)</f>
        <v>1</v>
      </c>
      <c r="H862" t="str">
        <f>IF(Gym_Expansion_Data[[#This Row],[Active Member]]=1,Gym_Expansion_Data[[#This Row],[Tier]],"Inactive")</f>
        <v>Elite</v>
      </c>
    </row>
    <row r="863" spans="1:8" x14ac:dyDescent="0.2">
      <c r="A863">
        <v>1862</v>
      </c>
      <c r="B863" t="s">
        <v>10</v>
      </c>
      <c r="C863" t="s">
        <v>7</v>
      </c>
      <c r="D863" s="1">
        <v>45744</v>
      </c>
      <c r="E863">
        <v>49</v>
      </c>
      <c r="F863">
        <v>0</v>
      </c>
      <c r="G863">
        <f>IF(Gym_Expansion_Data[[#This Row],[Churned]]=0,1,0)</f>
        <v>1</v>
      </c>
      <c r="H863" t="str">
        <f>IF(Gym_Expansion_Data[[#This Row],[Active Member]]=1,Gym_Expansion_Data[[#This Row],[Tier]],"Inactive")</f>
        <v>Basic</v>
      </c>
    </row>
    <row r="864" spans="1:8" x14ac:dyDescent="0.2">
      <c r="A864">
        <v>1863</v>
      </c>
      <c r="B864" t="s">
        <v>9</v>
      </c>
      <c r="C864" t="s">
        <v>7</v>
      </c>
      <c r="D864" s="1">
        <v>45616</v>
      </c>
      <c r="E864">
        <v>49</v>
      </c>
      <c r="F864">
        <v>0</v>
      </c>
      <c r="G864">
        <f>IF(Gym_Expansion_Data[[#This Row],[Churned]]=0,1,0)</f>
        <v>1</v>
      </c>
      <c r="H864" t="str">
        <f>IF(Gym_Expansion_Data[[#This Row],[Active Member]]=1,Gym_Expansion_Data[[#This Row],[Tier]],"Inactive")</f>
        <v>Basic</v>
      </c>
    </row>
    <row r="865" spans="1:8" x14ac:dyDescent="0.2">
      <c r="A865">
        <v>1864</v>
      </c>
      <c r="B865" t="s">
        <v>9</v>
      </c>
      <c r="C865" t="s">
        <v>7</v>
      </c>
      <c r="D865" s="1">
        <v>45926</v>
      </c>
      <c r="E865">
        <v>49</v>
      </c>
      <c r="F865">
        <v>0</v>
      </c>
      <c r="G865">
        <f>IF(Gym_Expansion_Data[[#This Row],[Churned]]=0,1,0)</f>
        <v>1</v>
      </c>
      <c r="H865" t="str">
        <f>IF(Gym_Expansion_Data[[#This Row],[Active Member]]=1,Gym_Expansion_Data[[#This Row],[Tier]],"Inactive")</f>
        <v>Basic</v>
      </c>
    </row>
    <row r="866" spans="1:8" x14ac:dyDescent="0.2">
      <c r="A866">
        <v>1865</v>
      </c>
      <c r="B866" t="s">
        <v>9</v>
      </c>
      <c r="C866" t="s">
        <v>7</v>
      </c>
      <c r="D866" s="1">
        <v>45918</v>
      </c>
      <c r="E866">
        <v>49</v>
      </c>
      <c r="F866">
        <v>0</v>
      </c>
      <c r="G866">
        <f>IF(Gym_Expansion_Data[[#This Row],[Churned]]=0,1,0)</f>
        <v>1</v>
      </c>
      <c r="H866" t="str">
        <f>IF(Gym_Expansion_Data[[#This Row],[Active Member]]=1,Gym_Expansion_Data[[#This Row],[Tier]],"Inactive")</f>
        <v>Basic</v>
      </c>
    </row>
    <row r="867" spans="1:8" x14ac:dyDescent="0.2">
      <c r="A867">
        <v>1866</v>
      </c>
      <c r="B867" t="s">
        <v>6</v>
      </c>
      <c r="C867" t="s">
        <v>12</v>
      </c>
      <c r="D867" s="1">
        <v>45339</v>
      </c>
      <c r="E867">
        <v>89</v>
      </c>
      <c r="F867">
        <v>0</v>
      </c>
      <c r="G867">
        <f>IF(Gym_Expansion_Data[[#This Row],[Churned]]=0,1,0)</f>
        <v>1</v>
      </c>
      <c r="H867" t="str">
        <f>IF(Gym_Expansion_Data[[#This Row],[Active Member]]=1,Gym_Expansion_Data[[#This Row],[Tier]],"Inactive")</f>
        <v>Premium</v>
      </c>
    </row>
    <row r="868" spans="1:8" x14ac:dyDescent="0.2">
      <c r="A868">
        <v>1867</v>
      </c>
      <c r="B868" t="s">
        <v>9</v>
      </c>
      <c r="C868" t="s">
        <v>12</v>
      </c>
      <c r="D868" s="1">
        <v>45625</v>
      </c>
      <c r="E868">
        <v>89</v>
      </c>
      <c r="F868">
        <v>0</v>
      </c>
      <c r="G868">
        <f>IF(Gym_Expansion_Data[[#This Row],[Churned]]=0,1,0)</f>
        <v>1</v>
      </c>
      <c r="H868" t="str">
        <f>IF(Gym_Expansion_Data[[#This Row],[Active Member]]=1,Gym_Expansion_Data[[#This Row],[Tier]],"Inactive")</f>
        <v>Premium</v>
      </c>
    </row>
    <row r="869" spans="1:8" x14ac:dyDescent="0.2">
      <c r="A869">
        <v>1868</v>
      </c>
      <c r="B869" t="s">
        <v>9</v>
      </c>
      <c r="C869" t="s">
        <v>12</v>
      </c>
      <c r="D869" s="1">
        <v>45855</v>
      </c>
      <c r="E869">
        <v>89</v>
      </c>
      <c r="F869">
        <v>0</v>
      </c>
      <c r="G869">
        <f>IF(Gym_Expansion_Data[[#This Row],[Churned]]=0,1,0)</f>
        <v>1</v>
      </c>
      <c r="H869" t="str">
        <f>IF(Gym_Expansion_Data[[#This Row],[Active Member]]=1,Gym_Expansion_Data[[#This Row],[Tier]],"Inactive")</f>
        <v>Premium</v>
      </c>
    </row>
    <row r="870" spans="1:8" x14ac:dyDescent="0.2">
      <c r="A870">
        <v>1869</v>
      </c>
      <c r="B870" t="s">
        <v>11</v>
      </c>
      <c r="C870" t="s">
        <v>12</v>
      </c>
      <c r="D870" s="1">
        <v>45337</v>
      </c>
      <c r="E870">
        <v>89</v>
      </c>
      <c r="F870">
        <v>0</v>
      </c>
      <c r="G870">
        <f>IF(Gym_Expansion_Data[[#This Row],[Churned]]=0,1,0)</f>
        <v>1</v>
      </c>
      <c r="H870" t="str">
        <f>IF(Gym_Expansion_Data[[#This Row],[Active Member]]=1,Gym_Expansion_Data[[#This Row],[Tier]],"Inactive")</f>
        <v>Premium</v>
      </c>
    </row>
    <row r="871" spans="1:8" x14ac:dyDescent="0.2">
      <c r="A871">
        <v>1870</v>
      </c>
      <c r="B871" t="s">
        <v>9</v>
      </c>
      <c r="C871" t="s">
        <v>7</v>
      </c>
      <c r="D871" s="1">
        <v>45620</v>
      </c>
      <c r="E871">
        <v>49</v>
      </c>
      <c r="F871">
        <v>0</v>
      </c>
      <c r="G871">
        <f>IF(Gym_Expansion_Data[[#This Row],[Churned]]=0,1,0)</f>
        <v>1</v>
      </c>
      <c r="H871" t="str">
        <f>IF(Gym_Expansion_Data[[#This Row],[Active Member]]=1,Gym_Expansion_Data[[#This Row],[Tier]],"Inactive")</f>
        <v>Basic</v>
      </c>
    </row>
    <row r="872" spans="1:8" x14ac:dyDescent="0.2">
      <c r="A872">
        <v>1871</v>
      </c>
      <c r="B872" t="s">
        <v>6</v>
      </c>
      <c r="C872" t="s">
        <v>8</v>
      </c>
      <c r="D872" s="1">
        <v>45412</v>
      </c>
      <c r="E872">
        <v>129</v>
      </c>
      <c r="F872">
        <v>0</v>
      </c>
      <c r="G872">
        <f>IF(Gym_Expansion_Data[[#This Row],[Churned]]=0,1,0)</f>
        <v>1</v>
      </c>
      <c r="H872" t="str">
        <f>IF(Gym_Expansion_Data[[#This Row],[Active Member]]=1,Gym_Expansion_Data[[#This Row],[Tier]],"Inactive")</f>
        <v>Elite</v>
      </c>
    </row>
    <row r="873" spans="1:8" x14ac:dyDescent="0.2">
      <c r="A873">
        <v>1872</v>
      </c>
      <c r="B873" t="s">
        <v>6</v>
      </c>
      <c r="C873" t="s">
        <v>7</v>
      </c>
      <c r="D873" s="1">
        <v>45527</v>
      </c>
      <c r="E873">
        <v>49</v>
      </c>
      <c r="F873">
        <v>0</v>
      </c>
      <c r="G873">
        <f>IF(Gym_Expansion_Data[[#This Row],[Churned]]=0,1,0)</f>
        <v>1</v>
      </c>
      <c r="H873" t="str">
        <f>IF(Gym_Expansion_Data[[#This Row],[Active Member]]=1,Gym_Expansion_Data[[#This Row],[Tier]],"Inactive")</f>
        <v>Basic</v>
      </c>
    </row>
    <row r="874" spans="1:8" x14ac:dyDescent="0.2">
      <c r="A874">
        <v>1873</v>
      </c>
      <c r="B874" t="s">
        <v>9</v>
      </c>
      <c r="C874" t="s">
        <v>7</v>
      </c>
      <c r="D874" s="1">
        <v>45881</v>
      </c>
      <c r="E874">
        <v>49</v>
      </c>
      <c r="F874">
        <v>0</v>
      </c>
      <c r="G874">
        <f>IF(Gym_Expansion_Data[[#This Row],[Churned]]=0,1,0)</f>
        <v>1</v>
      </c>
      <c r="H874" t="str">
        <f>IF(Gym_Expansion_Data[[#This Row],[Active Member]]=1,Gym_Expansion_Data[[#This Row],[Tier]],"Inactive")</f>
        <v>Basic</v>
      </c>
    </row>
    <row r="875" spans="1:8" x14ac:dyDescent="0.2">
      <c r="A875">
        <v>1874</v>
      </c>
      <c r="B875" t="s">
        <v>6</v>
      </c>
      <c r="C875" t="s">
        <v>12</v>
      </c>
      <c r="D875" s="1">
        <v>45557</v>
      </c>
      <c r="E875">
        <v>89</v>
      </c>
      <c r="F875">
        <v>0</v>
      </c>
      <c r="G875">
        <f>IF(Gym_Expansion_Data[[#This Row],[Churned]]=0,1,0)</f>
        <v>1</v>
      </c>
      <c r="H875" t="str">
        <f>IF(Gym_Expansion_Data[[#This Row],[Active Member]]=1,Gym_Expansion_Data[[#This Row],[Tier]],"Inactive")</f>
        <v>Premium</v>
      </c>
    </row>
    <row r="876" spans="1:8" x14ac:dyDescent="0.2">
      <c r="A876">
        <v>1875</v>
      </c>
      <c r="B876" t="s">
        <v>11</v>
      </c>
      <c r="C876" t="s">
        <v>12</v>
      </c>
      <c r="D876" s="1">
        <v>45940</v>
      </c>
      <c r="E876">
        <v>89</v>
      </c>
      <c r="F876">
        <v>1</v>
      </c>
      <c r="G876">
        <f>IF(Gym_Expansion_Data[[#This Row],[Churned]]=0,1,0)</f>
        <v>0</v>
      </c>
      <c r="H876" t="str">
        <f>IF(Gym_Expansion_Data[[#This Row],[Active Member]]=1,Gym_Expansion_Data[[#This Row],[Tier]],"Inactive")</f>
        <v>Inactive</v>
      </c>
    </row>
    <row r="877" spans="1:8" x14ac:dyDescent="0.2">
      <c r="A877">
        <v>1876</v>
      </c>
      <c r="B877" t="s">
        <v>10</v>
      </c>
      <c r="C877" t="s">
        <v>7</v>
      </c>
      <c r="D877" s="1">
        <v>45588</v>
      </c>
      <c r="E877">
        <v>49</v>
      </c>
      <c r="F877">
        <v>0</v>
      </c>
      <c r="G877">
        <f>IF(Gym_Expansion_Data[[#This Row],[Churned]]=0,1,0)</f>
        <v>1</v>
      </c>
      <c r="H877" t="str">
        <f>IF(Gym_Expansion_Data[[#This Row],[Active Member]]=1,Gym_Expansion_Data[[#This Row],[Tier]],"Inactive")</f>
        <v>Basic</v>
      </c>
    </row>
    <row r="878" spans="1:8" x14ac:dyDescent="0.2">
      <c r="A878">
        <v>1877</v>
      </c>
      <c r="B878" t="s">
        <v>9</v>
      </c>
      <c r="C878" t="s">
        <v>8</v>
      </c>
      <c r="D878" s="1">
        <v>45809</v>
      </c>
      <c r="E878">
        <v>129</v>
      </c>
      <c r="F878">
        <v>0</v>
      </c>
      <c r="G878">
        <f>IF(Gym_Expansion_Data[[#This Row],[Churned]]=0,1,0)</f>
        <v>1</v>
      </c>
      <c r="H878" t="str">
        <f>IF(Gym_Expansion_Data[[#This Row],[Active Member]]=1,Gym_Expansion_Data[[#This Row],[Tier]],"Inactive")</f>
        <v>Elite</v>
      </c>
    </row>
    <row r="879" spans="1:8" x14ac:dyDescent="0.2">
      <c r="A879">
        <v>1878</v>
      </c>
      <c r="B879" t="s">
        <v>11</v>
      </c>
      <c r="C879" t="s">
        <v>7</v>
      </c>
      <c r="D879" s="1">
        <v>45494</v>
      </c>
      <c r="E879">
        <v>49</v>
      </c>
      <c r="F879">
        <v>0</v>
      </c>
      <c r="G879">
        <f>IF(Gym_Expansion_Data[[#This Row],[Churned]]=0,1,0)</f>
        <v>1</v>
      </c>
      <c r="H879" t="str">
        <f>IF(Gym_Expansion_Data[[#This Row],[Active Member]]=1,Gym_Expansion_Data[[#This Row],[Tier]],"Inactive")</f>
        <v>Basic</v>
      </c>
    </row>
    <row r="880" spans="1:8" x14ac:dyDescent="0.2">
      <c r="A880">
        <v>1879</v>
      </c>
      <c r="B880" t="s">
        <v>6</v>
      </c>
      <c r="C880" t="s">
        <v>8</v>
      </c>
      <c r="D880" s="1">
        <v>45609</v>
      </c>
      <c r="E880">
        <v>129</v>
      </c>
      <c r="F880">
        <v>0</v>
      </c>
      <c r="G880">
        <f>IF(Gym_Expansion_Data[[#This Row],[Churned]]=0,1,0)</f>
        <v>1</v>
      </c>
      <c r="H880" t="str">
        <f>IF(Gym_Expansion_Data[[#This Row],[Active Member]]=1,Gym_Expansion_Data[[#This Row],[Tier]],"Inactive")</f>
        <v>Elite</v>
      </c>
    </row>
    <row r="881" spans="1:8" x14ac:dyDescent="0.2">
      <c r="A881">
        <v>1880</v>
      </c>
      <c r="B881" t="s">
        <v>11</v>
      </c>
      <c r="C881" t="s">
        <v>8</v>
      </c>
      <c r="D881" s="1">
        <v>45396</v>
      </c>
      <c r="E881">
        <v>129</v>
      </c>
      <c r="F881">
        <v>0</v>
      </c>
      <c r="G881">
        <f>IF(Gym_Expansion_Data[[#This Row],[Churned]]=0,1,0)</f>
        <v>1</v>
      </c>
      <c r="H881" t="str">
        <f>IF(Gym_Expansion_Data[[#This Row],[Active Member]]=1,Gym_Expansion_Data[[#This Row],[Tier]],"Inactive")</f>
        <v>Elite</v>
      </c>
    </row>
    <row r="882" spans="1:8" x14ac:dyDescent="0.2">
      <c r="A882">
        <v>1881</v>
      </c>
      <c r="B882" t="s">
        <v>6</v>
      </c>
      <c r="C882" t="s">
        <v>12</v>
      </c>
      <c r="D882" s="1">
        <v>45854</v>
      </c>
      <c r="E882">
        <v>89</v>
      </c>
      <c r="F882">
        <v>0</v>
      </c>
      <c r="G882">
        <f>IF(Gym_Expansion_Data[[#This Row],[Churned]]=0,1,0)</f>
        <v>1</v>
      </c>
      <c r="H882" t="str">
        <f>IF(Gym_Expansion_Data[[#This Row],[Active Member]]=1,Gym_Expansion_Data[[#This Row],[Tier]],"Inactive")</f>
        <v>Premium</v>
      </c>
    </row>
    <row r="883" spans="1:8" x14ac:dyDescent="0.2">
      <c r="A883">
        <v>1882</v>
      </c>
      <c r="B883" t="s">
        <v>10</v>
      </c>
      <c r="C883" t="s">
        <v>8</v>
      </c>
      <c r="D883" s="1">
        <v>45822</v>
      </c>
      <c r="E883">
        <v>129</v>
      </c>
      <c r="F883">
        <v>0</v>
      </c>
      <c r="G883">
        <f>IF(Gym_Expansion_Data[[#This Row],[Churned]]=0,1,0)</f>
        <v>1</v>
      </c>
      <c r="H883" t="str">
        <f>IF(Gym_Expansion_Data[[#This Row],[Active Member]]=1,Gym_Expansion_Data[[#This Row],[Tier]],"Inactive")</f>
        <v>Elite</v>
      </c>
    </row>
    <row r="884" spans="1:8" x14ac:dyDescent="0.2">
      <c r="A884">
        <v>1883</v>
      </c>
      <c r="B884" t="s">
        <v>10</v>
      </c>
      <c r="C884" t="s">
        <v>12</v>
      </c>
      <c r="D884" s="1">
        <v>45723</v>
      </c>
      <c r="E884">
        <v>89</v>
      </c>
      <c r="F884">
        <v>0</v>
      </c>
      <c r="G884">
        <f>IF(Gym_Expansion_Data[[#This Row],[Churned]]=0,1,0)</f>
        <v>1</v>
      </c>
      <c r="H884" t="str">
        <f>IF(Gym_Expansion_Data[[#This Row],[Active Member]]=1,Gym_Expansion_Data[[#This Row],[Tier]],"Inactive")</f>
        <v>Premium</v>
      </c>
    </row>
    <row r="885" spans="1:8" x14ac:dyDescent="0.2">
      <c r="A885">
        <v>1884</v>
      </c>
      <c r="B885" t="s">
        <v>10</v>
      </c>
      <c r="C885" t="s">
        <v>7</v>
      </c>
      <c r="D885" s="1">
        <v>45366</v>
      </c>
      <c r="E885">
        <v>49</v>
      </c>
      <c r="F885">
        <v>1</v>
      </c>
      <c r="G885">
        <f>IF(Gym_Expansion_Data[[#This Row],[Churned]]=0,1,0)</f>
        <v>0</v>
      </c>
      <c r="H885" t="str">
        <f>IF(Gym_Expansion_Data[[#This Row],[Active Member]]=1,Gym_Expansion_Data[[#This Row],[Tier]],"Inactive")</f>
        <v>Inactive</v>
      </c>
    </row>
    <row r="886" spans="1:8" x14ac:dyDescent="0.2">
      <c r="A886">
        <v>1885</v>
      </c>
      <c r="B886" t="s">
        <v>6</v>
      </c>
      <c r="C886" t="s">
        <v>12</v>
      </c>
      <c r="D886" s="1">
        <v>45429</v>
      </c>
      <c r="E886">
        <v>89</v>
      </c>
      <c r="F886">
        <v>0</v>
      </c>
      <c r="G886">
        <f>IF(Gym_Expansion_Data[[#This Row],[Churned]]=0,1,0)</f>
        <v>1</v>
      </c>
      <c r="H886" t="str">
        <f>IF(Gym_Expansion_Data[[#This Row],[Active Member]]=1,Gym_Expansion_Data[[#This Row],[Tier]],"Inactive")</f>
        <v>Premium</v>
      </c>
    </row>
    <row r="887" spans="1:8" x14ac:dyDescent="0.2">
      <c r="A887">
        <v>1886</v>
      </c>
      <c r="B887" t="s">
        <v>9</v>
      </c>
      <c r="C887" t="s">
        <v>7</v>
      </c>
      <c r="D887" s="1">
        <v>45393</v>
      </c>
      <c r="E887">
        <v>49</v>
      </c>
      <c r="F887">
        <v>0</v>
      </c>
      <c r="G887">
        <f>IF(Gym_Expansion_Data[[#This Row],[Churned]]=0,1,0)</f>
        <v>1</v>
      </c>
      <c r="H887" t="str">
        <f>IF(Gym_Expansion_Data[[#This Row],[Active Member]]=1,Gym_Expansion_Data[[#This Row],[Tier]],"Inactive")</f>
        <v>Basic</v>
      </c>
    </row>
    <row r="888" spans="1:8" x14ac:dyDescent="0.2">
      <c r="A888">
        <v>1887</v>
      </c>
      <c r="B888" t="s">
        <v>9</v>
      </c>
      <c r="C888" t="s">
        <v>8</v>
      </c>
      <c r="D888" s="1">
        <v>45297</v>
      </c>
      <c r="E888">
        <v>129</v>
      </c>
      <c r="F888">
        <v>0</v>
      </c>
      <c r="G888">
        <f>IF(Gym_Expansion_Data[[#This Row],[Churned]]=0,1,0)</f>
        <v>1</v>
      </c>
      <c r="H888" t="str">
        <f>IF(Gym_Expansion_Data[[#This Row],[Active Member]]=1,Gym_Expansion_Data[[#This Row],[Tier]],"Inactive")</f>
        <v>Elite</v>
      </c>
    </row>
    <row r="889" spans="1:8" x14ac:dyDescent="0.2">
      <c r="A889">
        <v>1888</v>
      </c>
      <c r="B889" t="s">
        <v>9</v>
      </c>
      <c r="C889" t="s">
        <v>12</v>
      </c>
      <c r="D889" s="1">
        <v>45599</v>
      </c>
      <c r="E889">
        <v>89</v>
      </c>
      <c r="F889">
        <v>1</v>
      </c>
      <c r="G889">
        <f>IF(Gym_Expansion_Data[[#This Row],[Churned]]=0,1,0)</f>
        <v>0</v>
      </c>
      <c r="H889" t="str">
        <f>IF(Gym_Expansion_Data[[#This Row],[Active Member]]=1,Gym_Expansion_Data[[#This Row],[Tier]],"Inactive")</f>
        <v>Inactive</v>
      </c>
    </row>
    <row r="890" spans="1:8" x14ac:dyDescent="0.2">
      <c r="A890">
        <v>1889</v>
      </c>
      <c r="B890" t="s">
        <v>6</v>
      </c>
      <c r="C890" t="s">
        <v>8</v>
      </c>
      <c r="D890" s="1">
        <v>45937</v>
      </c>
      <c r="E890">
        <v>129</v>
      </c>
      <c r="F890">
        <v>0</v>
      </c>
      <c r="G890">
        <f>IF(Gym_Expansion_Data[[#This Row],[Churned]]=0,1,0)</f>
        <v>1</v>
      </c>
      <c r="H890" t="str">
        <f>IF(Gym_Expansion_Data[[#This Row],[Active Member]]=1,Gym_Expansion_Data[[#This Row],[Tier]],"Inactive")</f>
        <v>Elite</v>
      </c>
    </row>
    <row r="891" spans="1:8" x14ac:dyDescent="0.2">
      <c r="A891">
        <v>1890</v>
      </c>
      <c r="B891" t="s">
        <v>6</v>
      </c>
      <c r="C891" t="s">
        <v>12</v>
      </c>
      <c r="D891" s="1">
        <v>45546</v>
      </c>
      <c r="E891">
        <v>89</v>
      </c>
      <c r="F891">
        <v>0</v>
      </c>
      <c r="G891">
        <f>IF(Gym_Expansion_Data[[#This Row],[Churned]]=0,1,0)</f>
        <v>1</v>
      </c>
      <c r="H891" t="str">
        <f>IF(Gym_Expansion_Data[[#This Row],[Active Member]]=1,Gym_Expansion_Data[[#This Row],[Tier]],"Inactive")</f>
        <v>Premium</v>
      </c>
    </row>
    <row r="892" spans="1:8" x14ac:dyDescent="0.2">
      <c r="A892">
        <v>1891</v>
      </c>
      <c r="B892" t="s">
        <v>9</v>
      </c>
      <c r="C892" t="s">
        <v>7</v>
      </c>
      <c r="D892" s="1">
        <v>45685</v>
      </c>
      <c r="E892">
        <v>49</v>
      </c>
      <c r="F892">
        <v>0</v>
      </c>
      <c r="G892">
        <f>IF(Gym_Expansion_Data[[#This Row],[Churned]]=0,1,0)</f>
        <v>1</v>
      </c>
      <c r="H892" t="str">
        <f>IF(Gym_Expansion_Data[[#This Row],[Active Member]]=1,Gym_Expansion_Data[[#This Row],[Tier]],"Inactive")</f>
        <v>Basic</v>
      </c>
    </row>
    <row r="893" spans="1:8" x14ac:dyDescent="0.2">
      <c r="A893">
        <v>1892</v>
      </c>
      <c r="B893" t="s">
        <v>11</v>
      </c>
      <c r="C893" t="s">
        <v>8</v>
      </c>
      <c r="D893" s="1">
        <v>45491</v>
      </c>
      <c r="E893">
        <v>129</v>
      </c>
      <c r="F893">
        <v>1</v>
      </c>
      <c r="G893">
        <f>IF(Gym_Expansion_Data[[#This Row],[Churned]]=0,1,0)</f>
        <v>0</v>
      </c>
      <c r="H893" t="str">
        <f>IF(Gym_Expansion_Data[[#This Row],[Active Member]]=1,Gym_Expansion_Data[[#This Row],[Tier]],"Inactive")</f>
        <v>Inactive</v>
      </c>
    </row>
    <row r="894" spans="1:8" x14ac:dyDescent="0.2">
      <c r="A894">
        <v>1893</v>
      </c>
      <c r="B894" t="s">
        <v>10</v>
      </c>
      <c r="C894" t="s">
        <v>12</v>
      </c>
      <c r="D894" s="1">
        <v>45626</v>
      </c>
      <c r="E894">
        <v>89</v>
      </c>
      <c r="F894">
        <v>1</v>
      </c>
      <c r="G894">
        <f>IF(Gym_Expansion_Data[[#This Row],[Churned]]=0,1,0)</f>
        <v>0</v>
      </c>
      <c r="H894" t="str">
        <f>IF(Gym_Expansion_Data[[#This Row],[Active Member]]=1,Gym_Expansion_Data[[#This Row],[Tier]],"Inactive")</f>
        <v>Inactive</v>
      </c>
    </row>
    <row r="895" spans="1:8" x14ac:dyDescent="0.2">
      <c r="A895">
        <v>1894</v>
      </c>
      <c r="B895" t="s">
        <v>11</v>
      </c>
      <c r="C895" t="s">
        <v>7</v>
      </c>
      <c r="D895" s="1">
        <v>45358</v>
      </c>
      <c r="E895">
        <v>49</v>
      </c>
      <c r="F895">
        <v>0</v>
      </c>
      <c r="G895">
        <f>IF(Gym_Expansion_Data[[#This Row],[Churned]]=0,1,0)</f>
        <v>1</v>
      </c>
      <c r="H895" t="str">
        <f>IF(Gym_Expansion_Data[[#This Row],[Active Member]]=1,Gym_Expansion_Data[[#This Row],[Tier]],"Inactive")</f>
        <v>Basic</v>
      </c>
    </row>
    <row r="896" spans="1:8" x14ac:dyDescent="0.2">
      <c r="A896">
        <v>1895</v>
      </c>
      <c r="B896" t="s">
        <v>11</v>
      </c>
      <c r="C896" t="s">
        <v>8</v>
      </c>
      <c r="D896" s="1">
        <v>45468</v>
      </c>
      <c r="E896">
        <v>129</v>
      </c>
      <c r="F896">
        <v>0</v>
      </c>
      <c r="G896">
        <f>IF(Gym_Expansion_Data[[#This Row],[Churned]]=0,1,0)</f>
        <v>1</v>
      </c>
      <c r="H896" t="str">
        <f>IF(Gym_Expansion_Data[[#This Row],[Active Member]]=1,Gym_Expansion_Data[[#This Row],[Tier]],"Inactive")</f>
        <v>Elite</v>
      </c>
    </row>
    <row r="897" spans="1:8" x14ac:dyDescent="0.2">
      <c r="A897">
        <v>1896</v>
      </c>
      <c r="B897" t="s">
        <v>6</v>
      </c>
      <c r="C897" t="s">
        <v>7</v>
      </c>
      <c r="D897" s="1">
        <v>45663</v>
      </c>
      <c r="E897">
        <v>49</v>
      </c>
      <c r="F897">
        <v>0</v>
      </c>
      <c r="G897">
        <f>IF(Gym_Expansion_Data[[#This Row],[Churned]]=0,1,0)</f>
        <v>1</v>
      </c>
      <c r="H897" t="str">
        <f>IF(Gym_Expansion_Data[[#This Row],[Active Member]]=1,Gym_Expansion_Data[[#This Row],[Tier]],"Inactive")</f>
        <v>Basic</v>
      </c>
    </row>
    <row r="898" spans="1:8" x14ac:dyDescent="0.2">
      <c r="A898">
        <v>1897</v>
      </c>
      <c r="B898" t="s">
        <v>11</v>
      </c>
      <c r="C898" t="s">
        <v>8</v>
      </c>
      <c r="D898" s="1">
        <v>45846</v>
      </c>
      <c r="E898">
        <v>129</v>
      </c>
      <c r="F898">
        <v>0</v>
      </c>
      <c r="G898">
        <f>IF(Gym_Expansion_Data[[#This Row],[Churned]]=0,1,0)</f>
        <v>1</v>
      </c>
      <c r="H898" t="str">
        <f>IF(Gym_Expansion_Data[[#This Row],[Active Member]]=1,Gym_Expansion_Data[[#This Row],[Tier]],"Inactive")</f>
        <v>Elite</v>
      </c>
    </row>
    <row r="899" spans="1:8" x14ac:dyDescent="0.2">
      <c r="A899">
        <v>1898</v>
      </c>
      <c r="B899" t="s">
        <v>9</v>
      </c>
      <c r="C899" t="s">
        <v>12</v>
      </c>
      <c r="D899" s="1">
        <v>45947</v>
      </c>
      <c r="E899">
        <v>89</v>
      </c>
      <c r="F899">
        <v>0</v>
      </c>
      <c r="G899">
        <f>IF(Gym_Expansion_Data[[#This Row],[Churned]]=0,1,0)</f>
        <v>1</v>
      </c>
      <c r="H899" t="str">
        <f>IF(Gym_Expansion_Data[[#This Row],[Active Member]]=1,Gym_Expansion_Data[[#This Row],[Tier]],"Inactive")</f>
        <v>Premium</v>
      </c>
    </row>
    <row r="900" spans="1:8" x14ac:dyDescent="0.2">
      <c r="A900">
        <v>1899</v>
      </c>
      <c r="B900" t="s">
        <v>10</v>
      </c>
      <c r="C900" t="s">
        <v>7</v>
      </c>
      <c r="D900" s="1">
        <v>45787</v>
      </c>
      <c r="E900">
        <v>49</v>
      </c>
      <c r="F900">
        <v>0</v>
      </c>
      <c r="G900">
        <f>IF(Gym_Expansion_Data[[#This Row],[Churned]]=0,1,0)</f>
        <v>1</v>
      </c>
      <c r="H900" t="str">
        <f>IF(Gym_Expansion_Data[[#This Row],[Active Member]]=1,Gym_Expansion_Data[[#This Row],[Tier]],"Inactive")</f>
        <v>Basic</v>
      </c>
    </row>
    <row r="901" spans="1:8" x14ac:dyDescent="0.2">
      <c r="A901">
        <v>1900</v>
      </c>
      <c r="B901" t="s">
        <v>10</v>
      </c>
      <c r="C901" t="s">
        <v>7</v>
      </c>
      <c r="D901" s="1">
        <v>45725</v>
      </c>
      <c r="E901">
        <v>49</v>
      </c>
      <c r="F901">
        <v>0</v>
      </c>
      <c r="G901">
        <f>IF(Gym_Expansion_Data[[#This Row],[Churned]]=0,1,0)</f>
        <v>1</v>
      </c>
      <c r="H901" t="str">
        <f>IF(Gym_Expansion_Data[[#This Row],[Active Member]]=1,Gym_Expansion_Data[[#This Row],[Tier]],"Inactive")</f>
        <v>Basic</v>
      </c>
    </row>
    <row r="902" spans="1:8" x14ac:dyDescent="0.2">
      <c r="A902">
        <v>1901</v>
      </c>
      <c r="B902" t="s">
        <v>9</v>
      </c>
      <c r="C902" t="s">
        <v>8</v>
      </c>
      <c r="D902" s="1">
        <v>45345</v>
      </c>
      <c r="E902">
        <v>129</v>
      </c>
      <c r="F902">
        <v>0</v>
      </c>
      <c r="G902">
        <f>IF(Gym_Expansion_Data[[#This Row],[Churned]]=0,1,0)</f>
        <v>1</v>
      </c>
      <c r="H902" t="str">
        <f>IF(Gym_Expansion_Data[[#This Row],[Active Member]]=1,Gym_Expansion_Data[[#This Row],[Tier]],"Inactive")</f>
        <v>Elite</v>
      </c>
    </row>
    <row r="903" spans="1:8" x14ac:dyDescent="0.2">
      <c r="A903">
        <v>1902</v>
      </c>
      <c r="B903" t="s">
        <v>9</v>
      </c>
      <c r="C903" t="s">
        <v>8</v>
      </c>
      <c r="D903" s="1">
        <v>45846</v>
      </c>
      <c r="E903">
        <v>129</v>
      </c>
      <c r="F903">
        <v>0</v>
      </c>
      <c r="G903">
        <f>IF(Gym_Expansion_Data[[#This Row],[Churned]]=0,1,0)</f>
        <v>1</v>
      </c>
      <c r="H903" t="str">
        <f>IF(Gym_Expansion_Data[[#This Row],[Active Member]]=1,Gym_Expansion_Data[[#This Row],[Tier]],"Inactive")</f>
        <v>Elite</v>
      </c>
    </row>
    <row r="904" spans="1:8" x14ac:dyDescent="0.2">
      <c r="A904">
        <v>1903</v>
      </c>
      <c r="B904" t="s">
        <v>11</v>
      </c>
      <c r="C904" t="s">
        <v>7</v>
      </c>
      <c r="D904" s="1">
        <v>45477</v>
      </c>
      <c r="E904">
        <v>49</v>
      </c>
      <c r="F904">
        <v>0</v>
      </c>
      <c r="G904">
        <f>IF(Gym_Expansion_Data[[#This Row],[Churned]]=0,1,0)</f>
        <v>1</v>
      </c>
      <c r="H904" t="str">
        <f>IF(Gym_Expansion_Data[[#This Row],[Active Member]]=1,Gym_Expansion_Data[[#This Row],[Tier]],"Inactive")</f>
        <v>Basic</v>
      </c>
    </row>
    <row r="905" spans="1:8" x14ac:dyDescent="0.2">
      <c r="A905">
        <v>1904</v>
      </c>
      <c r="B905" t="s">
        <v>9</v>
      </c>
      <c r="C905" t="s">
        <v>7</v>
      </c>
      <c r="D905" s="1">
        <v>45866</v>
      </c>
      <c r="E905">
        <v>49</v>
      </c>
      <c r="F905">
        <v>0</v>
      </c>
      <c r="G905">
        <f>IF(Gym_Expansion_Data[[#This Row],[Churned]]=0,1,0)</f>
        <v>1</v>
      </c>
      <c r="H905" t="str">
        <f>IF(Gym_Expansion_Data[[#This Row],[Active Member]]=1,Gym_Expansion_Data[[#This Row],[Tier]],"Inactive")</f>
        <v>Basic</v>
      </c>
    </row>
    <row r="906" spans="1:8" x14ac:dyDescent="0.2">
      <c r="A906">
        <v>1905</v>
      </c>
      <c r="B906" t="s">
        <v>11</v>
      </c>
      <c r="C906" t="s">
        <v>7</v>
      </c>
      <c r="D906" s="1">
        <v>45452</v>
      </c>
      <c r="E906">
        <v>49</v>
      </c>
      <c r="F906">
        <v>0</v>
      </c>
      <c r="G906">
        <f>IF(Gym_Expansion_Data[[#This Row],[Churned]]=0,1,0)</f>
        <v>1</v>
      </c>
      <c r="H906" t="str">
        <f>IF(Gym_Expansion_Data[[#This Row],[Active Member]]=1,Gym_Expansion_Data[[#This Row],[Tier]],"Inactive")</f>
        <v>Basic</v>
      </c>
    </row>
    <row r="907" spans="1:8" x14ac:dyDescent="0.2">
      <c r="A907">
        <v>1906</v>
      </c>
      <c r="B907" t="s">
        <v>6</v>
      </c>
      <c r="C907" t="s">
        <v>12</v>
      </c>
      <c r="D907" s="1">
        <v>45919</v>
      </c>
      <c r="E907">
        <v>89</v>
      </c>
      <c r="F907">
        <v>0</v>
      </c>
      <c r="G907">
        <f>IF(Gym_Expansion_Data[[#This Row],[Churned]]=0,1,0)</f>
        <v>1</v>
      </c>
      <c r="H907" t="str">
        <f>IF(Gym_Expansion_Data[[#This Row],[Active Member]]=1,Gym_Expansion_Data[[#This Row],[Tier]],"Inactive")</f>
        <v>Premium</v>
      </c>
    </row>
    <row r="908" spans="1:8" x14ac:dyDescent="0.2">
      <c r="A908">
        <v>1907</v>
      </c>
      <c r="B908" t="s">
        <v>9</v>
      </c>
      <c r="C908" t="s">
        <v>8</v>
      </c>
      <c r="D908" s="1">
        <v>45763</v>
      </c>
      <c r="E908">
        <v>129</v>
      </c>
      <c r="F908">
        <v>0</v>
      </c>
      <c r="G908">
        <f>IF(Gym_Expansion_Data[[#This Row],[Churned]]=0,1,0)</f>
        <v>1</v>
      </c>
      <c r="H908" t="str">
        <f>IF(Gym_Expansion_Data[[#This Row],[Active Member]]=1,Gym_Expansion_Data[[#This Row],[Tier]],"Inactive")</f>
        <v>Elite</v>
      </c>
    </row>
    <row r="909" spans="1:8" x14ac:dyDescent="0.2">
      <c r="A909">
        <v>1908</v>
      </c>
      <c r="B909" t="s">
        <v>9</v>
      </c>
      <c r="C909" t="s">
        <v>8</v>
      </c>
      <c r="D909" s="1">
        <v>45707</v>
      </c>
      <c r="E909">
        <v>129</v>
      </c>
      <c r="F909">
        <v>1</v>
      </c>
      <c r="G909">
        <f>IF(Gym_Expansion_Data[[#This Row],[Churned]]=0,1,0)</f>
        <v>0</v>
      </c>
      <c r="H909" t="str">
        <f>IF(Gym_Expansion_Data[[#This Row],[Active Member]]=1,Gym_Expansion_Data[[#This Row],[Tier]],"Inactive")</f>
        <v>Inactive</v>
      </c>
    </row>
    <row r="910" spans="1:8" x14ac:dyDescent="0.2">
      <c r="A910">
        <v>1909</v>
      </c>
      <c r="B910" t="s">
        <v>11</v>
      </c>
      <c r="C910" t="s">
        <v>12</v>
      </c>
      <c r="D910" s="1">
        <v>45543</v>
      </c>
      <c r="E910">
        <v>89</v>
      </c>
      <c r="F910">
        <v>0</v>
      </c>
      <c r="G910">
        <f>IF(Gym_Expansion_Data[[#This Row],[Churned]]=0,1,0)</f>
        <v>1</v>
      </c>
      <c r="H910" t="str">
        <f>IF(Gym_Expansion_Data[[#This Row],[Active Member]]=1,Gym_Expansion_Data[[#This Row],[Tier]],"Inactive")</f>
        <v>Premium</v>
      </c>
    </row>
    <row r="911" spans="1:8" x14ac:dyDescent="0.2">
      <c r="A911">
        <v>1910</v>
      </c>
      <c r="B911" t="s">
        <v>9</v>
      </c>
      <c r="C911" t="s">
        <v>7</v>
      </c>
      <c r="D911" s="1">
        <v>45360</v>
      </c>
      <c r="E911">
        <v>49</v>
      </c>
      <c r="F911">
        <v>0</v>
      </c>
      <c r="G911">
        <f>IF(Gym_Expansion_Data[[#This Row],[Churned]]=0,1,0)</f>
        <v>1</v>
      </c>
      <c r="H911" t="str">
        <f>IF(Gym_Expansion_Data[[#This Row],[Active Member]]=1,Gym_Expansion_Data[[#This Row],[Tier]],"Inactive")</f>
        <v>Basic</v>
      </c>
    </row>
    <row r="912" spans="1:8" x14ac:dyDescent="0.2">
      <c r="A912">
        <v>1911</v>
      </c>
      <c r="B912" t="s">
        <v>11</v>
      </c>
      <c r="C912" t="s">
        <v>8</v>
      </c>
      <c r="D912" s="1">
        <v>45798</v>
      </c>
      <c r="E912">
        <v>129</v>
      </c>
      <c r="F912">
        <v>0</v>
      </c>
      <c r="G912">
        <f>IF(Gym_Expansion_Data[[#This Row],[Churned]]=0,1,0)</f>
        <v>1</v>
      </c>
      <c r="H912" t="str">
        <f>IF(Gym_Expansion_Data[[#This Row],[Active Member]]=1,Gym_Expansion_Data[[#This Row],[Tier]],"Inactive")</f>
        <v>Elite</v>
      </c>
    </row>
    <row r="913" spans="1:8" x14ac:dyDescent="0.2">
      <c r="A913">
        <v>1912</v>
      </c>
      <c r="B913" t="s">
        <v>9</v>
      </c>
      <c r="C913" t="s">
        <v>8</v>
      </c>
      <c r="D913" s="1">
        <v>45689</v>
      </c>
      <c r="E913">
        <v>129</v>
      </c>
      <c r="F913">
        <v>0</v>
      </c>
      <c r="G913">
        <f>IF(Gym_Expansion_Data[[#This Row],[Churned]]=0,1,0)</f>
        <v>1</v>
      </c>
      <c r="H913" t="str">
        <f>IF(Gym_Expansion_Data[[#This Row],[Active Member]]=1,Gym_Expansion_Data[[#This Row],[Tier]],"Inactive")</f>
        <v>Elite</v>
      </c>
    </row>
    <row r="914" spans="1:8" x14ac:dyDescent="0.2">
      <c r="A914">
        <v>1913</v>
      </c>
      <c r="B914" t="s">
        <v>6</v>
      </c>
      <c r="C914" t="s">
        <v>8</v>
      </c>
      <c r="D914" s="1">
        <v>45433</v>
      </c>
      <c r="E914">
        <v>129</v>
      </c>
      <c r="F914">
        <v>1</v>
      </c>
      <c r="G914">
        <f>IF(Gym_Expansion_Data[[#This Row],[Churned]]=0,1,0)</f>
        <v>0</v>
      </c>
      <c r="H914" t="str">
        <f>IF(Gym_Expansion_Data[[#This Row],[Active Member]]=1,Gym_Expansion_Data[[#This Row],[Tier]],"Inactive")</f>
        <v>Inactive</v>
      </c>
    </row>
    <row r="915" spans="1:8" x14ac:dyDescent="0.2">
      <c r="A915">
        <v>1914</v>
      </c>
      <c r="B915" t="s">
        <v>6</v>
      </c>
      <c r="C915" t="s">
        <v>7</v>
      </c>
      <c r="D915" s="1">
        <v>45441</v>
      </c>
      <c r="E915">
        <v>49</v>
      </c>
      <c r="F915">
        <v>0</v>
      </c>
      <c r="G915">
        <f>IF(Gym_Expansion_Data[[#This Row],[Churned]]=0,1,0)</f>
        <v>1</v>
      </c>
      <c r="H915" t="str">
        <f>IF(Gym_Expansion_Data[[#This Row],[Active Member]]=1,Gym_Expansion_Data[[#This Row],[Tier]],"Inactive")</f>
        <v>Basic</v>
      </c>
    </row>
    <row r="916" spans="1:8" x14ac:dyDescent="0.2">
      <c r="A916">
        <v>1915</v>
      </c>
      <c r="B916" t="s">
        <v>10</v>
      </c>
      <c r="C916" t="s">
        <v>8</v>
      </c>
      <c r="D916" s="1">
        <v>45832</v>
      </c>
      <c r="E916">
        <v>129</v>
      </c>
      <c r="F916">
        <v>0</v>
      </c>
      <c r="G916">
        <f>IF(Gym_Expansion_Data[[#This Row],[Churned]]=0,1,0)</f>
        <v>1</v>
      </c>
      <c r="H916" t="str">
        <f>IF(Gym_Expansion_Data[[#This Row],[Active Member]]=1,Gym_Expansion_Data[[#This Row],[Tier]],"Inactive")</f>
        <v>Elite</v>
      </c>
    </row>
    <row r="917" spans="1:8" x14ac:dyDescent="0.2">
      <c r="A917">
        <v>1916</v>
      </c>
      <c r="B917" t="s">
        <v>10</v>
      </c>
      <c r="C917" t="s">
        <v>7</v>
      </c>
      <c r="D917" s="1">
        <v>45386</v>
      </c>
      <c r="E917">
        <v>49</v>
      </c>
      <c r="F917">
        <v>0</v>
      </c>
      <c r="G917">
        <f>IF(Gym_Expansion_Data[[#This Row],[Churned]]=0,1,0)</f>
        <v>1</v>
      </c>
      <c r="H917" t="str">
        <f>IF(Gym_Expansion_Data[[#This Row],[Active Member]]=1,Gym_Expansion_Data[[#This Row],[Tier]],"Inactive")</f>
        <v>Basic</v>
      </c>
    </row>
    <row r="918" spans="1:8" x14ac:dyDescent="0.2">
      <c r="A918">
        <v>1917</v>
      </c>
      <c r="B918" t="s">
        <v>6</v>
      </c>
      <c r="C918" t="s">
        <v>7</v>
      </c>
      <c r="D918" s="1">
        <v>45764</v>
      </c>
      <c r="E918">
        <v>49</v>
      </c>
      <c r="F918">
        <v>1</v>
      </c>
      <c r="G918">
        <f>IF(Gym_Expansion_Data[[#This Row],[Churned]]=0,1,0)</f>
        <v>0</v>
      </c>
      <c r="H918" t="str">
        <f>IF(Gym_Expansion_Data[[#This Row],[Active Member]]=1,Gym_Expansion_Data[[#This Row],[Tier]],"Inactive")</f>
        <v>Inactive</v>
      </c>
    </row>
    <row r="919" spans="1:8" x14ac:dyDescent="0.2">
      <c r="A919">
        <v>1918</v>
      </c>
      <c r="B919" t="s">
        <v>11</v>
      </c>
      <c r="C919" t="s">
        <v>8</v>
      </c>
      <c r="D919" s="1">
        <v>45632</v>
      </c>
      <c r="E919">
        <v>129</v>
      </c>
      <c r="F919">
        <v>0</v>
      </c>
      <c r="G919">
        <f>IF(Gym_Expansion_Data[[#This Row],[Churned]]=0,1,0)</f>
        <v>1</v>
      </c>
      <c r="H919" t="str">
        <f>IF(Gym_Expansion_Data[[#This Row],[Active Member]]=1,Gym_Expansion_Data[[#This Row],[Tier]],"Inactive")</f>
        <v>Elite</v>
      </c>
    </row>
    <row r="920" spans="1:8" x14ac:dyDescent="0.2">
      <c r="A920">
        <v>1919</v>
      </c>
      <c r="B920" t="s">
        <v>9</v>
      </c>
      <c r="C920" t="s">
        <v>7</v>
      </c>
      <c r="D920" s="1">
        <v>45803</v>
      </c>
      <c r="E920">
        <v>49</v>
      </c>
      <c r="F920">
        <v>1</v>
      </c>
      <c r="G920">
        <f>IF(Gym_Expansion_Data[[#This Row],[Churned]]=0,1,0)</f>
        <v>0</v>
      </c>
      <c r="H920" t="str">
        <f>IF(Gym_Expansion_Data[[#This Row],[Active Member]]=1,Gym_Expansion_Data[[#This Row],[Tier]],"Inactive")</f>
        <v>Inactive</v>
      </c>
    </row>
    <row r="921" spans="1:8" x14ac:dyDescent="0.2">
      <c r="A921">
        <v>1920</v>
      </c>
      <c r="B921" t="s">
        <v>9</v>
      </c>
      <c r="C921" t="s">
        <v>8</v>
      </c>
      <c r="D921" s="1">
        <v>45452</v>
      </c>
      <c r="E921">
        <v>129</v>
      </c>
      <c r="F921">
        <v>0</v>
      </c>
      <c r="G921">
        <f>IF(Gym_Expansion_Data[[#This Row],[Churned]]=0,1,0)</f>
        <v>1</v>
      </c>
      <c r="H921" t="str">
        <f>IF(Gym_Expansion_Data[[#This Row],[Active Member]]=1,Gym_Expansion_Data[[#This Row],[Tier]],"Inactive")</f>
        <v>Elite</v>
      </c>
    </row>
    <row r="922" spans="1:8" x14ac:dyDescent="0.2">
      <c r="A922">
        <v>1921</v>
      </c>
      <c r="B922" t="s">
        <v>10</v>
      </c>
      <c r="C922" t="s">
        <v>7</v>
      </c>
      <c r="D922" s="1">
        <v>45670</v>
      </c>
      <c r="E922">
        <v>49</v>
      </c>
      <c r="F922">
        <v>0</v>
      </c>
      <c r="G922">
        <f>IF(Gym_Expansion_Data[[#This Row],[Churned]]=0,1,0)</f>
        <v>1</v>
      </c>
      <c r="H922" t="str">
        <f>IF(Gym_Expansion_Data[[#This Row],[Active Member]]=1,Gym_Expansion_Data[[#This Row],[Tier]],"Inactive")</f>
        <v>Basic</v>
      </c>
    </row>
    <row r="923" spans="1:8" x14ac:dyDescent="0.2">
      <c r="A923">
        <v>1922</v>
      </c>
      <c r="B923" t="s">
        <v>6</v>
      </c>
      <c r="C923" t="s">
        <v>7</v>
      </c>
      <c r="D923" s="1">
        <v>45370</v>
      </c>
      <c r="E923">
        <v>49</v>
      </c>
      <c r="F923">
        <v>0</v>
      </c>
      <c r="G923">
        <f>IF(Gym_Expansion_Data[[#This Row],[Churned]]=0,1,0)</f>
        <v>1</v>
      </c>
      <c r="H923" t="str">
        <f>IF(Gym_Expansion_Data[[#This Row],[Active Member]]=1,Gym_Expansion_Data[[#This Row],[Tier]],"Inactive")</f>
        <v>Basic</v>
      </c>
    </row>
    <row r="924" spans="1:8" x14ac:dyDescent="0.2">
      <c r="A924">
        <v>1923</v>
      </c>
      <c r="B924" t="s">
        <v>6</v>
      </c>
      <c r="C924" t="s">
        <v>7</v>
      </c>
      <c r="D924" s="1">
        <v>45750</v>
      </c>
      <c r="E924">
        <v>49</v>
      </c>
      <c r="F924">
        <v>0</v>
      </c>
      <c r="G924">
        <f>IF(Gym_Expansion_Data[[#This Row],[Churned]]=0,1,0)</f>
        <v>1</v>
      </c>
      <c r="H924" t="str">
        <f>IF(Gym_Expansion_Data[[#This Row],[Active Member]]=1,Gym_Expansion_Data[[#This Row],[Tier]],"Inactive")</f>
        <v>Basic</v>
      </c>
    </row>
    <row r="925" spans="1:8" x14ac:dyDescent="0.2">
      <c r="A925">
        <v>1924</v>
      </c>
      <c r="B925" t="s">
        <v>9</v>
      </c>
      <c r="C925" t="s">
        <v>7</v>
      </c>
      <c r="D925" s="1">
        <v>45457</v>
      </c>
      <c r="E925">
        <v>49</v>
      </c>
      <c r="F925">
        <v>0</v>
      </c>
      <c r="G925">
        <f>IF(Gym_Expansion_Data[[#This Row],[Churned]]=0,1,0)</f>
        <v>1</v>
      </c>
      <c r="H925" t="str">
        <f>IF(Gym_Expansion_Data[[#This Row],[Active Member]]=1,Gym_Expansion_Data[[#This Row],[Tier]],"Inactive")</f>
        <v>Basic</v>
      </c>
    </row>
    <row r="926" spans="1:8" x14ac:dyDescent="0.2">
      <c r="A926">
        <v>1925</v>
      </c>
      <c r="B926" t="s">
        <v>10</v>
      </c>
      <c r="C926" t="s">
        <v>12</v>
      </c>
      <c r="D926" s="1">
        <v>45803</v>
      </c>
      <c r="E926">
        <v>89</v>
      </c>
      <c r="F926">
        <v>0</v>
      </c>
      <c r="G926">
        <f>IF(Gym_Expansion_Data[[#This Row],[Churned]]=0,1,0)</f>
        <v>1</v>
      </c>
      <c r="H926" t="str">
        <f>IF(Gym_Expansion_Data[[#This Row],[Active Member]]=1,Gym_Expansion_Data[[#This Row],[Tier]],"Inactive")</f>
        <v>Premium</v>
      </c>
    </row>
    <row r="927" spans="1:8" x14ac:dyDescent="0.2">
      <c r="A927">
        <v>1926</v>
      </c>
      <c r="B927" t="s">
        <v>6</v>
      </c>
      <c r="C927" t="s">
        <v>7</v>
      </c>
      <c r="D927" s="1">
        <v>45302</v>
      </c>
      <c r="E927">
        <v>49</v>
      </c>
      <c r="F927">
        <v>0</v>
      </c>
      <c r="G927">
        <f>IF(Gym_Expansion_Data[[#This Row],[Churned]]=0,1,0)</f>
        <v>1</v>
      </c>
      <c r="H927" t="str">
        <f>IF(Gym_Expansion_Data[[#This Row],[Active Member]]=1,Gym_Expansion_Data[[#This Row],[Tier]],"Inactive")</f>
        <v>Basic</v>
      </c>
    </row>
    <row r="928" spans="1:8" x14ac:dyDescent="0.2">
      <c r="A928">
        <v>1927</v>
      </c>
      <c r="B928" t="s">
        <v>9</v>
      </c>
      <c r="C928" t="s">
        <v>7</v>
      </c>
      <c r="D928" s="1">
        <v>45974</v>
      </c>
      <c r="E928">
        <v>49</v>
      </c>
      <c r="F928">
        <v>1</v>
      </c>
      <c r="G928">
        <f>IF(Gym_Expansion_Data[[#This Row],[Churned]]=0,1,0)</f>
        <v>0</v>
      </c>
      <c r="H928" t="str">
        <f>IF(Gym_Expansion_Data[[#This Row],[Active Member]]=1,Gym_Expansion_Data[[#This Row],[Tier]],"Inactive")</f>
        <v>Inactive</v>
      </c>
    </row>
    <row r="929" spans="1:8" x14ac:dyDescent="0.2">
      <c r="A929">
        <v>1928</v>
      </c>
      <c r="B929" t="s">
        <v>11</v>
      </c>
      <c r="C929" t="s">
        <v>8</v>
      </c>
      <c r="D929" s="1">
        <v>45295</v>
      </c>
      <c r="E929">
        <v>129</v>
      </c>
      <c r="F929">
        <v>1</v>
      </c>
      <c r="G929">
        <f>IF(Gym_Expansion_Data[[#This Row],[Churned]]=0,1,0)</f>
        <v>0</v>
      </c>
      <c r="H929" t="str">
        <f>IF(Gym_Expansion_Data[[#This Row],[Active Member]]=1,Gym_Expansion_Data[[#This Row],[Tier]],"Inactive")</f>
        <v>Inactive</v>
      </c>
    </row>
    <row r="930" spans="1:8" x14ac:dyDescent="0.2">
      <c r="A930">
        <v>1929</v>
      </c>
      <c r="B930" t="s">
        <v>9</v>
      </c>
      <c r="C930" t="s">
        <v>12</v>
      </c>
      <c r="D930" s="1">
        <v>45462</v>
      </c>
      <c r="E930">
        <v>89</v>
      </c>
      <c r="F930">
        <v>1</v>
      </c>
      <c r="G930">
        <f>IF(Gym_Expansion_Data[[#This Row],[Churned]]=0,1,0)</f>
        <v>0</v>
      </c>
      <c r="H930" t="str">
        <f>IF(Gym_Expansion_Data[[#This Row],[Active Member]]=1,Gym_Expansion_Data[[#This Row],[Tier]],"Inactive")</f>
        <v>Inactive</v>
      </c>
    </row>
    <row r="931" spans="1:8" x14ac:dyDescent="0.2">
      <c r="A931">
        <v>1930</v>
      </c>
      <c r="B931" t="s">
        <v>11</v>
      </c>
      <c r="C931" t="s">
        <v>8</v>
      </c>
      <c r="D931" s="1">
        <v>45706</v>
      </c>
      <c r="E931">
        <v>129</v>
      </c>
      <c r="F931">
        <v>0</v>
      </c>
      <c r="G931">
        <f>IF(Gym_Expansion_Data[[#This Row],[Churned]]=0,1,0)</f>
        <v>1</v>
      </c>
      <c r="H931" t="str">
        <f>IF(Gym_Expansion_Data[[#This Row],[Active Member]]=1,Gym_Expansion_Data[[#This Row],[Tier]],"Inactive")</f>
        <v>Elite</v>
      </c>
    </row>
    <row r="932" spans="1:8" x14ac:dyDescent="0.2">
      <c r="A932">
        <v>1931</v>
      </c>
      <c r="B932" t="s">
        <v>11</v>
      </c>
      <c r="C932" t="s">
        <v>12</v>
      </c>
      <c r="D932" s="1">
        <v>45448</v>
      </c>
      <c r="E932">
        <v>89</v>
      </c>
      <c r="F932">
        <v>0</v>
      </c>
      <c r="G932">
        <f>IF(Gym_Expansion_Data[[#This Row],[Churned]]=0,1,0)</f>
        <v>1</v>
      </c>
      <c r="H932" t="str">
        <f>IF(Gym_Expansion_Data[[#This Row],[Active Member]]=1,Gym_Expansion_Data[[#This Row],[Tier]],"Inactive")</f>
        <v>Premium</v>
      </c>
    </row>
    <row r="933" spans="1:8" x14ac:dyDescent="0.2">
      <c r="A933">
        <v>1932</v>
      </c>
      <c r="B933" t="s">
        <v>6</v>
      </c>
      <c r="C933" t="s">
        <v>7</v>
      </c>
      <c r="D933" s="1">
        <v>45390</v>
      </c>
      <c r="E933">
        <v>49</v>
      </c>
      <c r="F933">
        <v>0</v>
      </c>
      <c r="G933">
        <f>IF(Gym_Expansion_Data[[#This Row],[Churned]]=0,1,0)</f>
        <v>1</v>
      </c>
      <c r="H933" t="str">
        <f>IF(Gym_Expansion_Data[[#This Row],[Active Member]]=1,Gym_Expansion_Data[[#This Row],[Tier]],"Inactive")</f>
        <v>Basic</v>
      </c>
    </row>
    <row r="934" spans="1:8" x14ac:dyDescent="0.2">
      <c r="A934">
        <v>1933</v>
      </c>
      <c r="B934" t="s">
        <v>6</v>
      </c>
      <c r="C934" t="s">
        <v>12</v>
      </c>
      <c r="D934" s="1">
        <v>45615</v>
      </c>
      <c r="E934">
        <v>89</v>
      </c>
      <c r="F934">
        <v>0</v>
      </c>
      <c r="G934">
        <f>IF(Gym_Expansion_Data[[#This Row],[Churned]]=0,1,0)</f>
        <v>1</v>
      </c>
      <c r="H934" t="str">
        <f>IF(Gym_Expansion_Data[[#This Row],[Active Member]]=1,Gym_Expansion_Data[[#This Row],[Tier]],"Inactive")</f>
        <v>Premium</v>
      </c>
    </row>
    <row r="935" spans="1:8" x14ac:dyDescent="0.2">
      <c r="A935">
        <v>1934</v>
      </c>
      <c r="B935" t="s">
        <v>6</v>
      </c>
      <c r="C935" t="s">
        <v>7</v>
      </c>
      <c r="D935" s="1">
        <v>45816</v>
      </c>
      <c r="E935">
        <v>49</v>
      </c>
      <c r="F935">
        <v>0</v>
      </c>
      <c r="G935">
        <f>IF(Gym_Expansion_Data[[#This Row],[Churned]]=0,1,0)</f>
        <v>1</v>
      </c>
      <c r="H935" t="str">
        <f>IF(Gym_Expansion_Data[[#This Row],[Active Member]]=1,Gym_Expansion_Data[[#This Row],[Tier]],"Inactive")</f>
        <v>Basic</v>
      </c>
    </row>
    <row r="936" spans="1:8" x14ac:dyDescent="0.2">
      <c r="A936">
        <v>1935</v>
      </c>
      <c r="B936" t="s">
        <v>10</v>
      </c>
      <c r="C936" t="s">
        <v>7</v>
      </c>
      <c r="D936" s="1">
        <v>45455</v>
      </c>
      <c r="E936">
        <v>49</v>
      </c>
      <c r="F936">
        <v>0</v>
      </c>
      <c r="G936">
        <f>IF(Gym_Expansion_Data[[#This Row],[Churned]]=0,1,0)</f>
        <v>1</v>
      </c>
      <c r="H936" t="str">
        <f>IF(Gym_Expansion_Data[[#This Row],[Active Member]]=1,Gym_Expansion_Data[[#This Row],[Tier]],"Inactive")</f>
        <v>Basic</v>
      </c>
    </row>
    <row r="937" spans="1:8" x14ac:dyDescent="0.2">
      <c r="A937">
        <v>1936</v>
      </c>
      <c r="B937" t="s">
        <v>9</v>
      </c>
      <c r="C937" t="s">
        <v>8</v>
      </c>
      <c r="D937" s="1">
        <v>45981</v>
      </c>
      <c r="E937">
        <v>129</v>
      </c>
      <c r="F937">
        <v>1</v>
      </c>
      <c r="G937">
        <f>IF(Gym_Expansion_Data[[#This Row],[Churned]]=0,1,0)</f>
        <v>0</v>
      </c>
      <c r="H937" t="str">
        <f>IF(Gym_Expansion_Data[[#This Row],[Active Member]]=1,Gym_Expansion_Data[[#This Row],[Tier]],"Inactive")</f>
        <v>Inactive</v>
      </c>
    </row>
    <row r="938" spans="1:8" x14ac:dyDescent="0.2">
      <c r="A938">
        <v>1937</v>
      </c>
      <c r="B938" t="s">
        <v>9</v>
      </c>
      <c r="C938" t="s">
        <v>7</v>
      </c>
      <c r="D938" s="1">
        <v>45367</v>
      </c>
      <c r="E938">
        <v>49</v>
      </c>
      <c r="F938">
        <v>0</v>
      </c>
      <c r="G938">
        <f>IF(Gym_Expansion_Data[[#This Row],[Churned]]=0,1,0)</f>
        <v>1</v>
      </c>
      <c r="H938" t="str">
        <f>IF(Gym_Expansion_Data[[#This Row],[Active Member]]=1,Gym_Expansion_Data[[#This Row],[Tier]],"Inactive")</f>
        <v>Basic</v>
      </c>
    </row>
    <row r="939" spans="1:8" x14ac:dyDescent="0.2">
      <c r="A939">
        <v>1938</v>
      </c>
      <c r="B939" t="s">
        <v>9</v>
      </c>
      <c r="C939" t="s">
        <v>8</v>
      </c>
      <c r="D939" s="1">
        <v>45562</v>
      </c>
      <c r="E939">
        <v>129</v>
      </c>
      <c r="F939">
        <v>0</v>
      </c>
      <c r="G939">
        <f>IF(Gym_Expansion_Data[[#This Row],[Churned]]=0,1,0)</f>
        <v>1</v>
      </c>
      <c r="H939" t="str">
        <f>IF(Gym_Expansion_Data[[#This Row],[Active Member]]=1,Gym_Expansion_Data[[#This Row],[Tier]],"Inactive")</f>
        <v>Elite</v>
      </c>
    </row>
    <row r="940" spans="1:8" x14ac:dyDescent="0.2">
      <c r="A940">
        <v>1939</v>
      </c>
      <c r="B940" t="s">
        <v>9</v>
      </c>
      <c r="C940" t="s">
        <v>12</v>
      </c>
      <c r="D940" s="1">
        <v>45660</v>
      </c>
      <c r="E940">
        <v>89</v>
      </c>
      <c r="F940">
        <v>0</v>
      </c>
      <c r="G940">
        <f>IF(Gym_Expansion_Data[[#This Row],[Churned]]=0,1,0)</f>
        <v>1</v>
      </c>
      <c r="H940" t="str">
        <f>IF(Gym_Expansion_Data[[#This Row],[Active Member]]=1,Gym_Expansion_Data[[#This Row],[Tier]],"Inactive")</f>
        <v>Premium</v>
      </c>
    </row>
    <row r="941" spans="1:8" x14ac:dyDescent="0.2">
      <c r="A941">
        <v>1940</v>
      </c>
      <c r="B941" t="s">
        <v>10</v>
      </c>
      <c r="C941" t="s">
        <v>7</v>
      </c>
      <c r="D941" s="1">
        <v>45632</v>
      </c>
      <c r="E941">
        <v>49</v>
      </c>
      <c r="F941">
        <v>0</v>
      </c>
      <c r="G941">
        <f>IF(Gym_Expansion_Data[[#This Row],[Churned]]=0,1,0)</f>
        <v>1</v>
      </c>
      <c r="H941" t="str">
        <f>IF(Gym_Expansion_Data[[#This Row],[Active Member]]=1,Gym_Expansion_Data[[#This Row],[Tier]],"Inactive")</f>
        <v>Basic</v>
      </c>
    </row>
    <row r="942" spans="1:8" x14ac:dyDescent="0.2">
      <c r="A942">
        <v>1941</v>
      </c>
      <c r="B942" t="s">
        <v>11</v>
      </c>
      <c r="C942" t="s">
        <v>7</v>
      </c>
      <c r="D942" s="1">
        <v>45525</v>
      </c>
      <c r="E942">
        <v>49</v>
      </c>
      <c r="F942">
        <v>0</v>
      </c>
      <c r="G942">
        <f>IF(Gym_Expansion_Data[[#This Row],[Churned]]=0,1,0)</f>
        <v>1</v>
      </c>
      <c r="H942" t="str">
        <f>IF(Gym_Expansion_Data[[#This Row],[Active Member]]=1,Gym_Expansion_Data[[#This Row],[Tier]],"Inactive")</f>
        <v>Basic</v>
      </c>
    </row>
    <row r="943" spans="1:8" x14ac:dyDescent="0.2">
      <c r="A943">
        <v>1942</v>
      </c>
      <c r="B943" t="s">
        <v>11</v>
      </c>
      <c r="C943" t="s">
        <v>7</v>
      </c>
      <c r="D943" s="1">
        <v>45892</v>
      </c>
      <c r="E943">
        <v>49</v>
      </c>
      <c r="F943">
        <v>0</v>
      </c>
      <c r="G943">
        <f>IF(Gym_Expansion_Data[[#This Row],[Churned]]=0,1,0)</f>
        <v>1</v>
      </c>
      <c r="H943" t="str">
        <f>IF(Gym_Expansion_Data[[#This Row],[Active Member]]=1,Gym_Expansion_Data[[#This Row],[Tier]],"Inactive")</f>
        <v>Basic</v>
      </c>
    </row>
    <row r="944" spans="1:8" x14ac:dyDescent="0.2">
      <c r="A944">
        <v>1943</v>
      </c>
      <c r="B944" t="s">
        <v>9</v>
      </c>
      <c r="C944" t="s">
        <v>12</v>
      </c>
      <c r="D944" s="1">
        <v>45789</v>
      </c>
      <c r="E944">
        <v>89</v>
      </c>
      <c r="F944">
        <v>0</v>
      </c>
      <c r="G944">
        <f>IF(Gym_Expansion_Data[[#This Row],[Churned]]=0,1,0)</f>
        <v>1</v>
      </c>
      <c r="H944" t="str">
        <f>IF(Gym_Expansion_Data[[#This Row],[Active Member]]=1,Gym_Expansion_Data[[#This Row],[Tier]],"Inactive")</f>
        <v>Premium</v>
      </c>
    </row>
    <row r="945" spans="1:8" x14ac:dyDescent="0.2">
      <c r="A945">
        <v>1944</v>
      </c>
      <c r="B945" t="s">
        <v>9</v>
      </c>
      <c r="C945" t="s">
        <v>8</v>
      </c>
      <c r="D945" s="1">
        <v>45530</v>
      </c>
      <c r="E945">
        <v>129</v>
      </c>
      <c r="F945">
        <v>0</v>
      </c>
      <c r="G945">
        <f>IF(Gym_Expansion_Data[[#This Row],[Churned]]=0,1,0)</f>
        <v>1</v>
      </c>
      <c r="H945" t="str">
        <f>IF(Gym_Expansion_Data[[#This Row],[Active Member]]=1,Gym_Expansion_Data[[#This Row],[Tier]],"Inactive")</f>
        <v>Elite</v>
      </c>
    </row>
    <row r="946" spans="1:8" x14ac:dyDescent="0.2">
      <c r="A946">
        <v>1945</v>
      </c>
      <c r="B946" t="s">
        <v>10</v>
      </c>
      <c r="C946" t="s">
        <v>12</v>
      </c>
      <c r="D946" s="1">
        <v>45544</v>
      </c>
      <c r="E946">
        <v>89</v>
      </c>
      <c r="F946">
        <v>0</v>
      </c>
      <c r="G946">
        <f>IF(Gym_Expansion_Data[[#This Row],[Churned]]=0,1,0)</f>
        <v>1</v>
      </c>
      <c r="H946" t="str">
        <f>IF(Gym_Expansion_Data[[#This Row],[Active Member]]=1,Gym_Expansion_Data[[#This Row],[Tier]],"Inactive")</f>
        <v>Premium</v>
      </c>
    </row>
    <row r="947" spans="1:8" x14ac:dyDescent="0.2">
      <c r="A947">
        <v>1946</v>
      </c>
      <c r="B947" t="s">
        <v>11</v>
      </c>
      <c r="C947" t="s">
        <v>8</v>
      </c>
      <c r="D947" s="1">
        <v>45412</v>
      </c>
      <c r="E947">
        <v>129</v>
      </c>
      <c r="F947">
        <v>0</v>
      </c>
      <c r="G947">
        <f>IF(Gym_Expansion_Data[[#This Row],[Churned]]=0,1,0)</f>
        <v>1</v>
      </c>
      <c r="H947" t="str">
        <f>IF(Gym_Expansion_Data[[#This Row],[Active Member]]=1,Gym_Expansion_Data[[#This Row],[Tier]],"Inactive")</f>
        <v>Elite</v>
      </c>
    </row>
    <row r="948" spans="1:8" x14ac:dyDescent="0.2">
      <c r="A948">
        <v>1947</v>
      </c>
      <c r="B948" t="s">
        <v>9</v>
      </c>
      <c r="C948" t="s">
        <v>12</v>
      </c>
      <c r="D948" s="1">
        <v>45349</v>
      </c>
      <c r="E948">
        <v>89</v>
      </c>
      <c r="F948">
        <v>0</v>
      </c>
      <c r="G948">
        <f>IF(Gym_Expansion_Data[[#This Row],[Churned]]=0,1,0)</f>
        <v>1</v>
      </c>
      <c r="H948" t="str">
        <f>IF(Gym_Expansion_Data[[#This Row],[Active Member]]=1,Gym_Expansion_Data[[#This Row],[Tier]],"Inactive")</f>
        <v>Premium</v>
      </c>
    </row>
    <row r="949" spans="1:8" x14ac:dyDescent="0.2">
      <c r="A949">
        <v>1948</v>
      </c>
      <c r="B949" t="s">
        <v>10</v>
      </c>
      <c r="C949" t="s">
        <v>7</v>
      </c>
      <c r="D949" s="1">
        <v>45503</v>
      </c>
      <c r="E949">
        <v>49</v>
      </c>
      <c r="F949">
        <v>0</v>
      </c>
      <c r="G949">
        <f>IF(Gym_Expansion_Data[[#This Row],[Churned]]=0,1,0)</f>
        <v>1</v>
      </c>
      <c r="H949" t="str">
        <f>IF(Gym_Expansion_Data[[#This Row],[Active Member]]=1,Gym_Expansion_Data[[#This Row],[Tier]],"Inactive")</f>
        <v>Basic</v>
      </c>
    </row>
    <row r="950" spans="1:8" x14ac:dyDescent="0.2">
      <c r="A950">
        <v>1949</v>
      </c>
      <c r="B950" t="s">
        <v>11</v>
      </c>
      <c r="C950" t="s">
        <v>7</v>
      </c>
      <c r="D950" s="1">
        <v>45400</v>
      </c>
      <c r="E950">
        <v>49</v>
      </c>
      <c r="F950">
        <v>0</v>
      </c>
      <c r="G950">
        <f>IF(Gym_Expansion_Data[[#This Row],[Churned]]=0,1,0)</f>
        <v>1</v>
      </c>
      <c r="H950" t="str">
        <f>IF(Gym_Expansion_Data[[#This Row],[Active Member]]=1,Gym_Expansion_Data[[#This Row],[Tier]],"Inactive")</f>
        <v>Basic</v>
      </c>
    </row>
    <row r="951" spans="1:8" x14ac:dyDescent="0.2">
      <c r="A951">
        <v>1950</v>
      </c>
      <c r="B951" t="s">
        <v>9</v>
      </c>
      <c r="C951" t="s">
        <v>12</v>
      </c>
      <c r="D951" s="1">
        <v>45675</v>
      </c>
      <c r="E951">
        <v>89</v>
      </c>
      <c r="F951">
        <v>1</v>
      </c>
      <c r="G951">
        <f>IF(Gym_Expansion_Data[[#This Row],[Churned]]=0,1,0)</f>
        <v>0</v>
      </c>
      <c r="H951" t="str">
        <f>IF(Gym_Expansion_Data[[#This Row],[Active Member]]=1,Gym_Expansion_Data[[#This Row],[Tier]],"Inactive")</f>
        <v>Inactive</v>
      </c>
    </row>
    <row r="952" spans="1:8" x14ac:dyDescent="0.2">
      <c r="A952">
        <v>1951</v>
      </c>
      <c r="B952" t="s">
        <v>9</v>
      </c>
      <c r="C952" t="s">
        <v>7</v>
      </c>
      <c r="D952" s="1">
        <v>45408</v>
      </c>
      <c r="E952">
        <v>49</v>
      </c>
      <c r="F952">
        <v>0</v>
      </c>
      <c r="G952">
        <f>IF(Gym_Expansion_Data[[#This Row],[Churned]]=0,1,0)</f>
        <v>1</v>
      </c>
      <c r="H952" t="str">
        <f>IF(Gym_Expansion_Data[[#This Row],[Active Member]]=1,Gym_Expansion_Data[[#This Row],[Tier]],"Inactive")</f>
        <v>Basic</v>
      </c>
    </row>
    <row r="953" spans="1:8" x14ac:dyDescent="0.2">
      <c r="A953">
        <v>1952</v>
      </c>
      <c r="B953" t="s">
        <v>11</v>
      </c>
      <c r="C953" t="s">
        <v>8</v>
      </c>
      <c r="D953" s="1">
        <v>45861</v>
      </c>
      <c r="E953">
        <v>129</v>
      </c>
      <c r="F953">
        <v>0</v>
      </c>
      <c r="G953">
        <f>IF(Gym_Expansion_Data[[#This Row],[Churned]]=0,1,0)</f>
        <v>1</v>
      </c>
      <c r="H953" t="str">
        <f>IF(Gym_Expansion_Data[[#This Row],[Active Member]]=1,Gym_Expansion_Data[[#This Row],[Tier]],"Inactive")</f>
        <v>Elite</v>
      </c>
    </row>
    <row r="954" spans="1:8" x14ac:dyDescent="0.2">
      <c r="A954">
        <v>1953</v>
      </c>
      <c r="B954" t="s">
        <v>9</v>
      </c>
      <c r="C954" t="s">
        <v>7</v>
      </c>
      <c r="D954" s="1">
        <v>45453</v>
      </c>
      <c r="E954">
        <v>49</v>
      </c>
      <c r="F954">
        <v>0</v>
      </c>
      <c r="G954">
        <f>IF(Gym_Expansion_Data[[#This Row],[Churned]]=0,1,0)</f>
        <v>1</v>
      </c>
      <c r="H954" t="str">
        <f>IF(Gym_Expansion_Data[[#This Row],[Active Member]]=1,Gym_Expansion_Data[[#This Row],[Tier]],"Inactive")</f>
        <v>Basic</v>
      </c>
    </row>
    <row r="955" spans="1:8" x14ac:dyDescent="0.2">
      <c r="A955">
        <v>1954</v>
      </c>
      <c r="B955" t="s">
        <v>10</v>
      </c>
      <c r="C955" t="s">
        <v>12</v>
      </c>
      <c r="D955" s="1">
        <v>45881</v>
      </c>
      <c r="E955">
        <v>89</v>
      </c>
      <c r="F955">
        <v>0</v>
      </c>
      <c r="G955">
        <f>IF(Gym_Expansion_Data[[#This Row],[Churned]]=0,1,0)</f>
        <v>1</v>
      </c>
      <c r="H955" t="str">
        <f>IF(Gym_Expansion_Data[[#This Row],[Active Member]]=1,Gym_Expansion_Data[[#This Row],[Tier]],"Inactive")</f>
        <v>Premium</v>
      </c>
    </row>
    <row r="956" spans="1:8" x14ac:dyDescent="0.2">
      <c r="A956">
        <v>1955</v>
      </c>
      <c r="B956" t="s">
        <v>11</v>
      </c>
      <c r="C956" t="s">
        <v>12</v>
      </c>
      <c r="D956" s="1">
        <v>45806</v>
      </c>
      <c r="E956">
        <v>89</v>
      </c>
      <c r="F956">
        <v>0</v>
      </c>
      <c r="G956">
        <f>IF(Gym_Expansion_Data[[#This Row],[Churned]]=0,1,0)</f>
        <v>1</v>
      </c>
      <c r="H956" t="str">
        <f>IF(Gym_Expansion_Data[[#This Row],[Active Member]]=1,Gym_Expansion_Data[[#This Row],[Tier]],"Inactive")</f>
        <v>Premium</v>
      </c>
    </row>
    <row r="957" spans="1:8" x14ac:dyDescent="0.2">
      <c r="A957">
        <v>1956</v>
      </c>
      <c r="B957" t="s">
        <v>10</v>
      </c>
      <c r="C957" t="s">
        <v>8</v>
      </c>
      <c r="D957" s="1">
        <v>45629</v>
      </c>
      <c r="E957">
        <v>129</v>
      </c>
      <c r="F957">
        <v>0</v>
      </c>
      <c r="G957">
        <f>IF(Gym_Expansion_Data[[#This Row],[Churned]]=0,1,0)</f>
        <v>1</v>
      </c>
      <c r="H957" t="str">
        <f>IF(Gym_Expansion_Data[[#This Row],[Active Member]]=1,Gym_Expansion_Data[[#This Row],[Tier]],"Inactive")</f>
        <v>Elite</v>
      </c>
    </row>
    <row r="958" spans="1:8" x14ac:dyDescent="0.2">
      <c r="A958">
        <v>1957</v>
      </c>
      <c r="B958" t="s">
        <v>10</v>
      </c>
      <c r="C958" t="s">
        <v>8</v>
      </c>
      <c r="D958" s="1">
        <v>45631</v>
      </c>
      <c r="E958">
        <v>129</v>
      </c>
      <c r="F958">
        <v>0</v>
      </c>
      <c r="G958">
        <f>IF(Gym_Expansion_Data[[#This Row],[Churned]]=0,1,0)</f>
        <v>1</v>
      </c>
      <c r="H958" t="str">
        <f>IF(Gym_Expansion_Data[[#This Row],[Active Member]]=1,Gym_Expansion_Data[[#This Row],[Tier]],"Inactive")</f>
        <v>Elite</v>
      </c>
    </row>
    <row r="959" spans="1:8" x14ac:dyDescent="0.2">
      <c r="A959">
        <v>1958</v>
      </c>
      <c r="B959" t="s">
        <v>6</v>
      </c>
      <c r="C959" t="s">
        <v>7</v>
      </c>
      <c r="D959" s="1">
        <v>45723</v>
      </c>
      <c r="E959">
        <v>49</v>
      </c>
      <c r="F959">
        <v>1</v>
      </c>
      <c r="G959">
        <f>IF(Gym_Expansion_Data[[#This Row],[Churned]]=0,1,0)</f>
        <v>0</v>
      </c>
      <c r="H959" t="str">
        <f>IF(Gym_Expansion_Data[[#This Row],[Active Member]]=1,Gym_Expansion_Data[[#This Row],[Tier]],"Inactive")</f>
        <v>Inactive</v>
      </c>
    </row>
    <row r="960" spans="1:8" x14ac:dyDescent="0.2">
      <c r="A960">
        <v>1959</v>
      </c>
      <c r="B960" t="s">
        <v>10</v>
      </c>
      <c r="C960" t="s">
        <v>7</v>
      </c>
      <c r="D960" s="1">
        <v>45650</v>
      </c>
      <c r="E960">
        <v>49</v>
      </c>
      <c r="F960">
        <v>0</v>
      </c>
      <c r="G960">
        <f>IF(Gym_Expansion_Data[[#This Row],[Churned]]=0,1,0)</f>
        <v>1</v>
      </c>
      <c r="H960" t="str">
        <f>IF(Gym_Expansion_Data[[#This Row],[Active Member]]=1,Gym_Expansion_Data[[#This Row],[Tier]],"Inactive")</f>
        <v>Basic</v>
      </c>
    </row>
    <row r="961" spans="1:8" x14ac:dyDescent="0.2">
      <c r="A961">
        <v>1960</v>
      </c>
      <c r="B961" t="s">
        <v>10</v>
      </c>
      <c r="C961" t="s">
        <v>12</v>
      </c>
      <c r="D961" s="1">
        <v>45328</v>
      </c>
      <c r="E961">
        <v>89</v>
      </c>
      <c r="F961">
        <v>0</v>
      </c>
      <c r="G961">
        <f>IF(Gym_Expansion_Data[[#This Row],[Churned]]=0,1,0)</f>
        <v>1</v>
      </c>
      <c r="H961" t="str">
        <f>IF(Gym_Expansion_Data[[#This Row],[Active Member]]=1,Gym_Expansion_Data[[#This Row],[Tier]],"Inactive")</f>
        <v>Premium</v>
      </c>
    </row>
    <row r="962" spans="1:8" x14ac:dyDescent="0.2">
      <c r="A962">
        <v>1961</v>
      </c>
      <c r="B962" t="s">
        <v>11</v>
      </c>
      <c r="C962" t="s">
        <v>7</v>
      </c>
      <c r="D962" s="1">
        <v>45960</v>
      </c>
      <c r="E962">
        <v>49</v>
      </c>
      <c r="F962">
        <v>1</v>
      </c>
      <c r="G962">
        <f>IF(Gym_Expansion_Data[[#This Row],[Churned]]=0,1,0)</f>
        <v>0</v>
      </c>
      <c r="H962" t="str">
        <f>IF(Gym_Expansion_Data[[#This Row],[Active Member]]=1,Gym_Expansion_Data[[#This Row],[Tier]],"Inactive")</f>
        <v>Inactive</v>
      </c>
    </row>
    <row r="963" spans="1:8" x14ac:dyDescent="0.2">
      <c r="A963">
        <v>1962</v>
      </c>
      <c r="B963" t="s">
        <v>10</v>
      </c>
      <c r="C963" t="s">
        <v>8</v>
      </c>
      <c r="D963" s="1">
        <v>45664</v>
      </c>
      <c r="E963">
        <v>129</v>
      </c>
      <c r="F963">
        <v>0</v>
      </c>
      <c r="G963">
        <f>IF(Gym_Expansion_Data[[#This Row],[Churned]]=0,1,0)</f>
        <v>1</v>
      </c>
      <c r="H963" t="str">
        <f>IF(Gym_Expansion_Data[[#This Row],[Active Member]]=1,Gym_Expansion_Data[[#This Row],[Tier]],"Inactive")</f>
        <v>Elite</v>
      </c>
    </row>
    <row r="964" spans="1:8" x14ac:dyDescent="0.2">
      <c r="A964">
        <v>1963</v>
      </c>
      <c r="B964" t="s">
        <v>9</v>
      </c>
      <c r="C964" t="s">
        <v>7</v>
      </c>
      <c r="D964" s="1">
        <v>45864</v>
      </c>
      <c r="E964">
        <v>49</v>
      </c>
      <c r="F964">
        <v>0</v>
      </c>
      <c r="G964">
        <f>IF(Gym_Expansion_Data[[#This Row],[Churned]]=0,1,0)</f>
        <v>1</v>
      </c>
      <c r="H964" t="str">
        <f>IF(Gym_Expansion_Data[[#This Row],[Active Member]]=1,Gym_Expansion_Data[[#This Row],[Tier]],"Inactive")</f>
        <v>Basic</v>
      </c>
    </row>
    <row r="965" spans="1:8" x14ac:dyDescent="0.2">
      <c r="A965">
        <v>1964</v>
      </c>
      <c r="B965" t="s">
        <v>6</v>
      </c>
      <c r="C965" t="s">
        <v>7</v>
      </c>
      <c r="D965" s="1">
        <v>45531</v>
      </c>
      <c r="E965">
        <v>49</v>
      </c>
      <c r="F965">
        <v>1</v>
      </c>
      <c r="G965">
        <f>IF(Gym_Expansion_Data[[#This Row],[Churned]]=0,1,0)</f>
        <v>0</v>
      </c>
      <c r="H965" t="str">
        <f>IF(Gym_Expansion_Data[[#This Row],[Active Member]]=1,Gym_Expansion_Data[[#This Row],[Tier]],"Inactive")</f>
        <v>Inactive</v>
      </c>
    </row>
    <row r="966" spans="1:8" x14ac:dyDescent="0.2">
      <c r="A966">
        <v>1965</v>
      </c>
      <c r="B966" t="s">
        <v>9</v>
      </c>
      <c r="C966" t="s">
        <v>7</v>
      </c>
      <c r="D966" s="1">
        <v>45600</v>
      </c>
      <c r="E966">
        <v>49</v>
      </c>
      <c r="F966">
        <v>0</v>
      </c>
      <c r="G966">
        <f>IF(Gym_Expansion_Data[[#This Row],[Churned]]=0,1,0)</f>
        <v>1</v>
      </c>
      <c r="H966" t="str">
        <f>IF(Gym_Expansion_Data[[#This Row],[Active Member]]=1,Gym_Expansion_Data[[#This Row],[Tier]],"Inactive")</f>
        <v>Basic</v>
      </c>
    </row>
    <row r="967" spans="1:8" x14ac:dyDescent="0.2">
      <c r="A967">
        <v>1966</v>
      </c>
      <c r="B967" t="s">
        <v>6</v>
      </c>
      <c r="C967" t="s">
        <v>7</v>
      </c>
      <c r="D967" s="1">
        <v>45861</v>
      </c>
      <c r="E967">
        <v>49</v>
      </c>
      <c r="F967">
        <v>0</v>
      </c>
      <c r="G967">
        <f>IF(Gym_Expansion_Data[[#This Row],[Churned]]=0,1,0)</f>
        <v>1</v>
      </c>
      <c r="H967" t="str">
        <f>IF(Gym_Expansion_Data[[#This Row],[Active Member]]=1,Gym_Expansion_Data[[#This Row],[Tier]],"Inactive")</f>
        <v>Basic</v>
      </c>
    </row>
    <row r="968" spans="1:8" x14ac:dyDescent="0.2">
      <c r="A968">
        <v>1967</v>
      </c>
      <c r="B968" t="s">
        <v>9</v>
      </c>
      <c r="C968" t="s">
        <v>7</v>
      </c>
      <c r="D968" s="1">
        <v>45590</v>
      </c>
      <c r="E968">
        <v>49</v>
      </c>
      <c r="F968">
        <v>0</v>
      </c>
      <c r="G968">
        <f>IF(Gym_Expansion_Data[[#This Row],[Churned]]=0,1,0)</f>
        <v>1</v>
      </c>
      <c r="H968" t="str">
        <f>IF(Gym_Expansion_Data[[#This Row],[Active Member]]=1,Gym_Expansion_Data[[#This Row],[Tier]],"Inactive")</f>
        <v>Basic</v>
      </c>
    </row>
    <row r="969" spans="1:8" x14ac:dyDescent="0.2">
      <c r="A969">
        <v>1968</v>
      </c>
      <c r="B969" t="s">
        <v>9</v>
      </c>
      <c r="C969" t="s">
        <v>8</v>
      </c>
      <c r="D969" s="1">
        <v>45663</v>
      </c>
      <c r="E969">
        <v>129</v>
      </c>
      <c r="F969">
        <v>0</v>
      </c>
      <c r="G969">
        <f>IF(Gym_Expansion_Data[[#This Row],[Churned]]=0,1,0)</f>
        <v>1</v>
      </c>
      <c r="H969" t="str">
        <f>IF(Gym_Expansion_Data[[#This Row],[Active Member]]=1,Gym_Expansion_Data[[#This Row],[Tier]],"Inactive")</f>
        <v>Elite</v>
      </c>
    </row>
    <row r="970" spans="1:8" x14ac:dyDescent="0.2">
      <c r="A970">
        <v>1969</v>
      </c>
      <c r="B970" t="s">
        <v>10</v>
      </c>
      <c r="C970" t="s">
        <v>7</v>
      </c>
      <c r="D970" s="1">
        <v>45367</v>
      </c>
      <c r="E970">
        <v>49</v>
      </c>
      <c r="F970">
        <v>0</v>
      </c>
      <c r="G970">
        <f>IF(Gym_Expansion_Data[[#This Row],[Churned]]=0,1,0)</f>
        <v>1</v>
      </c>
      <c r="H970" t="str">
        <f>IF(Gym_Expansion_Data[[#This Row],[Active Member]]=1,Gym_Expansion_Data[[#This Row],[Tier]],"Inactive")</f>
        <v>Basic</v>
      </c>
    </row>
    <row r="971" spans="1:8" x14ac:dyDescent="0.2">
      <c r="A971">
        <v>1970</v>
      </c>
      <c r="B971" t="s">
        <v>9</v>
      </c>
      <c r="C971" t="s">
        <v>8</v>
      </c>
      <c r="D971" s="1">
        <v>45627</v>
      </c>
      <c r="E971">
        <v>129</v>
      </c>
      <c r="F971">
        <v>0</v>
      </c>
      <c r="G971">
        <f>IF(Gym_Expansion_Data[[#This Row],[Churned]]=0,1,0)</f>
        <v>1</v>
      </c>
      <c r="H971" t="str">
        <f>IF(Gym_Expansion_Data[[#This Row],[Active Member]]=1,Gym_Expansion_Data[[#This Row],[Tier]],"Inactive")</f>
        <v>Elite</v>
      </c>
    </row>
    <row r="972" spans="1:8" x14ac:dyDescent="0.2">
      <c r="A972">
        <v>1971</v>
      </c>
      <c r="B972" t="s">
        <v>11</v>
      </c>
      <c r="C972" t="s">
        <v>7</v>
      </c>
      <c r="D972" s="1">
        <v>45617</v>
      </c>
      <c r="E972">
        <v>49</v>
      </c>
      <c r="F972">
        <v>0</v>
      </c>
      <c r="G972">
        <f>IF(Gym_Expansion_Data[[#This Row],[Churned]]=0,1,0)</f>
        <v>1</v>
      </c>
      <c r="H972" t="str">
        <f>IF(Gym_Expansion_Data[[#This Row],[Active Member]]=1,Gym_Expansion_Data[[#This Row],[Tier]],"Inactive")</f>
        <v>Basic</v>
      </c>
    </row>
    <row r="973" spans="1:8" x14ac:dyDescent="0.2">
      <c r="A973">
        <v>1972</v>
      </c>
      <c r="B973" t="s">
        <v>11</v>
      </c>
      <c r="C973" t="s">
        <v>8</v>
      </c>
      <c r="D973" s="1">
        <v>45913</v>
      </c>
      <c r="E973">
        <v>129</v>
      </c>
      <c r="F973">
        <v>0</v>
      </c>
      <c r="G973">
        <f>IF(Gym_Expansion_Data[[#This Row],[Churned]]=0,1,0)</f>
        <v>1</v>
      </c>
      <c r="H973" t="str">
        <f>IF(Gym_Expansion_Data[[#This Row],[Active Member]]=1,Gym_Expansion_Data[[#This Row],[Tier]],"Inactive")</f>
        <v>Elite</v>
      </c>
    </row>
    <row r="974" spans="1:8" x14ac:dyDescent="0.2">
      <c r="A974">
        <v>1973</v>
      </c>
      <c r="B974" t="s">
        <v>10</v>
      </c>
      <c r="C974" t="s">
        <v>7</v>
      </c>
      <c r="D974" s="1">
        <v>45438</v>
      </c>
      <c r="E974">
        <v>49</v>
      </c>
      <c r="F974">
        <v>0</v>
      </c>
      <c r="G974">
        <f>IF(Gym_Expansion_Data[[#This Row],[Churned]]=0,1,0)</f>
        <v>1</v>
      </c>
      <c r="H974" t="str">
        <f>IF(Gym_Expansion_Data[[#This Row],[Active Member]]=1,Gym_Expansion_Data[[#This Row],[Tier]],"Inactive")</f>
        <v>Basic</v>
      </c>
    </row>
    <row r="975" spans="1:8" x14ac:dyDescent="0.2">
      <c r="A975">
        <v>1974</v>
      </c>
      <c r="B975" t="s">
        <v>11</v>
      </c>
      <c r="C975" t="s">
        <v>8</v>
      </c>
      <c r="D975" s="1">
        <v>45417</v>
      </c>
      <c r="E975">
        <v>129</v>
      </c>
      <c r="F975">
        <v>0</v>
      </c>
      <c r="G975">
        <f>IF(Gym_Expansion_Data[[#This Row],[Churned]]=0,1,0)</f>
        <v>1</v>
      </c>
      <c r="H975" t="str">
        <f>IF(Gym_Expansion_Data[[#This Row],[Active Member]]=1,Gym_Expansion_Data[[#This Row],[Tier]],"Inactive")</f>
        <v>Elite</v>
      </c>
    </row>
    <row r="976" spans="1:8" x14ac:dyDescent="0.2">
      <c r="A976">
        <v>1975</v>
      </c>
      <c r="B976" t="s">
        <v>9</v>
      </c>
      <c r="C976" t="s">
        <v>12</v>
      </c>
      <c r="D976" s="1">
        <v>45582</v>
      </c>
      <c r="E976">
        <v>89</v>
      </c>
      <c r="F976">
        <v>0</v>
      </c>
      <c r="G976">
        <f>IF(Gym_Expansion_Data[[#This Row],[Churned]]=0,1,0)</f>
        <v>1</v>
      </c>
      <c r="H976" t="str">
        <f>IF(Gym_Expansion_Data[[#This Row],[Active Member]]=1,Gym_Expansion_Data[[#This Row],[Tier]],"Inactive")</f>
        <v>Premium</v>
      </c>
    </row>
    <row r="977" spans="1:8" x14ac:dyDescent="0.2">
      <c r="A977">
        <v>1976</v>
      </c>
      <c r="B977" t="s">
        <v>9</v>
      </c>
      <c r="C977" t="s">
        <v>12</v>
      </c>
      <c r="D977" s="1">
        <v>45750</v>
      </c>
      <c r="E977">
        <v>89</v>
      </c>
      <c r="F977">
        <v>0</v>
      </c>
      <c r="G977">
        <f>IF(Gym_Expansion_Data[[#This Row],[Churned]]=0,1,0)</f>
        <v>1</v>
      </c>
      <c r="H977" t="str">
        <f>IF(Gym_Expansion_Data[[#This Row],[Active Member]]=1,Gym_Expansion_Data[[#This Row],[Tier]],"Inactive")</f>
        <v>Premium</v>
      </c>
    </row>
    <row r="978" spans="1:8" x14ac:dyDescent="0.2">
      <c r="A978">
        <v>1977</v>
      </c>
      <c r="B978" t="s">
        <v>9</v>
      </c>
      <c r="C978" t="s">
        <v>8</v>
      </c>
      <c r="D978" s="1">
        <v>45540</v>
      </c>
      <c r="E978">
        <v>129</v>
      </c>
      <c r="F978">
        <v>0</v>
      </c>
      <c r="G978">
        <f>IF(Gym_Expansion_Data[[#This Row],[Churned]]=0,1,0)</f>
        <v>1</v>
      </c>
      <c r="H978" t="str">
        <f>IF(Gym_Expansion_Data[[#This Row],[Active Member]]=1,Gym_Expansion_Data[[#This Row],[Tier]],"Inactive")</f>
        <v>Elite</v>
      </c>
    </row>
    <row r="979" spans="1:8" x14ac:dyDescent="0.2">
      <c r="A979">
        <v>1978</v>
      </c>
      <c r="B979" t="s">
        <v>11</v>
      </c>
      <c r="C979" t="s">
        <v>12</v>
      </c>
      <c r="D979" s="1">
        <v>45925</v>
      </c>
      <c r="E979">
        <v>89</v>
      </c>
      <c r="F979">
        <v>0</v>
      </c>
      <c r="G979">
        <f>IF(Gym_Expansion_Data[[#This Row],[Churned]]=0,1,0)</f>
        <v>1</v>
      </c>
      <c r="H979" t="str">
        <f>IF(Gym_Expansion_Data[[#This Row],[Active Member]]=1,Gym_Expansion_Data[[#This Row],[Tier]],"Inactive")</f>
        <v>Premium</v>
      </c>
    </row>
    <row r="980" spans="1:8" x14ac:dyDescent="0.2">
      <c r="A980">
        <v>1979</v>
      </c>
      <c r="B980" t="s">
        <v>10</v>
      </c>
      <c r="C980" t="s">
        <v>7</v>
      </c>
      <c r="D980" s="1">
        <v>45513</v>
      </c>
      <c r="E980">
        <v>49</v>
      </c>
      <c r="F980">
        <v>0</v>
      </c>
      <c r="G980">
        <f>IF(Gym_Expansion_Data[[#This Row],[Churned]]=0,1,0)</f>
        <v>1</v>
      </c>
      <c r="H980" t="str">
        <f>IF(Gym_Expansion_Data[[#This Row],[Active Member]]=1,Gym_Expansion_Data[[#This Row],[Tier]],"Inactive")</f>
        <v>Basic</v>
      </c>
    </row>
    <row r="981" spans="1:8" x14ac:dyDescent="0.2">
      <c r="A981">
        <v>1980</v>
      </c>
      <c r="B981" t="s">
        <v>9</v>
      </c>
      <c r="C981" t="s">
        <v>8</v>
      </c>
      <c r="D981" s="1">
        <v>45600</v>
      </c>
      <c r="E981">
        <v>129</v>
      </c>
      <c r="F981">
        <v>0</v>
      </c>
      <c r="G981">
        <f>IF(Gym_Expansion_Data[[#This Row],[Churned]]=0,1,0)</f>
        <v>1</v>
      </c>
      <c r="H981" t="str">
        <f>IF(Gym_Expansion_Data[[#This Row],[Active Member]]=1,Gym_Expansion_Data[[#This Row],[Tier]],"Inactive")</f>
        <v>Elite</v>
      </c>
    </row>
    <row r="982" spans="1:8" x14ac:dyDescent="0.2">
      <c r="A982">
        <v>1981</v>
      </c>
      <c r="B982" t="s">
        <v>11</v>
      </c>
      <c r="C982" t="s">
        <v>7</v>
      </c>
      <c r="D982" s="1">
        <v>45295</v>
      </c>
      <c r="E982">
        <v>49</v>
      </c>
      <c r="F982">
        <v>0</v>
      </c>
      <c r="G982">
        <f>IF(Gym_Expansion_Data[[#This Row],[Churned]]=0,1,0)</f>
        <v>1</v>
      </c>
      <c r="H982" t="str">
        <f>IF(Gym_Expansion_Data[[#This Row],[Active Member]]=1,Gym_Expansion_Data[[#This Row],[Tier]],"Inactive")</f>
        <v>Basic</v>
      </c>
    </row>
    <row r="983" spans="1:8" x14ac:dyDescent="0.2">
      <c r="A983">
        <v>1982</v>
      </c>
      <c r="B983" t="s">
        <v>9</v>
      </c>
      <c r="C983" t="s">
        <v>7</v>
      </c>
      <c r="D983" s="1">
        <v>45377</v>
      </c>
      <c r="E983">
        <v>49</v>
      </c>
      <c r="F983">
        <v>0</v>
      </c>
      <c r="G983">
        <f>IF(Gym_Expansion_Data[[#This Row],[Churned]]=0,1,0)</f>
        <v>1</v>
      </c>
      <c r="H983" t="str">
        <f>IF(Gym_Expansion_Data[[#This Row],[Active Member]]=1,Gym_Expansion_Data[[#This Row],[Tier]],"Inactive")</f>
        <v>Basic</v>
      </c>
    </row>
    <row r="984" spans="1:8" x14ac:dyDescent="0.2">
      <c r="A984">
        <v>1983</v>
      </c>
      <c r="B984" t="s">
        <v>11</v>
      </c>
      <c r="C984" t="s">
        <v>12</v>
      </c>
      <c r="D984" s="1">
        <v>45797</v>
      </c>
      <c r="E984">
        <v>89</v>
      </c>
      <c r="F984">
        <v>0</v>
      </c>
      <c r="G984">
        <f>IF(Gym_Expansion_Data[[#This Row],[Churned]]=0,1,0)</f>
        <v>1</v>
      </c>
      <c r="H984" t="str">
        <f>IF(Gym_Expansion_Data[[#This Row],[Active Member]]=1,Gym_Expansion_Data[[#This Row],[Tier]],"Inactive")</f>
        <v>Premium</v>
      </c>
    </row>
    <row r="985" spans="1:8" x14ac:dyDescent="0.2">
      <c r="A985">
        <v>1984</v>
      </c>
      <c r="B985" t="s">
        <v>10</v>
      </c>
      <c r="C985" t="s">
        <v>8</v>
      </c>
      <c r="D985" s="1">
        <v>45682</v>
      </c>
      <c r="E985">
        <v>129</v>
      </c>
      <c r="F985">
        <v>0</v>
      </c>
      <c r="G985">
        <f>IF(Gym_Expansion_Data[[#This Row],[Churned]]=0,1,0)</f>
        <v>1</v>
      </c>
      <c r="H985" t="str">
        <f>IF(Gym_Expansion_Data[[#This Row],[Active Member]]=1,Gym_Expansion_Data[[#This Row],[Tier]],"Inactive")</f>
        <v>Elite</v>
      </c>
    </row>
    <row r="986" spans="1:8" x14ac:dyDescent="0.2">
      <c r="A986">
        <v>1985</v>
      </c>
      <c r="B986" t="s">
        <v>11</v>
      </c>
      <c r="C986" t="s">
        <v>7</v>
      </c>
      <c r="D986" s="1">
        <v>45840</v>
      </c>
      <c r="E986">
        <v>49</v>
      </c>
      <c r="F986">
        <v>0</v>
      </c>
      <c r="G986">
        <f>IF(Gym_Expansion_Data[[#This Row],[Churned]]=0,1,0)</f>
        <v>1</v>
      </c>
      <c r="H986" t="str">
        <f>IF(Gym_Expansion_Data[[#This Row],[Active Member]]=1,Gym_Expansion_Data[[#This Row],[Tier]],"Inactive")</f>
        <v>Basic</v>
      </c>
    </row>
    <row r="987" spans="1:8" x14ac:dyDescent="0.2">
      <c r="A987">
        <v>1986</v>
      </c>
      <c r="B987" t="s">
        <v>9</v>
      </c>
      <c r="C987" t="s">
        <v>7</v>
      </c>
      <c r="D987" s="1">
        <v>45331</v>
      </c>
      <c r="E987">
        <v>49</v>
      </c>
      <c r="F987">
        <v>1</v>
      </c>
      <c r="G987">
        <f>IF(Gym_Expansion_Data[[#This Row],[Churned]]=0,1,0)</f>
        <v>0</v>
      </c>
      <c r="H987" t="str">
        <f>IF(Gym_Expansion_Data[[#This Row],[Active Member]]=1,Gym_Expansion_Data[[#This Row],[Tier]],"Inactive")</f>
        <v>Inactive</v>
      </c>
    </row>
    <row r="988" spans="1:8" x14ac:dyDescent="0.2">
      <c r="A988">
        <v>1987</v>
      </c>
      <c r="B988" t="s">
        <v>6</v>
      </c>
      <c r="C988" t="s">
        <v>7</v>
      </c>
      <c r="D988" s="1">
        <v>45489</v>
      </c>
      <c r="E988">
        <v>49</v>
      </c>
      <c r="F988">
        <v>0</v>
      </c>
      <c r="G988">
        <f>IF(Gym_Expansion_Data[[#This Row],[Churned]]=0,1,0)</f>
        <v>1</v>
      </c>
      <c r="H988" t="str">
        <f>IF(Gym_Expansion_Data[[#This Row],[Active Member]]=1,Gym_Expansion_Data[[#This Row],[Tier]],"Inactive")</f>
        <v>Basic</v>
      </c>
    </row>
    <row r="989" spans="1:8" x14ac:dyDescent="0.2">
      <c r="A989">
        <v>1988</v>
      </c>
      <c r="B989" t="s">
        <v>9</v>
      </c>
      <c r="C989" t="s">
        <v>8</v>
      </c>
      <c r="D989" s="1">
        <v>45605</v>
      </c>
      <c r="E989">
        <v>129</v>
      </c>
      <c r="F989">
        <v>1</v>
      </c>
      <c r="G989">
        <f>IF(Gym_Expansion_Data[[#This Row],[Churned]]=0,1,0)</f>
        <v>0</v>
      </c>
      <c r="H989" t="str">
        <f>IF(Gym_Expansion_Data[[#This Row],[Active Member]]=1,Gym_Expansion_Data[[#This Row],[Tier]],"Inactive")</f>
        <v>Inactive</v>
      </c>
    </row>
    <row r="990" spans="1:8" x14ac:dyDescent="0.2">
      <c r="A990">
        <v>1989</v>
      </c>
      <c r="B990" t="s">
        <v>9</v>
      </c>
      <c r="C990" t="s">
        <v>12</v>
      </c>
      <c r="D990" s="1">
        <v>45756</v>
      </c>
      <c r="E990">
        <v>89</v>
      </c>
      <c r="F990">
        <v>0</v>
      </c>
      <c r="G990">
        <f>IF(Gym_Expansion_Data[[#This Row],[Churned]]=0,1,0)</f>
        <v>1</v>
      </c>
      <c r="H990" t="str">
        <f>IF(Gym_Expansion_Data[[#This Row],[Active Member]]=1,Gym_Expansion_Data[[#This Row],[Tier]],"Inactive")</f>
        <v>Premium</v>
      </c>
    </row>
    <row r="991" spans="1:8" x14ac:dyDescent="0.2">
      <c r="A991">
        <v>1990</v>
      </c>
      <c r="B991" t="s">
        <v>6</v>
      </c>
      <c r="C991" t="s">
        <v>7</v>
      </c>
      <c r="D991" s="1">
        <v>45417</v>
      </c>
      <c r="E991">
        <v>49</v>
      </c>
      <c r="F991">
        <v>0</v>
      </c>
      <c r="G991">
        <f>IF(Gym_Expansion_Data[[#This Row],[Churned]]=0,1,0)</f>
        <v>1</v>
      </c>
      <c r="H991" t="str">
        <f>IF(Gym_Expansion_Data[[#This Row],[Active Member]]=1,Gym_Expansion_Data[[#This Row],[Tier]],"Inactive")</f>
        <v>Basic</v>
      </c>
    </row>
    <row r="992" spans="1:8" x14ac:dyDescent="0.2">
      <c r="A992">
        <v>1991</v>
      </c>
      <c r="B992" t="s">
        <v>10</v>
      </c>
      <c r="C992" t="s">
        <v>7</v>
      </c>
      <c r="D992" s="1">
        <v>45946</v>
      </c>
      <c r="E992">
        <v>49</v>
      </c>
      <c r="F992">
        <v>0</v>
      </c>
      <c r="G992">
        <f>IF(Gym_Expansion_Data[[#This Row],[Churned]]=0,1,0)</f>
        <v>1</v>
      </c>
      <c r="H992" t="str">
        <f>IF(Gym_Expansion_Data[[#This Row],[Active Member]]=1,Gym_Expansion_Data[[#This Row],[Tier]],"Inactive")</f>
        <v>Basic</v>
      </c>
    </row>
    <row r="993" spans="1:8" x14ac:dyDescent="0.2">
      <c r="A993">
        <v>1992</v>
      </c>
      <c r="B993" t="s">
        <v>9</v>
      </c>
      <c r="C993" t="s">
        <v>8</v>
      </c>
      <c r="D993" s="1">
        <v>45916</v>
      </c>
      <c r="E993">
        <v>129</v>
      </c>
      <c r="F993">
        <v>0</v>
      </c>
      <c r="G993">
        <f>IF(Gym_Expansion_Data[[#This Row],[Churned]]=0,1,0)</f>
        <v>1</v>
      </c>
      <c r="H993" t="str">
        <f>IF(Gym_Expansion_Data[[#This Row],[Active Member]]=1,Gym_Expansion_Data[[#This Row],[Tier]],"Inactive")</f>
        <v>Elite</v>
      </c>
    </row>
    <row r="994" spans="1:8" x14ac:dyDescent="0.2">
      <c r="A994">
        <v>1993</v>
      </c>
      <c r="B994" t="s">
        <v>6</v>
      </c>
      <c r="C994" t="s">
        <v>7</v>
      </c>
      <c r="D994" s="1">
        <v>45568</v>
      </c>
      <c r="E994">
        <v>49</v>
      </c>
      <c r="F994">
        <v>0</v>
      </c>
      <c r="G994">
        <f>IF(Gym_Expansion_Data[[#This Row],[Churned]]=0,1,0)</f>
        <v>1</v>
      </c>
      <c r="H994" t="str">
        <f>IF(Gym_Expansion_Data[[#This Row],[Active Member]]=1,Gym_Expansion_Data[[#This Row],[Tier]],"Inactive")</f>
        <v>Basic</v>
      </c>
    </row>
    <row r="995" spans="1:8" x14ac:dyDescent="0.2">
      <c r="A995">
        <v>1994</v>
      </c>
      <c r="B995" t="s">
        <v>6</v>
      </c>
      <c r="C995" t="s">
        <v>7</v>
      </c>
      <c r="D995" s="1">
        <v>45594</v>
      </c>
      <c r="E995">
        <v>49</v>
      </c>
      <c r="F995">
        <v>0</v>
      </c>
      <c r="G995">
        <f>IF(Gym_Expansion_Data[[#This Row],[Churned]]=0,1,0)</f>
        <v>1</v>
      </c>
      <c r="H995" t="str">
        <f>IF(Gym_Expansion_Data[[#This Row],[Active Member]]=1,Gym_Expansion_Data[[#This Row],[Tier]],"Inactive")</f>
        <v>Basic</v>
      </c>
    </row>
    <row r="996" spans="1:8" x14ac:dyDescent="0.2">
      <c r="A996">
        <v>1995</v>
      </c>
      <c r="B996" t="s">
        <v>9</v>
      </c>
      <c r="C996" t="s">
        <v>7</v>
      </c>
      <c r="D996" s="1">
        <v>45302</v>
      </c>
      <c r="E996">
        <v>49</v>
      </c>
      <c r="F996">
        <v>0</v>
      </c>
      <c r="G996">
        <f>IF(Gym_Expansion_Data[[#This Row],[Churned]]=0,1,0)</f>
        <v>1</v>
      </c>
      <c r="H996" t="str">
        <f>IF(Gym_Expansion_Data[[#This Row],[Active Member]]=1,Gym_Expansion_Data[[#This Row],[Tier]],"Inactive")</f>
        <v>Basic</v>
      </c>
    </row>
    <row r="997" spans="1:8" x14ac:dyDescent="0.2">
      <c r="A997">
        <v>1996</v>
      </c>
      <c r="B997" t="s">
        <v>9</v>
      </c>
      <c r="C997" t="s">
        <v>7</v>
      </c>
      <c r="D997" s="1">
        <v>45355</v>
      </c>
      <c r="E997">
        <v>49</v>
      </c>
      <c r="F997">
        <v>0</v>
      </c>
      <c r="G997">
        <f>IF(Gym_Expansion_Data[[#This Row],[Churned]]=0,1,0)</f>
        <v>1</v>
      </c>
      <c r="H997" t="str">
        <f>IF(Gym_Expansion_Data[[#This Row],[Active Member]]=1,Gym_Expansion_Data[[#This Row],[Tier]],"Inactive")</f>
        <v>Basic</v>
      </c>
    </row>
    <row r="998" spans="1:8" x14ac:dyDescent="0.2">
      <c r="A998">
        <v>1997</v>
      </c>
      <c r="B998" t="s">
        <v>11</v>
      </c>
      <c r="C998" t="s">
        <v>12</v>
      </c>
      <c r="D998" s="1">
        <v>45383</v>
      </c>
      <c r="E998">
        <v>89</v>
      </c>
      <c r="F998">
        <v>0</v>
      </c>
      <c r="G998">
        <f>IF(Gym_Expansion_Data[[#This Row],[Churned]]=0,1,0)</f>
        <v>1</v>
      </c>
      <c r="H998" t="str">
        <f>IF(Gym_Expansion_Data[[#This Row],[Active Member]]=1,Gym_Expansion_Data[[#This Row],[Tier]],"Inactive")</f>
        <v>Premium</v>
      </c>
    </row>
    <row r="999" spans="1:8" x14ac:dyDescent="0.2">
      <c r="A999">
        <v>1998</v>
      </c>
      <c r="B999" t="s">
        <v>9</v>
      </c>
      <c r="C999" t="s">
        <v>12</v>
      </c>
      <c r="D999" s="1">
        <v>45717</v>
      </c>
      <c r="E999">
        <v>89</v>
      </c>
      <c r="F999">
        <v>0</v>
      </c>
      <c r="G999">
        <f>IF(Gym_Expansion_Data[[#This Row],[Churned]]=0,1,0)</f>
        <v>1</v>
      </c>
      <c r="H999" t="str">
        <f>IF(Gym_Expansion_Data[[#This Row],[Active Member]]=1,Gym_Expansion_Data[[#This Row],[Tier]],"Inactive")</f>
        <v>Premium</v>
      </c>
    </row>
    <row r="1000" spans="1:8" x14ac:dyDescent="0.2">
      <c r="A1000">
        <v>1999</v>
      </c>
      <c r="B1000" t="s">
        <v>11</v>
      </c>
      <c r="C1000" t="s">
        <v>7</v>
      </c>
      <c r="D1000" s="1">
        <v>45639</v>
      </c>
      <c r="E1000">
        <v>49</v>
      </c>
      <c r="F1000">
        <v>0</v>
      </c>
      <c r="G1000">
        <f>IF(Gym_Expansion_Data[[#This Row],[Churned]]=0,1,0)</f>
        <v>1</v>
      </c>
      <c r="H1000" t="str">
        <f>IF(Gym_Expansion_Data[[#This Row],[Active Member]]=1,Gym_Expansion_Data[[#This Row],[Tier]],"Inactive")</f>
        <v>Basic</v>
      </c>
    </row>
    <row r="1001" spans="1:8" x14ac:dyDescent="0.2">
      <c r="A1001">
        <v>2000</v>
      </c>
      <c r="B1001" t="s">
        <v>9</v>
      </c>
      <c r="C1001" t="s">
        <v>7</v>
      </c>
      <c r="D1001" s="1">
        <v>45363</v>
      </c>
      <c r="E1001">
        <v>49</v>
      </c>
      <c r="F1001">
        <v>0</v>
      </c>
      <c r="G1001">
        <f>IF(Gym_Expansion_Data[[#This Row],[Churned]]=0,1,0)</f>
        <v>1</v>
      </c>
      <c r="H1001" t="str">
        <f>IF(Gym_Expansion_Data[[#This Row],[Active Member]]=1,Gym_Expansion_Data[[#This Row],[Tier]],"Inactive")</f>
        <v>Basic</v>
      </c>
    </row>
    <row r="1002" spans="1:8" x14ac:dyDescent="0.2">
      <c r="A1002">
        <v>2001</v>
      </c>
      <c r="B1002" t="s">
        <v>6</v>
      </c>
      <c r="C1002" t="s">
        <v>7</v>
      </c>
      <c r="D1002" s="1">
        <v>45485</v>
      </c>
      <c r="E1002">
        <v>49</v>
      </c>
      <c r="F1002">
        <v>0</v>
      </c>
      <c r="G1002">
        <f>IF(Gym_Expansion_Data[[#This Row],[Churned]]=0,1,0)</f>
        <v>1</v>
      </c>
      <c r="H1002" t="str">
        <f>IF(Gym_Expansion_Data[[#This Row],[Active Member]]=1,Gym_Expansion_Data[[#This Row],[Tier]],"Inactive")</f>
        <v>Basic</v>
      </c>
    </row>
    <row r="1003" spans="1:8" x14ac:dyDescent="0.2">
      <c r="A1003">
        <v>2002</v>
      </c>
      <c r="B1003" t="s">
        <v>9</v>
      </c>
      <c r="C1003" t="s">
        <v>12</v>
      </c>
      <c r="D1003" s="1">
        <v>45855</v>
      </c>
      <c r="E1003">
        <v>89</v>
      </c>
      <c r="F1003">
        <v>0</v>
      </c>
      <c r="G1003">
        <f>IF(Gym_Expansion_Data[[#This Row],[Churned]]=0,1,0)</f>
        <v>1</v>
      </c>
      <c r="H1003" t="str">
        <f>IF(Gym_Expansion_Data[[#This Row],[Active Member]]=1,Gym_Expansion_Data[[#This Row],[Tier]],"Inactive")</f>
        <v>Premium</v>
      </c>
    </row>
    <row r="1004" spans="1:8" x14ac:dyDescent="0.2">
      <c r="A1004">
        <v>2003</v>
      </c>
      <c r="B1004" t="s">
        <v>6</v>
      </c>
      <c r="C1004" t="s">
        <v>7</v>
      </c>
      <c r="D1004" s="1">
        <v>45958</v>
      </c>
      <c r="E1004">
        <v>49</v>
      </c>
      <c r="F1004">
        <v>0</v>
      </c>
      <c r="G1004">
        <f>IF(Gym_Expansion_Data[[#This Row],[Churned]]=0,1,0)</f>
        <v>1</v>
      </c>
      <c r="H1004" t="str">
        <f>IF(Gym_Expansion_Data[[#This Row],[Active Member]]=1,Gym_Expansion_Data[[#This Row],[Tier]],"Inactive")</f>
        <v>Basic</v>
      </c>
    </row>
    <row r="1005" spans="1:8" x14ac:dyDescent="0.2">
      <c r="A1005">
        <v>2004</v>
      </c>
      <c r="B1005" t="s">
        <v>11</v>
      </c>
      <c r="C1005" t="s">
        <v>8</v>
      </c>
      <c r="D1005" s="1">
        <v>45968</v>
      </c>
      <c r="E1005">
        <v>129</v>
      </c>
      <c r="F1005">
        <v>1</v>
      </c>
      <c r="G1005">
        <f>IF(Gym_Expansion_Data[[#This Row],[Churned]]=0,1,0)</f>
        <v>0</v>
      </c>
      <c r="H1005" t="str">
        <f>IF(Gym_Expansion_Data[[#This Row],[Active Member]]=1,Gym_Expansion_Data[[#This Row],[Tier]],"Inactive")</f>
        <v>Inactive</v>
      </c>
    </row>
    <row r="1006" spans="1:8" x14ac:dyDescent="0.2">
      <c r="A1006">
        <v>2005</v>
      </c>
      <c r="B1006" t="s">
        <v>11</v>
      </c>
      <c r="C1006" t="s">
        <v>12</v>
      </c>
      <c r="D1006" s="1">
        <v>45429</v>
      </c>
      <c r="E1006">
        <v>89</v>
      </c>
      <c r="F1006">
        <v>0</v>
      </c>
      <c r="G1006">
        <f>IF(Gym_Expansion_Data[[#This Row],[Churned]]=0,1,0)</f>
        <v>1</v>
      </c>
      <c r="H1006" t="str">
        <f>IF(Gym_Expansion_Data[[#This Row],[Active Member]]=1,Gym_Expansion_Data[[#This Row],[Tier]],"Inactive")</f>
        <v>Premium</v>
      </c>
    </row>
    <row r="1007" spans="1:8" x14ac:dyDescent="0.2">
      <c r="A1007">
        <v>2006</v>
      </c>
      <c r="B1007" t="s">
        <v>9</v>
      </c>
      <c r="C1007" t="s">
        <v>7</v>
      </c>
      <c r="D1007" s="1">
        <v>45349</v>
      </c>
      <c r="E1007">
        <v>49</v>
      </c>
      <c r="F1007">
        <v>0</v>
      </c>
      <c r="G1007">
        <f>IF(Gym_Expansion_Data[[#This Row],[Churned]]=0,1,0)</f>
        <v>1</v>
      </c>
      <c r="H1007" t="str">
        <f>IF(Gym_Expansion_Data[[#This Row],[Active Member]]=1,Gym_Expansion_Data[[#This Row],[Tier]],"Inactive")</f>
        <v>Basic</v>
      </c>
    </row>
    <row r="1008" spans="1:8" x14ac:dyDescent="0.2">
      <c r="A1008">
        <v>2007</v>
      </c>
      <c r="B1008" t="s">
        <v>11</v>
      </c>
      <c r="C1008" t="s">
        <v>8</v>
      </c>
      <c r="D1008" s="1">
        <v>45314</v>
      </c>
      <c r="E1008">
        <v>129</v>
      </c>
      <c r="F1008">
        <v>0</v>
      </c>
      <c r="G1008">
        <f>IF(Gym_Expansion_Data[[#This Row],[Churned]]=0,1,0)</f>
        <v>1</v>
      </c>
      <c r="H1008" t="str">
        <f>IF(Gym_Expansion_Data[[#This Row],[Active Member]]=1,Gym_Expansion_Data[[#This Row],[Tier]],"Inactive")</f>
        <v>Elite</v>
      </c>
    </row>
    <row r="1009" spans="1:8" x14ac:dyDescent="0.2">
      <c r="A1009">
        <v>2008</v>
      </c>
      <c r="B1009" t="s">
        <v>10</v>
      </c>
      <c r="C1009" t="s">
        <v>7</v>
      </c>
      <c r="D1009" s="1">
        <v>45701</v>
      </c>
      <c r="E1009">
        <v>49</v>
      </c>
      <c r="F1009">
        <v>0</v>
      </c>
      <c r="G1009">
        <f>IF(Gym_Expansion_Data[[#This Row],[Churned]]=0,1,0)</f>
        <v>1</v>
      </c>
      <c r="H1009" t="str">
        <f>IF(Gym_Expansion_Data[[#This Row],[Active Member]]=1,Gym_Expansion_Data[[#This Row],[Tier]],"Inactive")</f>
        <v>Basic</v>
      </c>
    </row>
    <row r="1010" spans="1:8" x14ac:dyDescent="0.2">
      <c r="A1010">
        <v>2009</v>
      </c>
      <c r="B1010" t="s">
        <v>9</v>
      </c>
      <c r="C1010" t="s">
        <v>7</v>
      </c>
      <c r="D1010" s="1">
        <v>45571</v>
      </c>
      <c r="E1010">
        <v>49</v>
      </c>
      <c r="F1010">
        <v>0</v>
      </c>
      <c r="G1010">
        <f>IF(Gym_Expansion_Data[[#This Row],[Churned]]=0,1,0)</f>
        <v>1</v>
      </c>
      <c r="H1010" t="str">
        <f>IF(Gym_Expansion_Data[[#This Row],[Active Member]]=1,Gym_Expansion_Data[[#This Row],[Tier]],"Inactive")</f>
        <v>Basic</v>
      </c>
    </row>
    <row r="1011" spans="1:8" x14ac:dyDescent="0.2">
      <c r="A1011">
        <v>2010</v>
      </c>
      <c r="B1011" t="s">
        <v>6</v>
      </c>
      <c r="C1011" t="s">
        <v>12</v>
      </c>
      <c r="D1011" s="1">
        <v>45900</v>
      </c>
      <c r="E1011">
        <v>89</v>
      </c>
      <c r="F1011">
        <v>1</v>
      </c>
      <c r="G1011">
        <f>IF(Gym_Expansion_Data[[#This Row],[Churned]]=0,1,0)</f>
        <v>0</v>
      </c>
      <c r="H1011" t="str">
        <f>IF(Gym_Expansion_Data[[#This Row],[Active Member]]=1,Gym_Expansion_Data[[#This Row],[Tier]],"Inactive")</f>
        <v>Inactive</v>
      </c>
    </row>
    <row r="1012" spans="1:8" x14ac:dyDescent="0.2">
      <c r="A1012">
        <v>2011</v>
      </c>
      <c r="B1012" t="s">
        <v>11</v>
      </c>
      <c r="C1012" t="s">
        <v>12</v>
      </c>
      <c r="D1012" s="1">
        <v>45947</v>
      </c>
      <c r="E1012">
        <v>89</v>
      </c>
      <c r="F1012">
        <v>0</v>
      </c>
      <c r="G1012">
        <f>IF(Gym_Expansion_Data[[#This Row],[Churned]]=0,1,0)</f>
        <v>1</v>
      </c>
      <c r="H1012" t="str">
        <f>IF(Gym_Expansion_Data[[#This Row],[Active Member]]=1,Gym_Expansion_Data[[#This Row],[Tier]],"Inactive")</f>
        <v>Premium</v>
      </c>
    </row>
    <row r="1013" spans="1:8" x14ac:dyDescent="0.2">
      <c r="A1013">
        <v>2012</v>
      </c>
      <c r="B1013" t="s">
        <v>11</v>
      </c>
      <c r="C1013" t="s">
        <v>8</v>
      </c>
      <c r="D1013" s="1">
        <v>45624</v>
      </c>
      <c r="E1013">
        <v>129</v>
      </c>
      <c r="F1013">
        <v>0</v>
      </c>
      <c r="G1013">
        <f>IF(Gym_Expansion_Data[[#This Row],[Churned]]=0,1,0)</f>
        <v>1</v>
      </c>
      <c r="H1013" t="str">
        <f>IF(Gym_Expansion_Data[[#This Row],[Active Member]]=1,Gym_Expansion_Data[[#This Row],[Tier]],"Inactive")</f>
        <v>Elite</v>
      </c>
    </row>
    <row r="1014" spans="1:8" x14ac:dyDescent="0.2">
      <c r="A1014">
        <v>2013</v>
      </c>
      <c r="B1014" t="s">
        <v>9</v>
      </c>
      <c r="C1014" t="s">
        <v>7</v>
      </c>
      <c r="D1014" s="1">
        <v>45926</v>
      </c>
      <c r="E1014">
        <v>49</v>
      </c>
      <c r="F1014">
        <v>0</v>
      </c>
      <c r="G1014">
        <f>IF(Gym_Expansion_Data[[#This Row],[Churned]]=0,1,0)</f>
        <v>1</v>
      </c>
      <c r="H1014" t="str">
        <f>IF(Gym_Expansion_Data[[#This Row],[Active Member]]=1,Gym_Expansion_Data[[#This Row],[Tier]],"Inactive")</f>
        <v>Basic</v>
      </c>
    </row>
    <row r="1015" spans="1:8" x14ac:dyDescent="0.2">
      <c r="A1015">
        <v>2014</v>
      </c>
      <c r="B1015" t="s">
        <v>9</v>
      </c>
      <c r="C1015" t="s">
        <v>12</v>
      </c>
      <c r="D1015" s="1">
        <v>45766</v>
      </c>
      <c r="E1015">
        <v>89</v>
      </c>
      <c r="F1015">
        <v>0</v>
      </c>
      <c r="G1015">
        <f>IF(Gym_Expansion_Data[[#This Row],[Churned]]=0,1,0)</f>
        <v>1</v>
      </c>
      <c r="H1015" t="str">
        <f>IF(Gym_Expansion_Data[[#This Row],[Active Member]]=1,Gym_Expansion_Data[[#This Row],[Tier]],"Inactive")</f>
        <v>Premium</v>
      </c>
    </row>
    <row r="1016" spans="1:8" x14ac:dyDescent="0.2">
      <c r="A1016">
        <v>2015</v>
      </c>
      <c r="B1016" t="s">
        <v>9</v>
      </c>
      <c r="C1016" t="s">
        <v>7</v>
      </c>
      <c r="D1016" s="1">
        <v>45687</v>
      </c>
      <c r="E1016">
        <v>49</v>
      </c>
      <c r="F1016">
        <v>1</v>
      </c>
      <c r="G1016">
        <f>IF(Gym_Expansion_Data[[#This Row],[Churned]]=0,1,0)</f>
        <v>0</v>
      </c>
      <c r="H1016" t="str">
        <f>IF(Gym_Expansion_Data[[#This Row],[Active Member]]=1,Gym_Expansion_Data[[#This Row],[Tier]],"Inactive")</f>
        <v>Inactive</v>
      </c>
    </row>
    <row r="1017" spans="1:8" x14ac:dyDescent="0.2">
      <c r="A1017">
        <v>2016</v>
      </c>
      <c r="B1017" t="s">
        <v>6</v>
      </c>
      <c r="C1017" t="s">
        <v>7</v>
      </c>
      <c r="D1017" s="1">
        <v>45359</v>
      </c>
      <c r="E1017">
        <v>49</v>
      </c>
      <c r="F1017">
        <v>0</v>
      </c>
      <c r="G1017">
        <f>IF(Gym_Expansion_Data[[#This Row],[Churned]]=0,1,0)</f>
        <v>1</v>
      </c>
      <c r="H1017" t="str">
        <f>IF(Gym_Expansion_Data[[#This Row],[Active Member]]=1,Gym_Expansion_Data[[#This Row],[Tier]],"Inactive")</f>
        <v>Basic</v>
      </c>
    </row>
    <row r="1018" spans="1:8" x14ac:dyDescent="0.2">
      <c r="A1018">
        <v>2017</v>
      </c>
      <c r="B1018" t="s">
        <v>9</v>
      </c>
      <c r="C1018" t="s">
        <v>8</v>
      </c>
      <c r="D1018" s="1">
        <v>45482</v>
      </c>
      <c r="E1018">
        <v>129</v>
      </c>
      <c r="F1018">
        <v>0</v>
      </c>
      <c r="G1018">
        <f>IF(Gym_Expansion_Data[[#This Row],[Churned]]=0,1,0)</f>
        <v>1</v>
      </c>
      <c r="H1018" t="str">
        <f>IF(Gym_Expansion_Data[[#This Row],[Active Member]]=1,Gym_Expansion_Data[[#This Row],[Tier]],"Inactive")</f>
        <v>Elite</v>
      </c>
    </row>
    <row r="1019" spans="1:8" x14ac:dyDescent="0.2">
      <c r="A1019">
        <v>2018</v>
      </c>
      <c r="B1019" t="s">
        <v>9</v>
      </c>
      <c r="C1019" t="s">
        <v>12</v>
      </c>
      <c r="D1019" s="1">
        <v>45345</v>
      </c>
      <c r="E1019">
        <v>89</v>
      </c>
      <c r="F1019">
        <v>0</v>
      </c>
      <c r="G1019">
        <f>IF(Gym_Expansion_Data[[#This Row],[Churned]]=0,1,0)</f>
        <v>1</v>
      </c>
      <c r="H1019" t="str">
        <f>IF(Gym_Expansion_Data[[#This Row],[Active Member]]=1,Gym_Expansion_Data[[#This Row],[Tier]],"Inactive")</f>
        <v>Premium</v>
      </c>
    </row>
    <row r="1020" spans="1:8" x14ac:dyDescent="0.2">
      <c r="A1020">
        <v>2019</v>
      </c>
      <c r="B1020" t="s">
        <v>10</v>
      </c>
      <c r="C1020" t="s">
        <v>7</v>
      </c>
      <c r="D1020" s="1">
        <v>45405</v>
      </c>
      <c r="E1020">
        <v>49</v>
      </c>
      <c r="F1020">
        <v>0</v>
      </c>
      <c r="G1020">
        <f>IF(Gym_Expansion_Data[[#This Row],[Churned]]=0,1,0)</f>
        <v>1</v>
      </c>
      <c r="H1020" t="str">
        <f>IF(Gym_Expansion_Data[[#This Row],[Active Member]]=1,Gym_Expansion_Data[[#This Row],[Tier]],"Inactive")</f>
        <v>Basic</v>
      </c>
    </row>
    <row r="1021" spans="1:8" x14ac:dyDescent="0.2">
      <c r="A1021">
        <v>2020</v>
      </c>
      <c r="B1021" t="s">
        <v>9</v>
      </c>
      <c r="C1021" t="s">
        <v>12</v>
      </c>
      <c r="D1021" s="1">
        <v>45681</v>
      </c>
      <c r="E1021">
        <v>89</v>
      </c>
      <c r="F1021">
        <v>0</v>
      </c>
      <c r="G1021">
        <f>IF(Gym_Expansion_Data[[#This Row],[Churned]]=0,1,0)</f>
        <v>1</v>
      </c>
      <c r="H1021" t="str">
        <f>IF(Gym_Expansion_Data[[#This Row],[Active Member]]=1,Gym_Expansion_Data[[#This Row],[Tier]],"Inactive")</f>
        <v>Premium</v>
      </c>
    </row>
    <row r="1022" spans="1:8" x14ac:dyDescent="0.2">
      <c r="A1022">
        <v>2021</v>
      </c>
      <c r="B1022" t="s">
        <v>6</v>
      </c>
      <c r="C1022" t="s">
        <v>8</v>
      </c>
      <c r="D1022" s="1">
        <v>45922</v>
      </c>
      <c r="E1022">
        <v>129</v>
      </c>
      <c r="F1022">
        <v>0</v>
      </c>
      <c r="G1022">
        <f>IF(Gym_Expansion_Data[[#This Row],[Churned]]=0,1,0)</f>
        <v>1</v>
      </c>
      <c r="H1022" t="str">
        <f>IF(Gym_Expansion_Data[[#This Row],[Active Member]]=1,Gym_Expansion_Data[[#This Row],[Tier]],"Inactive")</f>
        <v>Elite</v>
      </c>
    </row>
    <row r="1023" spans="1:8" x14ac:dyDescent="0.2">
      <c r="A1023">
        <v>2022</v>
      </c>
      <c r="B1023" t="s">
        <v>9</v>
      </c>
      <c r="C1023" t="s">
        <v>7</v>
      </c>
      <c r="D1023" s="1">
        <v>45709</v>
      </c>
      <c r="E1023">
        <v>49</v>
      </c>
      <c r="F1023">
        <v>0</v>
      </c>
      <c r="G1023">
        <f>IF(Gym_Expansion_Data[[#This Row],[Churned]]=0,1,0)</f>
        <v>1</v>
      </c>
      <c r="H1023" t="str">
        <f>IF(Gym_Expansion_Data[[#This Row],[Active Member]]=1,Gym_Expansion_Data[[#This Row],[Tier]],"Inactive")</f>
        <v>Basic</v>
      </c>
    </row>
    <row r="1024" spans="1:8" x14ac:dyDescent="0.2">
      <c r="A1024">
        <v>2023</v>
      </c>
      <c r="B1024" t="s">
        <v>9</v>
      </c>
      <c r="C1024" t="s">
        <v>7</v>
      </c>
      <c r="D1024" s="1">
        <v>45306</v>
      </c>
      <c r="E1024">
        <v>49</v>
      </c>
      <c r="F1024">
        <v>0</v>
      </c>
      <c r="G1024">
        <f>IF(Gym_Expansion_Data[[#This Row],[Churned]]=0,1,0)</f>
        <v>1</v>
      </c>
      <c r="H1024" t="str">
        <f>IF(Gym_Expansion_Data[[#This Row],[Active Member]]=1,Gym_Expansion_Data[[#This Row],[Tier]],"Inactive")</f>
        <v>Basic</v>
      </c>
    </row>
    <row r="1025" spans="1:8" x14ac:dyDescent="0.2">
      <c r="A1025">
        <v>2024</v>
      </c>
      <c r="B1025" t="s">
        <v>9</v>
      </c>
      <c r="C1025" t="s">
        <v>12</v>
      </c>
      <c r="D1025" s="1">
        <v>45658</v>
      </c>
      <c r="E1025">
        <v>89</v>
      </c>
      <c r="F1025">
        <v>0</v>
      </c>
      <c r="G1025">
        <f>IF(Gym_Expansion_Data[[#This Row],[Churned]]=0,1,0)</f>
        <v>1</v>
      </c>
      <c r="H1025" t="str">
        <f>IF(Gym_Expansion_Data[[#This Row],[Active Member]]=1,Gym_Expansion_Data[[#This Row],[Tier]],"Inactive")</f>
        <v>Premium</v>
      </c>
    </row>
    <row r="1026" spans="1:8" x14ac:dyDescent="0.2">
      <c r="A1026">
        <v>2025</v>
      </c>
      <c r="B1026" t="s">
        <v>9</v>
      </c>
      <c r="C1026" t="s">
        <v>12</v>
      </c>
      <c r="D1026" s="1">
        <v>45328</v>
      </c>
      <c r="E1026">
        <v>89</v>
      </c>
      <c r="F1026">
        <v>1</v>
      </c>
      <c r="G1026">
        <f>IF(Gym_Expansion_Data[[#This Row],[Churned]]=0,1,0)</f>
        <v>0</v>
      </c>
      <c r="H1026" t="str">
        <f>IF(Gym_Expansion_Data[[#This Row],[Active Member]]=1,Gym_Expansion_Data[[#This Row],[Tier]],"Inactive")</f>
        <v>Inactive</v>
      </c>
    </row>
    <row r="1027" spans="1:8" x14ac:dyDescent="0.2">
      <c r="A1027">
        <v>2026</v>
      </c>
      <c r="B1027" t="s">
        <v>11</v>
      </c>
      <c r="C1027" t="s">
        <v>7</v>
      </c>
      <c r="D1027" s="1">
        <v>45820</v>
      </c>
      <c r="E1027">
        <v>49</v>
      </c>
      <c r="F1027">
        <v>0</v>
      </c>
      <c r="G1027">
        <f>IF(Gym_Expansion_Data[[#This Row],[Churned]]=0,1,0)</f>
        <v>1</v>
      </c>
      <c r="H1027" t="str">
        <f>IF(Gym_Expansion_Data[[#This Row],[Active Member]]=1,Gym_Expansion_Data[[#This Row],[Tier]],"Inactive")</f>
        <v>Basic</v>
      </c>
    </row>
    <row r="1028" spans="1:8" x14ac:dyDescent="0.2">
      <c r="A1028">
        <v>2027</v>
      </c>
      <c r="B1028" t="s">
        <v>11</v>
      </c>
      <c r="C1028" t="s">
        <v>8</v>
      </c>
      <c r="D1028" s="1">
        <v>45331</v>
      </c>
      <c r="E1028">
        <v>129</v>
      </c>
      <c r="F1028">
        <v>0</v>
      </c>
      <c r="G1028">
        <f>IF(Gym_Expansion_Data[[#This Row],[Churned]]=0,1,0)</f>
        <v>1</v>
      </c>
      <c r="H1028" t="str">
        <f>IF(Gym_Expansion_Data[[#This Row],[Active Member]]=1,Gym_Expansion_Data[[#This Row],[Tier]],"Inactive")</f>
        <v>Elite</v>
      </c>
    </row>
    <row r="1029" spans="1:8" x14ac:dyDescent="0.2">
      <c r="A1029">
        <v>2028</v>
      </c>
      <c r="B1029" t="s">
        <v>9</v>
      </c>
      <c r="C1029" t="s">
        <v>12</v>
      </c>
      <c r="D1029" s="1">
        <v>45483</v>
      </c>
      <c r="E1029">
        <v>89</v>
      </c>
      <c r="F1029">
        <v>0</v>
      </c>
      <c r="G1029">
        <f>IF(Gym_Expansion_Data[[#This Row],[Churned]]=0,1,0)</f>
        <v>1</v>
      </c>
      <c r="H1029" t="str">
        <f>IF(Gym_Expansion_Data[[#This Row],[Active Member]]=1,Gym_Expansion_Data[[#This Row],[Tier]],"Inactive")</f>
        <v>Premium</v>
      </c>
    </row>
    <row r="1030" spans="1:8" x14ac:dyDescent="0.2">
      <c r="A1030">
        <v>2029</v>
      </c>
      <c r="B1030" t="s">
        <v>6</v>
      </c>
      <c r="C1030" t="s">
        <v>8</v>
      </c>
      <c r="D1030" s="1">
        <v>45627</v>
      </c>
      <c r="E1030">
        <v>129</v>
      </c>
      <c r="F1030">
        <v>1</v>
      </c>
      <c r="G1030">
        <f>IF(Gym_Expansion_Data[[#This Row],[Churned]]=0,1,0)</f>
        <v>0</v>
      </c>
      <c r="H1030" t="str">
        <f>IF(Gym_Expansion_Data[[#This Row],[Active Member]]=1,Gym_Expansion_Data[[#This Row],[Tier]],"Inactive")</f>
        <v>Inactive</v>
      </c>
    </row>
    <row r="1031" spans="1:8" x14ac:dyDescent="0.2">
      <c r="A1031">
        <v>2030</v>
      </c>
      <c r="B1031" t="s">
        <v>6</v>
      </c>
      <c r="C1031" t="s">
        <v>7</v>
      </c>
      <c r="D1031" s="1">
        <v>45619</v>
      </c>
      <c r="E1031">
        <v>49</v>
      </c>
      <c r="F1031">
        <v>0</v>
      </c>
      <c r="G1031">
        <f>IF(Gym_Expansion_Data[[#This Row],[Churned]]=0,1,0)</f>
        <v>1</v>
      </c>
      <c r="H1031" t="str">
        <f>IF(Gym_Expansion_Data[[#This Row],[Active Member]]=1,Gym_Expansion_Data[[#This Row],[Tier]],"Inactive")</f>
        <v>Basic</v>
      </c>
    </row>
    <row r="1032" spans="1:8" x14ac:dyDescent="0.2">
      <c r="A1032">
        <v>2031</v>
      </c>
      <c r="B1032" t="s">
        <v>6</v>
      </c>
      <c r="C1032" t="s">
        <v>7</v>
      </c>
      <c r="D1032" s="1">
        <v>45441</v>
      </c>
      <c r="E1032">
        <v>49</v>
      </c>
      <c r="F1032">
        <v>0</v>
      </c>
      <c r="G1032">
        <f>IF(Gym_Expansion_Data[[#This Row],[Churned]]=0,1,0)</f>
        <v>1</v>
      </c>
      <c r="H1032" t="str">
        <f>IF(Gym_Expansion_Data[[#This Row],[Active Member]]=1,Gym_Expansion_Data[[#This Row],[Tier]],"Inactive")</f>
        <v>Basic</v>
      </c>
    </row>
    <row r="1033" spans="1:8" x14ac:dyDescent="0.2">
      <c r="A1033">
        <v>2032</v>
      </c>
      <c r="B1033" t="s">
        <v>9</v>
      </c>
      <c r="C1033" t="s">
        <v>8</v>
      </c>
      <c r="D1033" s="1">
        <v>45777</v>
      </c>
      <c r="E1033">
        <v>129</v>
      </c>
      <c r="F1033">
        <v>0</v>
      </c>
      <c r="G1033">
        <f>IF(Gym_Expansion_Data[[#This Row],[Churned]]=0,1,0)</f>
        <v>1</v>
      </c>
      <c r="H1033" t="str">
        <f>IF(Gym_Expansion_Data[[#This Row],[Active Member]]=1,Gym_Expansion_Data[[#This Row],[Tier]],"Inactive")</f>
        <v>Elite</v>
      </c>
    </row>
    <row r="1034" spans="1:8" x14ac:dyDescent="0.2">
      <c r="A1034">
        <v>2033</v>
      </c>
      <c r="B1034" t="s">
        <v>9</v>
      </c>
      <c r="C1034" t="s">
        <v>12</v>
      </c>
      <c r="D1034" s="1">
        <v>45348</v>
      </c>
      <c r="E1034">
        <v>89</v>
      </c>
      <c r="F1034">
        <v>0</v>
      </c>
      <c r="G1034">
        <f>IF(Gym_Expansion_Data[[#This Row],[Churned]]=0,1,0)</f>
        <v>1</v>
      </c>
      <c r="H1034" t="str">
        <f>IF(Gym_Expansion_Data[[#This Row],[Active Member]]=1,Gym_Expansion_Data[[#This Row],[Tier]],"Inactive")</f>
        <v>Premium</v>
      </c>
    </row>
    <row r="1035" spans="1:8" x14ac:dyDescent="0.2">
      <c r="A1035">
        <v>2034</v>
      </c>
      <c r="B1035" t="s">
        <v>9</v>
      </c>
      <c r="C1035" t="s">
        <v>7</v>
      </c>
      <c r="D1035" s="1">
        <v>45581</v>
      </c>
      <c r="E1035">
        <v>49</v>
      </c>
      <c r="F1035">
        <v>1</v>
      </c>
      <c r="G1035">
        <f>IF(Gym_Expansion_Data[[#This Row],[Churned]]=0,1,0)</f>
        <v>0</v>
      </c>
      <c r="H1035" t="str">
        <f>IF(Gym_Expansion_Data[[#This Row],[Active Member]]=1,Gym_Expansion_Data[[#This Row],[Tier]],"Inactive")</f>
        <v>Inactive</v>
      </c>
    </row>
    <row r="1036" spans="1:8" x14ac:dyDescent="0.2">
      <c r="A1036">
        <v>2035</v>
      </c>
      <c r="B1036" t="s">
        <v>11</v>
      </c>
      <c r="C1036" t="s">
        <v>8</v>
      </c>
      <c r="D1036" s="1">
        <v>45792</v>
      </c>
      <c r="E1036">
        <v>129</v>
      </c>
      <c r="F1036">
        <v>0</v>
      </c>
      <c r="G1036">
        <f>IF(Gym_Expansion_Data[[#This Row],[Churned]]=0,1,0)</f>
        <v>1</v>
      </c>
      <c r="H1036" t="str">
        <f>IF(Gym_Expansion_Data[[#This Row],[Active Member]]=1,Gym_Expansion_Data[[#This Row],[Tier]],"Inactive")</f>
        <v>Elite</v>
      </c>
    </row>
    <row r="1037" spans="1:8" x14ac:dyDescent="0.2">
      <c r="A1037">
        <v>2036</v>
      </c>
      <c r="B1037" t="s">
        <v>11</v>
      </c>
      <c r="C1037" t="s">
        <v>8</v>
      </c>
      <c r="D1037" s="1">
        <v>45371</v>
      </c>
      <c r="E1037">
        <v>129</v>
      </c>
      <c r="F1037">
        <v>0</v>
      </c>
      <c r="G1037">
        <f>IF(Gym_Expansion_Data[[#This Row],[Churned]]=0,1,0)</f>
        <v>1</v>
      </c>
      <c r="H1037" t="str">
        <f>IF(Gym_Expansion_Data[[#This Row],[Active Member]]=1,Gym_Expansion_Data[[#This Row],[Tier]],"Inactive")</f>
        <v>Elite</v>
      </c>
    </row>
    <row r="1038" spans="1:8" x14ac:dyDescent="0.2">
      <c r="A1038">
        <v>2037</v>
      </c>
      <c r="B1038" t="s">
        <v>6</v>
      </c>
      <c r="C1038" t="s">
        <v>7</v>
      </c>
      <c r="D1038" s="1">
        <v>45654</v>
      </c>
      <c r="E1038">
        <v>49</v>
      </c>
      <c r="F1038">
        <v>0</v>
      </c>
      <c r="G1038">
        <f>IF(Gym_Expansion_Data[[#This Row],[Churned]]=0,1,0)</f>
        <v>1</v>
      </c>
      <c r="H1038" t="str">
        <f>IF(Gym_Expansion_Data[[#This Row],[Active Member]]=1,Gym_Expansion_Data[[#This Row],[Tier]],"Inactive")</f>
        <v>Basic</v>
      </c>
    </row>
    <row r="1039" spans="1:8" x14ac:dyDescent="0.2">
      <c r="A1039">
        <v>2038</v>
      </c>
      <c r="B1039" t="s">
        <v>10</v>
      </c>
      <c r="C1039" t="s">
        <v>8</v>
      </c>
      <c r="D1039" s="1">
        <v>45387</v>
      </c>
      <c r="E1039">
        <v>129</v>
      </c>
      <c r="F1039">
        <v>0</v>
      </c>
      <c r="G1039">
        <f>IF(Gym_Expansion_Data[[#This Row],[Churned]]=0,1,0)</f>
        <v>1</v>
      </c>
      <c r="H1039" t="str">
        <f>IF(Gym_Expansion_Data[[#This Row],[Active Member]]=1,Gym_Expansion_Data[[#This Row],[Tier]],"Inactive")</f>
        <v>Elite</v>
      </c>
    </row>
    <row r="1040" spans="1:8" x14ac:dyDescent="0.2">
      <c r="A1040">
        <v>2039</v>
      </c>
      <c r="B1040" t="s">
        <v>11</v>
      </c>
      <c r="C1040" t="s">
        <v>12</v>
      </c>
      <c r="D1040" s="1">
        <v>45357</v>
      </c>
      <c r="E1040">
        <v>89</v>
      </c>
      <c r="F1040">
        <v>0</v>
      </c>
      <c r="G1040">
        <f>IF(Gym_Expansion_Data[[#This Row],[Churned]]=0,1,0)</f>
        <v>1</v>
      </c>
      <c r="H1040" t="str">
        <f>IF(Gym_Expansion_Data[[#This Row],[Active Member]]=1,Gym_Expansion_Data[[#This Row],[Tier]],"Inactive")</f>
        <v>Premium</v>
      </c>
    </row>
    <row r="1041" spans="1:8" x14ac:dyDescent="0.2">
      <c r="A1041">
        <v>2040</v>
      </c>
      <c r="B1041" t="s">
        <v>9</v>
      </c>
      <c r="C1041" t="s">
        <v>8</v>
      </c>
      <c r="D1041" s="1">
        <v>45535</v>
      </c>
      <c r="E1041">
        <v>129</v>
      </c>
      <c r="F1041">
        <v>0</v>
      </c>
      <c r="G1041">
        <f>IF(Gym_Expansion_Data[[#This Row],[Churned]]=0,1,0)</f>
        <v>1</v>
      </c>
      <c r="H1041" t="str">
        <f>IF(Gym_Expansion_Data[[#This Row],[Active Member]]=1,Gym_Expansion_Data[[#This Row],[Tier]],"Inactive")</f>
        <v>Elite</v>
      </c>
    </row>
    <row r="1042" spans="1:8" x14ac:dyDescent="0.2">
      <c r="A1042">
        <v>2041</v>
      </c>
      <c r="B1042" t="s">
        <v>6</v>
      </c>
      <c r="C1042" t="s">
        <v>7</v>
      </c>
      <c r="D1042" s="1">
        <v>45490</v>
      </c>
      <c r="E1042">
        <v>49</v>
      </c>
      <c r="F1042">
        <v>0</v>
      </c>
      <c r="G1042">
        <f>IF(Gym_Expansion_Data[[#This Row],[Churned]]=0,1,0)</f>
        <v>1</v>
      </c>
      <c r="H1042" t="str">
        <f>IF(Gym_Expansion_Data[[#This Row],[Active Member]]=1,Gym_Expansion_Data[[#This Row],[Tier]],"Inactive")</f>
        <v>Basic</v>
      </c>
    </row>
    <row r="1043" spans="1:8" x14ac:dyDescent="0.2">
      <c r="A1043">
        <v>2042</v>
      </c>
      <c r="B1043" t="s">
        <v>9</v>
      </c>
      <c r="C1043" t="s">
        <v>8</v>
      </c>
      <c r="D1043" s="1">
        <v>45705</v>
      </c>
      <c r="E1043">
        <v>129</v>
      </c>
      <c r="F1043">
        <v>0</v>
      </c>
      <c r="G1043">
        <f>IF(Gym_Expansion_Data[[#This Row],[Churned]]=0,1,0)</f>
        <v>1</v>
      </c>
      <c r="H1043" t="str">
        <f>IF(Gym_Expansion_Data[[#This Row],[Active Member]]=1,Gym_Expansion_Data[[#This Row],[Tier]],"Inactive")</f>
        <v>Elite</v>
      </c>
    </row>
    <row r="1044" spans="1:8" x14ac:dyDescent="0.2">
      <c r="A1044">
        <v>2043</v>
      </c>
      <c r="B1044" t="s">
        <v>11</v>
      </c>
      <c r="C1044" t="s">
        <v>7</v>
      </c>
      <c r="D1044" s="1">
        <v>45682</v>
      </c>
      <c r="E1044">
        <v>49</v>
      </c>
      <c r="F1044">
        <v>1</v>
      </c>
      <c r="G1044">
        <f>IF(Gym_Expansion_Data[[#This Row],[Churned]]=0,1,0)</f>
        <v>0</v>
      </c>
      <c r="H1044" t="str">
        <f>IF(Gym_Expansion_Data[[#This Row],[Active Member]]=1,Gym_Expansion_Data[[#This Row],[Tier]],"Inactive")</f>
        <v>Inactive</v>
      </c>
    </row>
    <row r="1045" spans="1:8" x14ac:dyDescent="0.2">
      <c r="A1045">
        <v>2044</v>
      </c>
      <c r="B1045" t="s">
        <v>10</v>
      </c>
      <c r="C1045" t="s">
        <v>7</v>
      </c>
      <c r="D1045" s="1">
        <v>45392</v>
      </c>
      <c r="E1045">
        <v>49</v>
      </c>
      <c r="F1045">
        <v>0</v>
      </c>
      <c r="G1045">
        <f>IF(Gym_Expansion_Data[[#This Row],[Churned]]=0,1,0)</f>
        <v>1</v>
      </c>
      <c r="H1045" t="str">
        <f>IF(Gym_Expansion_Data[[#This Row],[Active Member]]=1,Gym_Expansion_Data[[#This Row],[Tier]],"Inactive")</f>
        <v>Basic</v>
      </c>
    </row>
    <row r="1046" spans="1:8" x14ac:dyDescent="0.2">
      <c r="A1046">
        <v>2045</v>
      </c>
      <c r="B1046" t="s">
        <v>10</v>
      </c>
      <c r="C1046" t="s">
        <v>7</v>
      </c>
      <c r="D1046" s="1">
        <v>45739</v>
      </c>
      <c r="E1046">
        <v>49</v>
      </c>
      <c r="F1046">
        <v>0</v>
      </c>
      <c r="G1046">
        <f>IF(Gym_Expansion_Data[[#This Row],[Churned]]=0,1,0)</f>
        <v>1</v>
      </c>
      <c r="H1046" t="str">
        <f>IF(Gym_Expansion_Data[[#This Row],[Active Member]]=1,Gym_Expansion_Data[[#This Row],[Tier]],"Inactive")</f>
        <v>Basic</v>
      </c>
    </row>
    <row r="1047" spans="1:8" x14ac:dyDescent="0.2">
      <c r="A1047">
        <v>2046</v>
      </c>
      <c r="B1047" t="s">
        <v>9</v>
      </c>
      <c r="C1047" t="s">
        <v>7</v>
      </c>
      <c r="D1047" s="1">
        <v>45612</v>
      </c>
      <c r="E1047">
        <v>49</v>
      </c>
      <c r="F1047">
        <v>0</v>
      </c>
      <c r="G1047">
        <f>IF(Gym_Expansion_Data[[#This Row],[Churned]]=0,1,0)</f>
        <v>1</v>
      </c>
      <c r="H1047" t="str">
        <f>IF(Gym_Expansion_Data[[#This Row],[Active Member]]=1,Gym_Expansion_Data[[#This Row],[Tier]],"Inactive")</f>
        <v>Basic</v>
      </c>
    </row>
    <row r="1048" spans="1:8" x14ac:dyDescent="0.2">
      <c r="A1048">
        <v>2047</v>
      </c>
      <c r="B1048" t="s">
        <v>11</v>
      </c>
      <c r="C1048" t="s">
        <v>12</v>
      </c>
      <c r="D1048" s="1">
        <v>45974</v>
      </c>
      <c r="E1048">
        <v>89</v>
      </c>
      <c r="F1048">
        <v>1</v>
      </c>
      <c r="G1048">
        <f>IF(Gym_Expansion_Data[[#This Row],[Churned]]=0,1,0)</f>
        <v>0</v>
      </c>
      <c r="H1048" t="str">
        <f>IF(Gym_Expansion_Data[[#This Row],[Active Member]]=1,Gym_Expansion_Data[[#This Row],[Tier]],"Inactive")</f>
        <v>Inactive</v>
      </c>
    </row>
    <row r="1049" spans="1:8" x14ac:dyDescent="0.2">
      <c r="A1049">
        <v>2048</v>
      </c>
      <c r="B1049" t="s">
        <v>6</v>
      </c>
      <c r="C1049" t="s">
        <v>7</v>
      </c>
      <c r="D1049" s="1">
        <v>45714</v>
      </c>
      <c r="E1049">
        <v>49</v>
      </c>
      <c r="F1049">
        <v>0</v>
      </c>
      <c r="G1049">
        <f>IF(Gym_Expansion_Data[[#This Row],[Churned]]=0,1,0)</f>
        <v>1</v>
      </c>
      <c r="H1049" t="str">
        <f>IF(Gym_Expansion_Data[[#This Row],[Active Member]]=1,Gym_Expansion_Data[[#This Row],[Tier]],"Inactive")</f>
        <v>Basic</v>
      </c>
    </row>
    <row r="1050" spans="1:8" x14ac:dyDescent="0.2">
      <c r="A1050">
        <v>2049</v>
      </c>
      <c r="B1050" t="s">
        <v>6</v>
      </c>
      <c r="C1050" t="s">
        <v>7</v>
      </c>
      <c r="D1050" s="1">
        <v>45361</v>
      </c>
      <c r="E1050">
        <v>49</v>
      </c>
      <c r="F1050">
        <v>0</v>
      </c>
      <c r="G1050">
        <f>IF(Gym_Expansion_Data[[#This Row],[Churned]]=0,1,0)</f>
        <v>1</v>
      </c>
      <c r="H1050" t="str">
        <f>IF(Gym_Expansion_Data[[#This Row],[Active Member]]=1,Gym_Expansion_Data[[#This Row],[Tier]],"Inactive")</f>
        <v>Basic</v>
      </c>
    </row>
    <row r="1051" spans="1:8" x14ac:dyDescent="0.2">
      <c r="A1051">
        <v>2050</v>
      </c>
      <c r="B1051" t="s">
        <v>9</v>
      </c>
      <c r="C1051" t="s">
        <v>12</v>
      </c>
      <c r="D1051" s="1">
        <v>45331</v>
      </c>
      <c r="E1051">
        <v>89</v>
      </c>
      <c r="F1051">
        <v>0</v>
      </c>
      <c r="G1051">
        <f>IF(Gym_Expansion_Data[[#This Row],[Churned]]=0,1,0)</f>
        <v>1</v>
      </c>
      <c r="H1051" t="str">
        <f>IF(Gym_Expansion_Data[[#This Row],[Active Member]]=1,Gym_Expansion_Data[[#This Row],[Tier]],"Inactive")</f>
        <v>Premium</v>
      </c>
    </row>
    <row r="1052" spans="1:8" x14ac:dyDescent="0.2">
      <c r="A1052">
        <v>2051</v>
      </c>
      <c r="B1052" t="s">
        <v>6</v>
      </c>
      <c r="C1052" t="s">
        <v>8</v>
      </c>
      <c r="D1052" s="1">
        <v>45798</v>
      </c>
      <c r="E1052">
        <v>129</v>
      </c>
      <c r="F1052">
        <v>0</v>
      </c>
      <c r="G1052">
        <f>IF(Gym_Expansion_Data[[#This Row],[Churned]]=0,1,0)</f>
        <v>1</v>
      </c>
      <c r="H1052" t="str">
        <f>IF(Gym_Expansion_Data[[#This Row],[Active Member]]=1,Gym_Expansion_Data[[#This Row],[Tier]],"Inactive")</f>
        <v>Elite</v>
      </c>
    </row>
    <row r="1053" spans="1:8" x14ac:dyDescent="0.2">
      <c r="A1053">
        <v>2052</v>
      </c>
      <c r="B1053" t="s">
        <v>9</v>
      </c>
      <c r="C1053" t="s">
        <v>7</v>
      </c>
      <c r="D1053" s="1">
        <v>45336</v>
      </c>
      <c r="E1053">
        <v>49</v>
      </c>
      <c r="F1053">
        <v>0</v>
      </c>
      <c r="G1053">
        <f>IF(Gym_Expansion_Data[[#This Row],[Churned]]=0,1,0)</f>
        <v>1</v>
      </c>
      <c r="H1053" t="str">
        <f>IF(Gym_Expansion_Data[[#This Row],[Active Member]]=1,Gym_Expansion_Data[[#This Row],[Tier]],"Inactive")</f>
        <v>Basic</v>
      </c>
    </row>
    <row r="1054" spans="1:8" x14ac:dyDescent="0.2">
      <c r="A1054">
        <v>2053</v>
      </c>
      <c r="B1054" t="s">
        <v>9</v>
      </c>
      <c r="C1054" t="s">
        <v>7</v>
      </c>
      <c r="D1054" s="1">
        <v>45307</v>
      </c>
      <c r="E1054">
        <v>49</v>
      </c>
      <c r="F1054">
        <v>0</v>
      </c>
      <c r="G1054">
        <f>IF(Gym_Expansion_Data[[#This Row],[Churned]]=0,1,0)</f>
        <v>1</v>
      </c>
      <c r="H1054" t="str">
        <f>IF(Gym_Expansion_Data[[#This Row],[Active Member]]=1,Gym_Expansion_Data[[#This Row],[Tier]],"Inactive")</f>
        <v>Basic</v>
      </c>
    </row>
    <row r="1055" spans="1:8" x14ac:dyDescent="0.2">
      <c r="A1055">
        <v>2054</v>
      </c>
      <c r="B1055" t="s">
        <v>10</v>
      </c>
      <c r="C1055" t="s">
        <v>12</v>
      </c>
      <c r="D1055" s="1">
        <v>45363</v>
      </c>
      <c r="E1055">
        <v>89</v>
      </c>
      <c r="F1055">
        <v>0</v>
      </c>
      <c r="G1055">
        <f>IF(Gym_Expansion_Data[[#This Row],[Churned]]=0,1,0)</f>
        <v>1</v>
      </c>
      <c r="H1055" t="str">
        <f>IF(Gym_Expansion_Data[[#This Row],[Active Member]]=1,Gym_Expansion_Data[[#This Row],[Tier]],"Inactive")</f>
        <v>Premium</v>
      </c>
    </row>
    <row r="1056" spans="1:8" x14ac:dyDescent="0.2">
      <c r="A1056">
        <v>2055</v>
      </c>
      <c r="B1056" t="s">
        <v>9</v>
      </c>
      <c r="C1056" t="s">
        <v>7</v>
      </c>
      <c r="D1056" s="1">
        <v>45971</v>
      </c>
      <c r="E1056">
        <v>49</v>
      </c>
      <c r="F1056">
        <v>0</v>
      </c>
      <c r="G1056">
        <f>IF(Gym_Expansion_Data[[#This Row],[Churned]]=0,1,0)</f>
        <v>1</v>
      </c>
      <c r="H1056" t="str">
        <f>IF(Gym_Expansion_Data[[#This Row],[Active Member]]=1,Gym_Expansion_Data[[#This Row],[Tier]],"Inactive")</f>
        <v>Basic</v>
      </c>
    </row>
    <row r="1057" spans="1:8" x14ac:dyDescent="0.2">
      <c r="A1057">
        <v>2056</v>
      </c>
      <c r="B1057" t="s">
        <v>6</v>
      </c>
      <c r="C1057" t="s">
        <v>7</v>
      </c>
      <c r="D1057" s="1">
        <v>45985</v>
      </c>
      <c r="E1057">
        <v>49</v>
      </c>
      <c r="F1057">
        <v>0</v>
      </c>
      <c r="G1057">
        <f>IF(Gym_Expansion_Data[[#This Row],[Churned]]=0,1,0)</f>
        <v>1</v>
      </c>
      <c r="H1057" t="str">
        <f>IF(Gym_Expansion_Data[[#This Row],[Active Member]]=1,Gym_Expansion_Data[[#This Row],[Tier]],"Inactive")</f>
        <v>Basic</v>
      </c>
    </row>
    <row r="1058" spans="1:8" x14ac:dyDescent="0.2">
      <c r="A1058">
        <v>2057</v>
      </c>
      <c r="B1058" t="s">
        <v>10</v>
      </c>
      <c r="C1058" t="s">
        <v>12</v>
      </c>
      <c r="D1058" s="1">
        <v>45936</v>
      </c>
      <c r="E1058">
        <v>89</v>
      </c>
      <c r="F1058">
        <v>0</v>
      </c>
      <c r="G1058">
        <f>IF(Gym_Expansion_Data[[#This Row],[Churned]]=0,1,0)</f>
        <v>1</v>
      </c>
      <c r="H1058" t="str">
        <f>IF(Gym_Expansion_Data[[#This Row],[Active Member]]=1,Gym_Expansion_Data[[#This Row],[Tier]],"Inactive")</f>
        <v>Premium</v>
      </c>
    </row>
    <row r="1059" spans="1:8" x14ac:dyDescent="0.2">
      <c r="A1059">
        <v>2058</v>
      </c>
      <c r="B1059" t="s">
        <v>11</v>
      </c>
      <c r="C1059" t="s">
        <v>7</v>
      </c>
      <c r="D1059" s="1">
        <v>45859</v>
      </c>
      <c r="E1059">
        <v>49</v>
      </c>
      <c r="F1059">
        <v>0</v>
      </c>
      <c r="G1059">
        <f>IF(Gym_Expansion_Data[[#This Row],[Churned]]=0,1,0)</f>
        <v>1</v>
      </c>
      <c r="H1059" t="str">
        <f>IF(Gym_Expansion_Data[[#This Row],[Active Member]]=1,Gym_Expansion_Data[[#This Row],[Tier]],"Inactive")</f>
        <v>Basic</v>
      </c>
    </row>
    <row r="1060" spans="1:8" x14ac:dyDescent="0.2">
      <c r="A1060">
        <v>2059</v>
      </c>
      <c r="B1060" t="s">
        <v>9</v>
      </c>
      <c r="C1060" t="s">
        <v>7</v>
      </c>
      <c r="D1060" s="1">
        <v>45851</v>
      </c>
      <c r="E1060">
        <v>49</v>
      </c>
      <c r="F1060">
        <v>0</v>
      </c>
      <c r="G1060">
        <f>IF(Gym_Expansion_Data[[#This Row],[Churned]]=0,1,0)</f>
        <v>1</v>
      </c>
      <c r="H1060" t="str">
        <f>IF(Gym_Expansion_Data[[#This Row],[Active Member]]=1,Gym_Expansion_Data[[#This Row],[Tier]],"Inactive")</f>
        <v>Basic</v>
      </c>
    </row>
    <row r="1061" spans="1:8" x14ac:dyDescent="0.2">
      <c r="A1061">
        <v>2060</v>
      </c>
      <c r="B1061" t="s">
        <v>9</v>
      </c>
      <c r="C1061" t="s">
        <v>12</v>
      </c>
      <c r="D1061" s="1">
        <v>45680</v>
      </c>
      <c r="E1061">
        <v>89</v>
      </c>
      <c r="F1061">
        <v>0</v>
      </c>
      <c r="G1061">
        <f>IF(Gym_Expansion_Data[[#This Row],[Churned]]=0,1,0)</f>
        <v>1</v>
      </c>
      <c r="H1061" t="str">
        <f>IF(Gym_Expansion_Data[[#This Row],[Active Member]]=1,Gym_Expansion_Data[[#This Row],[Tier]],"Inactive")</f>
        <v>Premium</v>
      </c>
    </row>
    <row r="1062" spans="1:8" x14ac:dyDescent="0.2">
      <c r="A1062">
        <v>2061</v>
      </c>
      <c r="B1062" t="s">
        <v>9</v>
      </c>
      <c r="C1062" t="s">
        <v>12</v>
      </c>
      <c r="D1062" s="1">
        <v>45758</v>
      </c>
      <c r="E1062">
        <v>89</v>
      </c>
      <c r="F1062">
        <v>1</v>
      </c>
      <c r="G1062">
        <f>IF(Gym_Expansion_Data[[#This Row],[Churned]]=0,1,0)</f>
        <v>0</v>
      </c>
      <c r="H1062" t="str">
        <f>IF(Gym_Expansion_Data[[#This Row],[Active Member]]=1,Gym_Expansion_Data[[#This Row],[Tier]],"Inactive")</f>
        <v>Inactive</v>
      </c>
    </row>
    <row r="1063" spans="1:8" x14ac:dyDescent="0.2">
      <c r="A1063">
        <v>2062</v>
      </c>
      <c r="B1063" t="s">
        <v>6</v>
      </c>
      <c r="C1063" t="s">
        <v>8</v>
      </c>
      <c r="D1063" s="1">
        <v>45947</v>
      </c>
      <c r="E1063">
        <v>129</v>
      </c>
      <c r="F1063">
        <v>0</v>
      </c>
      <c r="G1063">
        <f>IF(Gym_Expansion_Data[[#This Row],[Churned]]=0,1,0)</f>
        <v>1</v>
      </c>
      <c r="H1063" t="str">
        <f>IF(Gym_Expansion_Data[[#This Row],[Active Member]]=1,Gym_Expansion_Data[[#This Row],[Tier]],"Inactive")</f>
        <v>Elite</v>
      </c>
    </row>
    <row r="1064" spans="1:8" x14ac:dyDescent="0.2">
      <c r="A1064">
        <v>2063</v>
      </c>
      <c r="B1064" t="s">
        <v>9</v>
      </c>
      <c r="C1064" t="s">
        <v>8</v>
      </c>
      <c r="D1064" s="1">
        <v>45456</v>
      </c>
      <c r="E1064">
        <v>129</v>
      </c>
      <c r="F1064">
        <v>0</v>
      </c>
      <c r="G1064">
        <f>IF(Gym_Expansion_Data[[#This Row],[Churned]]=0,1,0)</f>
        <v>1</v>
      </c>
      <c r="H1064" t="str">
        <f>IF(Gym_Expansion_Data[[#This Row],[Active Member]]=1,Gym_Expansion_Data[[#This Row],[Tier]],"Inactive")</f>
        <v>Elite</v>
      </c>
    </row>
    <row r="1065" spans="1:8" x14ac:dyDescent="0.2">
      <c r="A1065">
        <v>2064</v>
      </c>
      <c r="B1065" t="s">
        <v>9</v>
      </c>
      <c r="C1065" t="s">
        <v>7</v>
      </c>
      <c r="D1065" s="1">
        <v>45852</v>
      </c>
      <c r="E1065">
        <v>49</v>
      </c>
      <c r="F1065">
        <v>0</v>
      </c>
      <c r="G1065">
        <f>IF(Gym_Expansion_Data[[#This Row],[Churned]]=0,1,0)</f>
        <v>1</v>
      </c>
      <c r="H1065" t="str">
        <f>IF(Gym_Expansion_Data[[#This Row],[Active Member]]=1,Gym_Expansion_Data[[#This Row],[Tier]],"Inactive")</f>
        <v>Basic</v>
      </c>
    </row>
    <row r="1066" spans="1:8" x14ac:dyDescent="0.2">
      <c r="A1066">
        <v>2065</v>
      </c>
      <c r="B1066" t="s">
        <v>11</v>
      </c>
      <c r="C1066" t="s">
        <v>8</v>
      </c>
      <c r="D1066" s="1">
        <v>45730</v>
      </c>
      <c r="E1066">
        <v>129</v>
      </c>
      <c r="F1066">
        <v>0</v>
      </c>
      <c r="G1066">
        <f>IF(Gym_Expansion_Data[[#This Row],[Churned]]=0,1,0)</f>
        <v>1</v>
      </c>
      <c r="H1066" t="str">
        <f>IF(Gym_Expansion_Data[[#This Row],[Active Member]]=1,Gym_Expansion_Data[[#This Row],[Tier]],"Inactive")</f>
        <v>Elite</v>
      </c>
    </row>
    <row r="1067" spans="1:8" x14ac:dyDescent="0.2">
      <c r="A1067">
        <v>2066</v>
      </c>
      <c r="B1067" t="s">
        <v>10</v>
      </c>
      <c r="C1067" t="s">
        <v>7</v>
      </c>
      <c r="D1067" s="1">
        <v>45759</v>
      </c>
      <c r="E1067">
        <v>49</v>
      </c>
      <c r="F1067">
        <v>0</v>
      </c>
      <c r="G1067">
        <f>IF(Gym_Expansion_Data[[#This Row],[Churned]]=0,1,0)</f>
        <v>1</v>
      </c>
      <c r="H1067" t="str">
        <f>IF(Gym_Expansion_Data[[#This Row],[Active Member]]=1,Gym_Expansion_Data[[#This Row],[Tier]],"Inactive")</f>
        <v>Basic</v>
      </c>
    </row>
    <row r="1068" spans="1:8" x14ac:dyDescent="0.2">
      <c r="A1068">
        <v>2067</v>
      </c>
      <c r="B1068" t="s">
        <v>6</v>
      </c>
      <c r="C1068" t="s">
        <v>12</v>
      </c>
      <c r="D1068" s="1">
        <v>45887</v>
      </c>
      <c r="E1068">
        <v>89</v>
      </c>
      <c r="F1068">
        <v>1</v>
      </c>
      <c r="G1068">
        <f>IF(Gym_Expansion_Data[[#This Row],[Churned]]=0,1,0)</f>
        <v>0</v>
      </c>
      <c r="H1068" t="str">
        <f>IF(Gym_Expansion_Data[[#This Row],[Active Member]]=1,Gym_Expansion_Data[[#This Row],[Tier]],"Inactive")</f>
        <v>Inactive</v>
      </c>
    </row>
    <row r="1069" spans="1:8" x14ac:dyDescent="0.2">
      <c r="A1069">
        <v>2068</v>
      </c>
      <c r="B1069" t="s">
        <v>9</v>
      </c>
      <c r="C1069" t="s">
        <v>8</v>
      </c>
      <c r="D1069" s="1">
        <v>45795</v>
      </c>
      <c r="E1069">
        <v>129</v>
      </c>
      <c r="F1069">
        <v>0</v>
      </c>
      <c r="G1069">
        <f>IF(Gym_Expansion_Data[[#This Row],[Churned]]=0,1,0)</f>
        <v>1</v>
      </c>
      <c r="H1069" t="str">
        <f>IF(Gym_Expansion_Data[[#This Row],[Active Member]]=1,Gym_Expansion_Data[[#This Row],[Tier]],"Inactive")</f>
        <v>Elite</v>
      </c>
    </row>
    <row r="1070" spans="1:8" x14ac:dyDescent="0.2">
      <c r="A1070">
        <v>2069</v>
      </c>
      <c r="B1070" t="s">
        <v>11</v>
      </c>
      <c r="C1070" t="s">
        <v>7</v>
      </c>
      <c r="D1070" s="1">
        <v>45945</v>
      </c>
      <c r="E1070">
        <v>49</v>
      </c>
      <c r="F1070">
        <v>1</v>
      </c>
      <c r="G1070">
        <f>IF(Gym_Expansion_Data[[#This Row],[Churned]]=0,1,0)</f>
        <v>0</v>
      </c>
      <c r="H1070" t="str">
        <f>IF(Gym_Expansion_Data[[#This Row],[Active Member]]=1,Gym_Expansion_Data[[#This Row],[Tier]],"Inactive")</f>
        <v>Inactive</v>
      </c>
    </row>
    <row r="1071" spans="1:8" x14ac:dyDescent="0.2">
      <c r="A1071">
        <v>2070</v>
      </c>
      <c r="B1071" t="s">
        <v>10</v>
      </c>
      <c r="C1071" t="s">
        <v>12</v>
      </c>
      <c r="D1071" s="1">
        <v>45444</v>
      </c>
      <c r="E1071">
        <v>89</v>
      </c>
      <c r="F1071">
        <v>0</v>
      </c>
      <c r="G1071">
        <f>IF(Gym_Expansion_Data[[#This Row],[Churned]]=0,1,0)</f>
        <v>1</v>
      </c>
      <c r="H1071" t="str">
        <f>IF(Gym_Expansion_Data[[#This Row],[Active Member]]=1,Gym_Expansion_Data[[#This Row],[Tier]],"Inactive")</f>
        <v>Premium</v>
      </c>
    </row>
    <row r="1072" spans="1:8" x14ac:dyDescent="0.2">
      <c r="A1072">
        <v>2071</v>
      </c>
      <c r="B1072" t="s">
        <v>11</v>
      </c>
      <c r="C1072" t="s">
        <v>7</v>
      </c>
      <c r="D1072" s="1">
        <v>45688</v>
      </c>
      <c r="E1072">
        <v>49</v>
      </c>
      <c r="F1072">
        <v>0</v>
      </c>
      <c r="G1072">
        <f>IF(Gym_Expansion_Data[[#This Row],[Churned]]=0,1,0)</f>
        <v>1</v>
      </c>
      <c r="H1072" t="str">
        <f>IF(Gym_Expansion_Data[[#This Row],[Active Member]]=1,Gym_Expansion_Data[[#This Row],[Tier]],"Inactive")</f>
        <v>Basic</v>
      </c>
    </row>
    <row r="1073" spans="1:8" x14ac:dyDescent="0.2">
      <c r="A1073">
        <v>2072</v>
      </c>
      <c r="B1073" t="s">
        <v>9</v>
      </c>
      <c r="C1073" t="s">
        <v>8</v>
      </c>
      <c r="D1073" s="1">
        <v>45568</v>
      </c>
      <c r="E1073">
        <v>129</v>
      </c>
      <c r="F1073">
        <v>1</v>
      </c>
      <c r="G1073">
        <f>IF(Gym_Expansion_Data[[#This Row],[Churned]]=0,1,0)</f>
        <v>0</v>
      </c>
      <c r="H1073" t="str">
        <f>IF(Gym_Expansion_Data[[#This Row],[Active Member]]=1,Gym_Expansion_Data[[#This Row],[Tier]],"Inactive")</f>
        <v>Inactive</v>
      </c>
    </row>
    <row r="1074" spans="1:8" x14ac:dyDescent="0.2">
      <c r="A1074">
        <v>2073</v>
      </c>
      <c r="B1074" t="s">
        <v>11</v>
      </c>
      <c r="C1074" t="s">
        <v>7</v>
      </c>
      <c r="D1074" s="1">
        <v>45394</v>
      </c>
      <c r="E1074">
        <v>49</v>
      </c>
      <c r="F1074">
        <v>1</v>
      </c>
      <c r="G1074">
        <f>IF(Gym_Expansion_Data[[#This Row],[Churned]]=0,1,0)</f>
        <v>0</v>
      </c>
      <c r="H1074" t="str">
        <f>IF(Gym_Expansion_Data[[#This Row],[Active Member]]=1,Gym_Expansion_Data[[#This Row],[Tier]],"Inactive")</f>
        <v>Inactive</v>
      </c>
    </row>
    <row r="1075" spans="1:8" x14ac:dyDescent="0.2">
      <c r="A1075">
        <v>2074</v>
      </c>
      <c r="B1075" t="s">
        <v>6</v>
      </c>
      <c r="C1075" t="s">
        <v>7</v>
      </c>
      <c r="D1075" s="1">
        <v>45316</v>
      </c>
      <c r="E1075">
        <v>49</v>
      </c>
      <c r="F1075">
        <v>0</v>
      </c>
      <c r="G1075">
        <f>IF(Gym_Expansion_Data[[#This Row],[Churned]]=0,1,0)</f>
        <v>1</v>
      </c>
      <c r="H1075" t="str">
        <f>IF(Gym_Expansion_Data[[#This Row],[Active Member]]=1,Gym_Expansion_Data[[#This Row],[Tier]],"Inactive")</f>
        <v>Basic</v>
      </c>
    </row>
    <row r="1076" spans="1:8" x14ac:dyDescent="0.2">
      <c r="A1076">
        <v>2075</v>
      </c>
      <c r="B1076" t="s">
        <v>9</v>
      </c>
      <c r="C1076" t="s">
        <v>7</v>
      </c>
      <c r="D1076" s="1">
        <v>45648</v>
      </c>
      <c r="E1076">
        <v>49</v>
      </c>
      <c r="F1076">
        <v>0</v>
      </c>
      <c r="G1076">
        <f>IF(Gym_Expansion_Data[[#This Row],[Churned]]=0,1,0)</f>
        <v>1</v>
      </c>
      <c r="H1076" t="str">
        <f>IF(Gym_Expansion_Data[[#This Row],[Active Member]]=1,Gym_Expansion_Data[[#This Row],[Tier]],"Inactive")</f>
        <v>Basic</v>
      </c>
    </row>
    <row r="1077" spans="1:8" x14ac:dyDescent="0.2">
      <c r="A1077">
        <v>2076</v>
      </c>
      <c r="B1077" t="s">
        <v>10</v>
      </c>
      <c r="C1077" t="s">
        <v>7</v>
      </c>
      <c r="D1077" s="1">
        <v>45496</v>
      </c>
      <c r="E1077">
        <v>49</v>
      </c>
      <c r="F1077">
        <v>0</v>
      </c>
      <c r="G1077">
        <f>IF(Gym_Expansion_Data[[#This Row],[Churned]]=0,1,0)</f>
        <v>1</v>
      </c>
      <c r="H1077" t="str">
        <f>IF(Gym_Expansion_Data[[#This Row],[Active Member]]=1,Gym_Expansion_Data[[#This Row],[Tier]],"Inactive")</f>
        <v>Basic</v>
      </c>
    </row>
    <row r="1078" spans="1:8" x14ac:dyDescent="0.2">
      <c r="A1078">
        <v>2077</v>
      </c>
      <c r="B1078" t="s">
        <v>6</v>
      </c>
      <c r="C1078" t="s">
        <v>7</v>
      </c>
      <c r="D1078" s="1">
        <v>45569</v>
      </c>
      <c r="E1078">
        <v>49</v>
      </c>
      <c r="F1078">
        <v>0</v>
      </c>
      <c r="G1078">
        <f>IF(Gym_Expansion_Data[[#This Row],[Churned]]=0,1,0)</f>
        <v>1</v>
      </c>
      <c r="H1078" t="str">
        <f>IF(Gym_Expansion_Data[[#This Row],[Active Member]]=1,Gym_Expansion_Data[[#This Row],[Tier]],"Inactive")</f>
        <v>Basic</v>
      </c>
    </row>
    <row r="1079" spans="1:8" x14ac:dyDescent="0.2">
      <c r="A1079">
        <v>2078</v>
      </c>
      <c r="B1079" t="s">
        <v>9</v>
      </c>
      <c r="C1079" t="s">
        <v>8</v>
      </c>
      <c r="D1079" s="1">
        <v>45659</v>
      </c>
      <c r="E1079">
        <v>129</v>
      </c>
      <c r="F1079">
        <v>0</v>
      </c>
      <c r="G1079">
        <f>IF(Gym_Expansion_Data[[#This Row],[Churned]]=0,1,0)</f>
        <v>1</v>
      </c>
      <c r="H1079" t="str">
        <f>IF(Gym_Expansion_Data[[#This Row],[Active Member]]=1,Gym_Expansion_Data[[#This Row],[Tier]],"Inactive")</f>
        <v>Elite</v>
      </c>
    </row>
    <row r="1080" spans="1:8" x14ac:dyDescent="0.2">
      <c r="A1080">
        <v>2079</v>
      </c>
      <c r="B1080" t="s">
        <v>9</v>
      </c>
      <c r="C1080" t="s">
        <v>12</v>
      </c>
      <c r="D1080" s="1">
        <v>45519</v>
      </c>
      <c r="E1080">
        <v>89</v>
      </c>
      <c r="F1080">
        <v>0</v>
      </c>
      <c r="G1080">
        <f>IF(Gym_Expansion_Data[[#This Row],[Churned]]=0,1,0)</f>
        <v>1</v>
      </c>
      <c r="H1080" t="str">
        <f>IF(Gym_Expansion_Data[[#This Row],[Active Member]]=1,Gym_Expansion_Data[[#This Row],[Tier]],"Inactive")</f>
        <v>Premium</v>
      </c>
    </row>
    <row r="1081" spans="1:8" x14ac:dyDescent="0.2">
      <c r="A1081">
        <v>2080</v>
      </c>
      <c r="B1081" t="s">
        <v>9</v>
      </c>
      <c r="C1081" t="s">
        <v>8</v>
      </c>
      <c r="D1081" s="1">
        <v>45630</v>
      </c>
      <c r="E1081">
        <v>129</v>
      </c>
      <c r="F1081">
        <v>1</v>
      </c>
      <c r="G1081">
        <f>IF(Gym_Expansion_Data[[#This Row],[Churned]]=0,1,0)</f>
        <v>0</v>
      </c>
      <c r="H1081" t="str">
        <f>IF(Gym_Expansion_Data[[#This Row],[Active Member]]=1,Gym_Expansion_Data[[#This Row],[Tier]],"Inactive")</f>
        <v>Inactive</v>
      </c>
    </row>
    <row r="1082" spans="1:8" x14ac:dyDescent="0.2">
      <c r="A1082">
        <v>2081</v>
      </c>
      <c r="B1082" t="s">
        <v>11</v>
      </c>
      <c r="C1082" t="s">
        <v>8</v>
      </c>
      <c r="D1082" s="1">
        <v>45571</v>
      </c>
      <c r="E1082">
        <v>129</v>
      </c>
      <c r="F1082">
        <v>0</v>
      </c>
      <c r="G1082">
        <f>IF(Gym_Expansion_Data[[#This Row],[Churned]]=0,1,0)</f>
        <v>1</v>
      </c>
      <c r="H1082" t="str">
        <f>IF(Gym_Expansion_Data[[#This Row],[Active Member]]=1,Gym_Expansion_Data[[#This Row],[Tier]],"Inactive")</f>
        <v>Elite</v>
      </c>
    </row>
    <row r="1083" spans="1:8" x14ac:dyDescent="0.2">
      <c r="A1083">
        <v>2082</v>
      </c>
      <c r="B1083" t="s">
        <v>6</v>
      </c>
      <c r="C1083" t="s">
        <v>7</v>
      </c>
      <c r="D1083" s="1">
        <v>45886</v>
      </c>
      <c r="E1083">
        <v>49</v>
      </c>
      <c r="F1083">
        <v>0</v>
      </c>
      <c r="G1083">
        <f>IF(Gym_Expansion_Data[[#This Row],[Churned]]=0,1,0)</f>
        <v>1</v>
      </c>
      <c r="H1083" t="str">
        <f>IF(Gym_Expansion_Data[[#This Row],[Active Member]]=1,Gym_Expansion_Data[[#This Row],[Tier]],"Inactive")</f>
        <v>Basic</v>
      </c>
    </row>
    <row r="1084" spans="1:8" x14ac:dyDescent="0.2">
      <c r="A1084">
        <v>2083</v>
      </c>
      <c r="B1084" t="s">
        <v>11</v>
      </c>
      <c r="C1084" t="s">
        <v>7</v>
      </c>
      <c r="D1084" s="1">
        <v>45855</v>
      </c>
      <c r="E1084">
        <v>49</v>
      </c>
      <c r="F1084">
        <v>0</v>
      </c>
      <c r="G1084">
        <f>IF(Gym_Expansion_Data[[#This Row],[Churned]]=0,1,0)</f>
        <v>1</v>
      </c>
      <c r="H1084" t="str">
        <f>IF(Gym_Expansion_Data[[#This Row],[Active Member]]=1,Gym_Expansion_Data[[#This Row],[Tier]],"Inactive")</f>
        <v>Basic</v>
      </c>
    </row>
    <row r="1085" spans="1:8" x14ac:dyDescent="0.2">
      <c r="A1085">
        <v>2084</v>
      </c>
      <c r="B1085" t="s">
        <v>10</v>
      </c>
      <c r="C1085" t="s">
        <v>12</v>
      </c>
      <c r="D1085" s="1">
        <v>45462</v>
      </c>
      <c r="E1085">
        <v>89</v>
      </c>
      <c r="F1085">
        <v>0</v>
      </c>
      <c r="G1085">
        <f>IF(Gym_Expansion_Data[[#This Row],[Churned]]=0,1,0)</f>
        <v>1</v>
      </c>
      <c r="H1085" t="str">
        <f>IF(Gym_Expansion_Data[[#This Row],[Active Member]]=1,Gym_Expansion_Data[[#This Row],[Tier]],"Inactive")</f>
        <v>Premium</v>
      </c>
    </row>
    <row r="1086" spans="1:8" x14ac:dyDescent="0.2">
      <c r="A1086">
        <v>2085</v>
      </c>
      <c r="B1086" t="s">
        <v>10</v>
      </c>
      <c r="C1086" t="s">
        <v>7</v>
      </c>
      <c r="D1086" s="1">
        <v>45990</v>
      </c>
      <c r="E1086">
        <v>49</v>
      </c>
      <c r="F1086">
        <v>0</v>
      </c>
      <c r="G1086">
        <f>IF(Gym_Expansion_Data[[#This Row],[Churned]]=0,1,0)</f>
        <v>1</v>
      </c>
      <c r="H1086" t="str">
        <f>IF(Gym_Expansion_Data[[#This Row],[Active Member]]=1,Gym_Expansion_Data[[#This Row],[Tier]],"Inactive")</f>
        <v>Basic</v>
      </c>
    </row>
    <row r="1087" spans="1:8" x14ac:dyDescent="0.2">
      <c r="A1087">
        <v>2086</v>
      </c>
      <c r="B1087" t="s">
        <v>9</v>
      </c>
      <c r="C1087" t="s">
        <v>12</v>
      </c>
      <c r="D1087" s="1">
        <v>45309</v>
      </c>
      <c r="E1087">
        <v>89</v>
      </c>
      <c r="F1087">
        <v>0</v>
      </c>
      <c r="G1087">
        <f>IF(Gym_Expansion_Data[[#This Row],[Churned]]=0,1,0)</f>
        <v>1</v>
      </c>
      <c r="H1087" t="str">
        <f>IF(Gym_Expansion_Data[[#This Row],[Active Member]]=1,Gym_Expansion_Data[[#This Row],[Tier]],"Inactive")</f>
        <v>Premium</v>
      </c>
    </row>
    <row r="1088" spans="1:8" x14ac:dyDescent="0.2">
      <c r="A1088">
        <v>2087</v>
      </c>
      <c r="B1088" t="s">
        <v>6</v>
      </c>
      <c r="C1088" t="s">
        <v>7</v>
      </c>
      <c r="D1088" s="1">
        <v>45596</v>
      </c>
      <c r="E1088">
        <v>49</v>
      </c>
      <c r="F1088">
        <v>0</v>
      </c>
      <c r="G1088">
        <f>IF(Gym_Expansion_Data[[#This Row],[Churned]]=0,1,0)</f>
        <v>1</v>
      </c>
      <c r="H1088" t="str">
        <f>IF(Gym_Expansion_Data[[#This Row],[Active Member]]=1,Gym_Expansion_Data[[#This Row],[Tier]],"Inactive")</f>
        <v>Basic</v>
      </c>
    </row>
    <row r="1089" spans="1:8" x14ac:dyDescent="0.2">
      <c r="A1089">
        <v>2088</v>
      </c>
      <c r="B1089" t="s">
        <v>11</v>
      </c>
      <c r="C1089" t="s">
        <v>12</v>
      </c>
      <c r="D1089" s="1">
        <v>45317</v>
      </c>
      <c r="E1089">
        <v>89</v>
      </c>
      <c r="F1089">
        <v>0</v>
      </c>
      <c r="G1089">
        <f>IF(Gym_Expansion_Data[[#This Row],[Churned]]=0,1,0)</f>
        <v>1</v>
      </c>
      <c r="H1089" t="str">
        <f>IF(Gym_Expansion_Data[[#This Row],[Active Member]]=1,Gym_Expansion_Data[[#This Row],[Tier]],"Inactive")</f>
        <v>Premium</v>
      </c>
    </row>
    <row r="1090" spans="1:8" x14ac:dyDescent="0.2">
      <c r="A1090">
        <v>2089</v>
      </c>
      <c r="B1090" t="s">
        <v>10</v>
      </c>
      <c r="C1090" t="s">
        <v>12</v>
      </c>
      <c r="D1090" s="1">
        <v>45589</v>
      </c>
      <c r="E1090">
        <v>89</v>
      </c>
      <c r="F1090">
        <v>1</v>
      </c>
      <c r="G1090">
        <f>IF(Gym_Expansion_Data[[#This Row],[Churned]]=0,1,0)</f>
        <v>0</v>
      </c>
      <c r="H1090" t="str">
        <f>IF(Gym_Expansion_Data[[#This Row],[Active Member]]=1,Gym_Expansion_Data[[#This Row],[Tier]],"Inactive")</f>
        <v>Inactive</v>
      </c>
    </row>
    <row r="1091" spans="1:8" x14ac:dyDescent="0.2">
      <c r="A1091">
        <v>2090</v>
      </c>
      <c r="B1091" t="s">
        <v>9</v>
      </c>
      <c r="C1091" t="s">
        <v>12</v>
      </c>
      <c r="D1091" s="1">
        <v>45443</v>
      </c>
      <c r="E1091">
        <v>89</v>
      </c>
      <c r="F1091">
        <v>1</v>
      </c>
      <c r="G1091">
        <f>IF(Gym_Expansion_Data[[#This Row],[Churned]]=0,1,0)</f>
        <v>0</v>
      </c>
      <c r="H1091" t="str">
        <f>IF(Gym_Expansion_Data[[#This Row],[Active Member]]=1,Gym_Expansion_Data[[#This Row],[Tier]],"Inactive")</f>
        <v>Inactive</v>
      </c>
    </row>
    <row r="1092" spans="1:8" x14ac:dyDescent="0.2">
      <c r="A1092">
        <v>2091</v>
      </c>
      <c r="B1092" t="s">
        <v>6</v>
      </c>
      <c r="C1092" t="s">
        <v>12</v>
      </c>
      <c r="D1092" s="1">
        <v>45729</v>
      </c>
      <c r="E1092">
        <v>89</v>
      </c>
      <c r="F1092">
        <v>0</v>
      </c>
      <c r="G1092">
        <f>IF(Gym_Expansion_Data[[#This Row],[Churned]]=0,1,0)</f>
        <v>1</v>
      </c>
      <c r="H1092" t="str">
        <f>IF(Gym_Expansion_Data[[#This Row],[Active Member]]=1,Gym_Expansion_Data[[#This Row],[Tier]],"Inactive")</f>
        <v>Premium</v>
      </c>
    </row>
    <row r="1093" spans="1:8" x14ac:dyDescent="0.2">
      <c r="A1093">
        <v>2092</v>
      </c>
      <c r="B1093" t="s">
        <v>9</v>
      </c>
      <c r="C1093" t="s">
        <v>7</v>
      </c>
      <c r="D1093" s="1">
        <v>45822</v>
      </c>
      <c r="E1093">
        <v>49</v>
      </c>
      <c r="F1093">
        <v>0</v>
      </c>
      <c r="G1093">
        <f>IF(Gym_Expansion_Data[[#This Row],[Churned]]=0,1,0)</f>
        <v>1</v>
      </c>
      <c r="H1093" t="str">
        <f>IF(Gym_Expansion_Data[[#This Row],[Active Member]]=1,Gym_Expansion_Data[[#This Row],[Tier]],"Inactive")</f>
        <v>Basic</v>
      </c>
    </row>
    <row r="1094" spans="1:8" x14ac:dyDescent="0.2">
      <c r="A1094">
        <v>2093</v>
      </c>
      <c r="B1094" t="s">
        <v>10</v>
      </c>
      <c r="C1094" t="s">
        <v>7</v>
      </c>
      <c r="D1094" s="1">
        <v>45966</v>
      </c>
      <c r="E1094">
        <v>49</v>
      </c>
      <c r="F1094">
        <v>1</v>
      </c>
      <c r="G1094">
        <f>IF(Gym_Expansion_Data[[#This Row],[Churned]]=0,1,0)</f>
        <v>0</v>
      </c>
      <c r="H1094" t="str">
        <f>IF(Gym_Expansion_Data[[#This Row],[Active Member]]=1,Gym_Expansion_Data[[#This Row],[Tier]],"Inactive")</f>
        <v>Inactive</v>
      </c>
    </row>
    <row r="1095" spans="1:8" x14ac:dyDescent="0.2">
      <c r="A1095">
        <v>2094</v>
      </c>
      <c r="B1095" t="s">
        <v>11</v>
      </c>
      <c r="C1095" t="s">
        <v>7</v>
      </c>
      <c r="D1095" s="1">
        <v>45830</v>
      </c>
      <c r="E1095">
        <v>49</v>
      </c>
      <c r="F1095">
        <v>0</v>
      </c>
      <c r="G1095">
        <f>IF(Gym_Expansion_Data[[#This Row],[Churned]]=0,1,0)</f>
        <v>1</v>
      </c>
      <c r="H1095" t="str">
        <f>IF(Gym_Expansion_Data[[#This Row],[Active Member]]=1,Gym_Expansion_Data[[#This Row],[Tier]],"Inactive")</f>
        <v>Basic</v>
      </c>
    </row>
    <row r="1096" spans="1:8" x14ac:dyDescent="0.2">
      <c r="A1096">
        <v>2095</v>
      </c>
      <c r="B1096" t="s">
        <v>9</v>
      </c>
      <c r="C1096" t="s">
        <v>7</v>
      </c>
      <c r="D1096" s="1">
        <v>45723</v>
      </c>
      <c r="E1096">
        <v>49</v>
      </c>
      <c r="F1096">
        <v>0</v>
      </c>
      <c r="G1096">
        <f>IF(Gym_Expansion_Data[[#This Row],[Churned]]=0,1,0)</f>
        <v>1</v>
      </c>
      <c r="H1096" t="str">
        <f>IF(Gym_Expansion_Data[[#This Row],[Active Member]]=1,Gym_Expansion_Data[[#This Row],[Tier]],"Inactive")</f>
        <v>Basic</v>
      </c>
    </row>
    <row r="1097" spans="1:8" x14ac:dyDescent="0.2">
      <c r="A1097">
        <v>2096</v>
      </c>
      <c r="B1097" t="s">
        <v>11</v>
      </c>
      <c r="C1097" t="s">
        <v>7</v>
      </c>
      <c r="D1097" s="1">
        <v>45317</v>
      </c>
      <c r="E1097">
        <v>49</v>
      </c>
      <c r="F1097">
        <v>1</v>
      </c>
      <c r="G1097">
        <f>IF(Gym_Expansion_Data[[#This Row],[Churned]]=0,1,0)</f>
        <v>0</v>
      </c>
      <c r="H1097" t="str">
        <f>IF(Gym_Expansion_Data[[#This Row],[Active Member]]=1,Gym_Expansion_Data[[#This Row],[Tier]],"Inactive")</f>
        <v>Inactive</v>
      </c>
    </row>
    <row r="1098" spans="1:8" x14ac:dyDescent="0.2">
      <c r="A1098">
        <v>2097</v>
      </c>
      <c r="B1098" t="s">
        <v>11</v>
      </c>
      <c r="C1098" t="s">
        <v>12</v>
      </c>
      <c r="D1098" s="1">
        <v>45856</v>
      </c>
      <c r="E1098">
        <v>89</v>
      </c>
      <c r="F1098">
        <v>0</v>
      </c>
      <c r="G1098">
        <f>IF(Gym_Expansion_Data[[#This Row],[Churned]]=0,1,0)</f>
        <v>1</v>
      </c>
      <c r="H1098" t="str">
        <f>IF(Gym_Expansion_Data[[#This Row],[Active Member]]=1,Gym_Expansion_Data[[#This Row],[Tier]],"Inactive")</f>
        <v>Premium</v>
      </c>
    </row>
    <row r="1099" spans="1:8" x14ac:dyDescent="0.2">
      <c r="A1099">
        <v>2098</v>
      </c>
      <c r="B1099" t="s">
        <v>9</v>
      </c>
      <c r="C1099" t="s">
        <v>8</v>
      </c>
      <c r="D1099" s="1">
        <v>45829</v>
      </c>
      <c r="E1099">
        <v>129</v>
      </c>
      <c r="F1099">
        <v>0</v>
      </c>
      <c r="G1099">
        <f>IF(Gym_Expansion_Data[[#This Row],[Churned]]=0,1,0)</f>
        <v>1</v>
      </c>
      <c r="H1099" t="str">
        <f>IF(Gym_Expansion_Data[[#This Row],[Active Member]]=1,Gym_Expansion_Data[[#This Row],[Tier]],"Inactive")</f>
        <v>Elite</v>
      </c>
    </row>
    <row r="1100" spans="1:8" x14ac:dyDescent="0.2">
      <c r="A1100">
        <v>2099</v>
      </c>
      <c r="B1100" t="s">
        <v>6</v>
      </c>
      <c r="C1100" t="s">
        <v>7</v>
      </c>
      <c r="D1100" s="1">
        <v>45680</v>
      </c>
      <c r="E1100">
        <v>49</v>
      </c>
      <c r="F1100">
        <v>0</v>
      </c>
      <c r="G1100">
        <f>IF(Gym_Expansion_Data[[#This Row],[Churned]]=0,1,0)</f>
        <v>1</v>
      </c>
      <c r="H1100" t="str">
        <f>IF(Gym_Expansion_Data[[#This Row],[Active Member]]=1,Gym_Expansion_Data[[#This Row],[Tier]],"Inactive")</f>
        <v>Basic</v>
      </c>
    </row>
    <row r="1101" spans="1:8" x14ac:dyDescent="0.2">
      <c r="A1101">
        <v>2100</v>
      </c>
      <c r="B1101" t="s">
        <v>11</v>
      </c>
      <c r="C1101" t="s">
        <v>8</v>
      </c>
      <c r="D1101" s="1">
        <v>45969</v>
      </c>
      <c r="E1101">
        <v>129</v>
      </c>
      <c r="F1101">
        <v>0</v>
      </c>
      <c r="G1101">
        <f>IF(Gym_Expansion_Data[[#This Row],[Churned]]=0,1,0)</f>
        <v>1</v>
      </c>
      <c r="H1101" t="str">
        <f>IF(Gym_Expansion_Data[[#This Row],[Active Member]]=1,Gym_Expansion_Data[[#This Row],[Tier]],"Inactive")</f>
        <v>Elite</v>
      </c>
    </row>
    <row r="1102" spans="1:8" x14ac:dyDescent="0.2">
      <c r="A1102">
        <v>2101</v>
      </c>
      <c r="B1102" t="s">
        <v>9</v>
      </c>
      <c r="C1102" t="s">
        <v>7</v>
      </c>
      <c r="D1102" s="1">
        <v>45903</v>
      </c>
      <c r="E1102">
        <v>49</v>
      </c>
      <c r="F1102">
        <v>0</v>
      </c>
      <c r="G1102">
        <f>IF(Gym_Expansion_Data[[#This Row],[Churned]]=0,1,0)</f>
        <v>1</v>
      </c>
      <c r="H1102" t="str">
        <f>IF(Gym_Expansion_Data[[#This Row],[Active Member]]=1,Gym_Expansion_Data[[#This Row],[Tier]],"Inactive")</f>
        <v>Basic</v>
      </c>
    </row>
    <row r="1103" spans="1:8" x14ac:dyDescent="0.2">
      <c r="A1103">
        <v>2102</v>
      </c>
      <c r="B1103" t="s">
        <v>10</v>
      </c>
      <c r="C1103" t="s">
        <v>12</v>
      </c>
      <c r="D1103" s="1">
        <v>45586</v>
      </c>
      <c r="E1103">
        <v>89</v>
      </c>
      <c r="F1103">
        <v>0</v>
      </c>
      <c r="G1103">
        <f>IF(Gym_Expansion_Data[[#This Row],[Churned]]=0,1,0)</f>
        <v>1</v>
      </c>
      <c r="H1103" t="str">
        <f>IF(Gym_Expansion_Data[[#This Row],[Active Member]]=1,Gym_Expansion_Data[[#This Row],[Tier]],"Inactive")</f>
        <v>Premium</v>
      </c>
    </row>
    <row r="1104" spans="1:8" x14ac:dyDescent="0.2">
      <c r="A1104">
        <v>2103</v>
      </c>
      <c r="B1104" t="s">
        <v>10</v>
      </c>
      <c r="C1104" t="s">
        <v>7</v>
      </c>
      <c r="D1104" s="1">
        <v>45626</v>
      </c>
      <c r="E1104">
        <v>49</v>
      </c>
      <c r="F1104">
        <v>0</v>
      </c>
      <c r="G1104">
        <f>IF(Gym_Expansion_Data[[#This Row],[Churned]]=0,1,0)</f>
        <v>1</v>
      </c>
      <c r="H1104" t="str">
        <f>IF(Gym_Expansion_Data[[#This Row],[Active Member]]=1,Gym_Expansion_Data[[#This Row],[Tier]],"Inactive")</f>
        <v>Basic</v>
      </c>
    </row>
    <row r="1105" spans="1:8" x14ac:dyDescent="0.2">
      <c r="A1105">
        <v>2104</v>
      </c>
      <c r="B1105" t="s">
        <v>9</v>
      </c>
      <c r="C1105" t="s">
        <v>8</v>
      </c>
      <c r="D1105" s="1">
        <v>45519</v>
      </c>
      <c r="E1105">
        <v>129</v>
      </c>
      <c r="F1105">
        <v>0</v>
      </c>
      <c r="G1105">
        <f>IF(Gym_Expansion_Data[[#This Row],[Churned]]=0,1,0)</f>
        <v>1</v>
      </c>
      <c r="H1105" t="str">
        <f>IF(Gym_Expansion_Data[[#This Row],[Active Member]]=1,Gym_Expansion_Data[[#This Row],[Tier]],"Inactive")</f>
        <v>Elite</v>
      </c>
    </row>
    <row r="1106" spans="1:8" x14ac:dyDescent="0.2">
      <c r="A1106">
        <v>2105</v>
      </c>
      <c r="B1106" t="s">
        <v>11</v>
      </c>
      <c r="C1106" t="s">
        <v>7</v>
      </c>
      <c r="D1106" s="1">
        <v>45410</v>
      </c>
      <c r="E1106">
        <v>49</v>
      </c>
      <c r="F1106">
        <v>0</v>
      </c>
      <c r="G1106">
        <f>IF(Gym_Expansion_Data[[#This Row],[Churned]]=0,1,0)</f>
        <v>1</v>
      </c>
      <c r="H1106" t="str">
        <f>IF(Gym_Expansion_Data[[#This Row],[Active Member]]=1,Gym_Expansion_Data[[#This Row],[Tier]],"Inactive")</f>
        <v>Basic</v>
      </c>
    </row>
    <row r="1107" spans="1:8" x14ac:dyDescent="0.2">
      <c r="A1107">
        <v>2106</v>
      </c>
      <c r="B1107" t="s">
        <v>10</v>
      </c>
      <c r="C1107" t="s">
        <v>7</v>
      </c>
      <c r="D1107" s="1">
        <v>45631</v>
      </c>
      <c r="E1107">
        <v>49</v>
      </c>
      <c r="F1107">
        <v>0</v>
      </c>
      <c r="G1107">
        <f>IF(Gym_Expansion_Data[[#This Row],[Churned]]=0,1,0)</f>
        <v>1</v>
      </c>
      <c r="H1107" t="str">
        <f>IF(Gym_Expansion_Data[[#This Row],[Active Member]]=1,Gym_Expansion_Data[[#This Row],[Tier]],"Inactive")</f>
        <v>Basic</v>
      </c>
    </row>
    <row r="1108" spans="1:8" x14ac:dyDescent="0.2">
      <c r="A1108">
        <v>2107</v>
      </c>
      <c r="B1108" t="s">
        <v>6</v>
      </c>
      <c r="C1108" t="s">
        <v>7</v>
      </c>
      <c r="D1108" s="1">
        <v>45485</v>
      </c>
      <c r="E1108">
        <v>49</v>
      </c>
      <c r="F1108">
        <v>0</v>
      </c>
      <c r="G1108">
        <f>IF(Gym_Expansion_Data[[#This Row],[Churned]]=0,1,0)</f>
        <v>1</v>
      </c>
      <c r="H1108" t="str">
        <f>IF(Gym_Expansion_Data[[#This Row],[Active Member]]=1,Gym_Expansion_Data[[#This Row],[Tier]],"Inactive")</f>
        <v>Basic</v>
      </c>
    </row>
    <row r="1109" spans="1:8" x14ac:dyDescent="0.2">
      <c r="A1109">
        <v>2108</v>
      </c>
      <c r="B1109" t="s">
        <v>11</v>
      </c>
      <c r="C1109" t="s">
        <v>12</v>
      </c>
      <c r="D1109" s="1">
        <v>45652</v>
      </c>
      <c r="E1109">
        <v>89</v>
      </c>
      <c r="F1109">
        <v>0</v>
      </c>
      <c r="G1109">
        <f>IF(Gym_Expansion_Data[[#This Row],[Churned]]=0,1,0)</f>
        <v>1</v>
      </c>
      <c r="H1109" t="str">
        <f>IF(Gym_Expansion_Data[[#This Row],[Active Member]]=1,Gym_Expansion_Data[[#This Row],[Tier]],"Inactive")</f>
        <v>Premium</v>
      </c>
    </row>
    <row r="1110" spans="1:8" x14ac:dyDescent="0.2">
      <c r="A1110">
        <v>2109</v>
      </c>
      <c r="B1110" t="s">
        <v>10</v>
      </c>
      <c r="C1110" t="s">
        <v>7</v>
      </c>
      <c r="D1110" s="1">
        <v>45376</v>
      </c>
      <c r="E1110">
        <v>49</v>
      </c>
      <c r="F1110">
        <v>0</v>
      </c>
      <c r="G1110">
        <f>IF(Gym_Expansion_Data[[#This Row],[Churned]]=0,1,0)</f>
        <v>1</v>
      </c>
      <c r="H1110" t="str">
        <f>IF(Gym_Expansion_Data[[#This Row],[Active Member]]=1,Gym_Expansion_Data[[#This Row],[Tier]],"Inactive")</f>
        <v>Basic</v>
      </c>
    </row>
    <row r="1111" spans="1:8" x14ac:dyDescent="0.2">
      <c r="A1111">
        <v>2110</v>
      </c>
      <c r="B1111" t="s">
        <v>6</v>
      </c>
      <c r="C1111" t="s">
        <v>7</v>
      </c>
      <c r="D1111" s="1">
        <v>45557</v>
      </c>
      <c r="E1111">
        <v>49</v>
      </c>
      <c r="F1111">
        <v>0</v>
      </c>
      <c r="G1111">
        <f>IF(Gym_Expansion_Data[[#This Row],[Churned]]=0,1,0)</f>
        <v>1</v>
      </c>
      <c r="H1111" t="str">
        <f>IF(Gym_Expansion_Data[[#This Row],[Active Member]]=1,Gym_Expansion_Data[[#This Row],[Tier]],"Inactive")</f>
        <v>Basic</v>
      </c>
    </row>
    <row r="1112" spans="1:8" x14ac:dyDescent="0.2">
      <c r="A1112">
        <v>2111</v>
      </c>
      <c r="B1112" t="s">
        <v>10</v>
      </c>
      <c r="C1112" t="s">
        <v>7</v>
      </c>
      <c r="D1112" s="1">
        <v>45592</v>
      </c>
      <c r="E1112">
        <v>49</v>
      </c>
      <c r="F1112">
        <v>1</v>
      </c>
      <c r="G1112">
        <f>IF(Gym_Expansion_Data[[#This Row],[Churned]]=0,1,0)</f>
        <v>0</v>
      </c>
      <c r="H1112" t="str">
        <f>IF(Gym_Expansion_Data[[#This Row],[Active Member]]=1,Gym_Expansion_Data[[#This Row],[Tier]],"Inactive")</f>
        <v>Inactive</v>
      </c>
    </row>
    <row r="1113" spans="1:8" x14ac:dyDescent="0.2">
      <c r="A1113">
        <v>2112</v>
      </c>
      <c r="B1113" t="s">
        <v>11</v>
      </c>
      <c r="C1113" t="s">
        <v>12</v>
      </c>
      <c r="D1113" s="1">
        <v>45899</v>
      </c>
      <c r="E1113">
        <v>89</v>
      </c>
      <c r="F1113">
        <v>0</v>
      </c>
      <c r="G1113">
        <f>IF(Gym_Expansion_Data[[#This Row],[Churned]]=0,1,0)</f>
        <v>1</v>
      </c>
      <c r="H1113" t="str">
        <f>IF(Gym_Expansion_Data[[#This Row],[Active Member]]=1,Gym_Expansion_Data[[#This Row],[Tier]],"Inactive")</f>
        <v>Premium</v>
      </c>
    </row>
    <row r="1114" spans="1:8" x14ac:dyDescent="0.2">
      <c r="A1114">
        <v>2113</v>
      </c>
      <c r="B1114" t="s">
        <v>6</v>
      </c>
      <c r="C1114" t="s">
        <v>8</v>
      </c>
      <c r="D1114" s="1">
        <v>45828</v>
      </c>
      <c r="E1114">
        <v>129</v>
      </c>
      <c r="F1114">
        <v>0</v>
      </c>
      <c r="G1114">
        <f>IF(Gym_Expansion_Data[[#This Row],[Churned]]=0,1,0)</f>
        <v>1</v>
      </c>
      <c r="H1114" t="str">
        <f>IF(Gym_Expansion_Data[[#This Row],[Active Member]]=1,Gym_Expansion_Data[[#This Row],[Tier]],"Inactive")</f>
        <v>Elite</v>
      </c>
    </row>
    <row r="1115" spans="1:8" x14ac:dyDescent="0.2">
      <c r="A1115">
        <v>2114</v>
      </c>
      <c r="B1115" t="s">
        <v>10</v>
      </c>
      <c r="C1115" t="s">
        <v>12</v>
      </c>
      <c r="D1115" s="1">
        <v>45577</v>
      </c>
      <c r="E1115">
        <v>89</v>
      </c>
      <c r="F1115">
        <v>0</v>
      </c>
      <c r="G1115">
        <f>IF(Gym_Expansion_Data[[#This Row],[Churned]]=0,1,0)</f>
        <v>1</v>
      </c>
      <c r="H1115" t="str">
        <f>IF(Gym_Expansion_Data[[#This Row],[Active Member]]=1,Gym_Expansion_Data[[#This Row],[Tier]],"Inactive")</f>
        <v>Premium</v>
      </c>
    </row>
    <row r="1116" spans="1:8" x14ac:dyDescent="0.2">
      <c r="A1116">
        <v>2115</v>
      </c>
      <c r="B1116" t="s">
        <v>9</v>
      </c>
      <c r="C1116" t="s">
        <v>8</v>
      </c>
      <c r="D1116" s="1">
        <v>45873</v>
      </c>
      <c r="E1116">
        <v>129</v>
      </c>
      <c r="F1116">
        <v>0</v>
      </c>
      <c r="G1116">
        <f>IF(Gym_Expansion_Data[[#This Row],[Churned]]=0,1,0)</f>
        <v>1</v>
      </c>
      <c r="H1116" t="str">
        <f>IF(Gym_Expansion_Data[[#This Row],[Active Member]]=1,Gym_Expansion_Data[[#This Row],[Tier]],"Inactive")</f>
        <v>Elite</v>
      </c>
    </row>
    <row r="1117" spans="1:8" x14ac:dyDescent="0.2">
      <c r="A1117">
        <v>2116</v>
      </c>
      <c r="B1117" t="s">
        <v>9</v>
      </c>
      <c r="C1117" t="s">
        <v>7</v>
      </c>
      <c r="D1117" s="1">
        <v>45986</v>
      </c>
      <c r="E1117">
        <v>49</v>
      </c>
      <c r="F1117">
        <v>0</v>
      </c>
      <c r="G1117">
        <f>IF(Gym_Expansion_Data[[#This Row],[Churned]]=0,1,0)</f>
        <v>1</v>
      </c>
      <c r="H1117" t="str">
        <f>IF(Gym_Expansion_Data[[#This Row],[Active Member]]=1,Gym_Expansion_Data[[#This Row],[Tier]],"Inactive")</f>
        <v>Basic</v>
      </c>
    </row>
    <row r="1118" spans="1:8" x14ac:dyDescent="0.2">
      <c r="A1118">
        <v>2117</v>
      </c>
      <c r="B1118" t="s">
        <v>6</v>
      </c>
      <c r="C1118" t="s">
        <v>8</v>
      </c>
      <c r="D1118" s="1">
        <v>45331</v>
      </c>
      <c r="E1118">
        <v>129</v>
      </c>
      <c r="F1118">
        <v>0</v>
      </c>
      <c r="G1118">
        <f>IF(Gym_Expansion_Data[[#This Row],[Churned]]=0,1,0)</f>
        <v>1</v>
      </c>
      <c r="H1118" t="str">
        <f>IF(Gym_Expansion_Data[[#This Row],[Active Member]]=1,Gym_Expansion_Data[[#This Row],[Tier]],"Inactive")</f>
        <v>Elite</v>
      </c>
    </row>
    <row r="1119" spans="1:8" x14ac:dyDescent="0.2">
      <c r="A1119">
        <v>2118</v>
      </c>
      <c r="B1119" t="s">
        <v>10</v>
      </c>
      <c r="C1119" t="s">
        <v>12</v>
      </c>
      <c r="D1119" s="1">
        <v>45958</v>
      </c>
      <c r="E1119">
        <v>89</v>
      </c>
      <c r="F1119">
        <v>0</v>
      </c>
      <c r="G1119">
        <f>IF(Gym_Expansion_Data[[#This Row],[Churned]]=0,1,0)</f>
        <v>1</v>
      </c>
      <c r="H1119" t="str">
        <f>IF(Gym_Expansion_Data[[#This Row],[Active Member]]=1,Gym_Expansion_Data[[#This Row],[Tier]],"Inactive")</f>
        <v>Premium</v>
      </c>
    </row>
    <row r="1120" spans="1:8" x14ac:dyDescent="0.2">
      <c r="A1120">
        <v>2119</v>
      </c>
      <c r="B1120" t="s">
        <v>9</v>
      </c>
      <c r="C1120" t="s">
        <v>12</v>
      </c>
      <c r="D1120" s="1">
        <v>45608</v>
      </c>
      <c r="E1120">
        <v>89</v>
      </c>
      <c r="F1120">
        <v>0</v>
      </c>
      <c r="G1120">
        <f>IF(Gym_Expansion_Data[[#This Row],[Churned]]=0,1,0)</f>
        <v>1</v>
      </c>
      <c r="H1120" t="str">
        <f>IF(Gym_Expansion_Data[[#This Row],[Active Member]]=1,Gym_Expansion_Data[[#This Row],[Tier]],"Inactive")</f>
        <v>Premium</v>
      </c>
    </row>
    <row r="1121" spans="1:8" x14ac:dyDescent="0.2">
      <c r="A1121">
        <v>2120</v>
      </c>
      <c r="B1121" t="s">
        <v>6</v>
      </c>
      <c r="C1121" t="s">
        <v>8</v>
      </c>
      <c r="D1121" s="1">
        <v>45549</v>
      </c>
      <c r="E1121">
        <v>129</v>
      </c>
      <c r="F1121">
        <v>0</v>
      </c>
      <c r="G1121">
        <f>IF(Gym_Expansion_Data[[#This Row],[Churned]]=0,1,0)</f>
        <v>1</v>
      </c>
      <c r="H1121" t="str">
        <f>IF(Gym_Expansion_Data[[#This Row],[Active Member]]=1,Gym_Expansion_Data[[#This Row],[Tier]],"Inactive")</f>
        <v>Elite</v>
      </c>
    </row>
    <row r="1122" spans="1:8" x14ac:dyDescent="0.2">
      <c r="A1122">
        <v>2121</v>
      </c>
      <c r="B1122" t="s">
        <v>10</v>
      </c>
      <c r="C1122" t="s">
        <v>7</v>
      </c>
      <c r="D1122" s="1">
        <v>45853</v>
      </c>
      <c r="E1122">
        <v>49</v>
      </c>
      <c r="F1122">
        <v>1</v>
      </c>
      <c r="G1122">
        <f>IF(Gym_Expansion_Data[[#This Row],[Churned]]=0,1,0)</f>
        <v>0</v>
      </c>
      <c r="H1122" t="str">
        <f>IF(Gym_Expansion_Data[[#This Row],[Active Member]]=1,Gym_Expansion_Data[[#This Row],[Tier]],"Inactive")</f>
        <v>Inactive</v>
      </c>
    </row>
    <row r="1123" spans="1:8" x14ac:dyDescent="0.2">
      <c r="A1123">
        <v>2122</v>
      </c>
      <c r="B1123" t="s">
        <v>6</v>
      </c>
      <c r="C1123" t="s">
        <v>7</v>
      </c>
      <c r="D1123" s="1">
        <v>45710</v>
      </c>
      <c r="E1123">
        <v>49</v>
      </c>
      <c r="F1123">
        <v>0</v>
      </c>
      <c r="G1123">
        <f>IF(Gym_Expansion_Data[[#This Row],[Churned]]=0,1,0)</f>
        <v>1</v>
      </c>
      <c r="H1123" t="str">
        <f>IF(Gym_Expansion_Data[[#This Row],[Active Member]]=1,Gym_Expansion_Data[[#This Row],[Tier]],"Inactive")</f>
        <v>Basic</v>
      </c>
    </row>
    <row r="1124" spans="1:8" x14ac:dyDescent="0.2">
      <c r="A1124">
        <v>2123</v>
      </c>
      <c r="B1124" t="s">
        <v>11</v>
      </c>
      <c r="C1124" t="s">
        <v>12</v>
      </c>
      <c r="D1124" s="1">
        <v>45762</v>
      </c>
      <c r="E1124">
        <v>89</v>
      </c>
      <c r="F1124">
        <v>0</v>
      </c>
      <c r="G1124">
        <f>IF(Gym_Expansion_Data[[#This Row],[Churned]]=0,1,0)</f>
        <v>1</v>
      </c>
      <c r="H1124" t="str">
        <f>IF(Gym_Expansion_Data[[#This Row],[Active Member]]=1,Gym_Expansion_Data[[#This Row],[Tier]],"Inactive")</f>
        <v>Premium</v>
      </c>
    </row>
    <row r="1125" spans="1:8" x14ac:dyDescent="0.2">
      <c r="A1125">
        <v>2124</v>
      </c>
      <c r="B1125" t="s">
        <v>9</v>
      </c>
      <c r="C1125" t="s">
        <v>7</v>
      </c>
      <c r="D1125" s="1">
        <v>45628</v>
      </c>
      <c r="E1125">
        <v>49</v>
      </c>
      <c r="F1125">
        <v>0</v>
      </c>
      <c r="G1125">
        <f>IF(Gym_Expansion_Data[[#This Row],[Churned]]=0,1,0)</f>
        <v>1</v>
      </c>
      <c r="H1125" t="str">
        <f>IF(Gym_Expansion_Data[[#This Row],[Active Member]]=1,Gym_Expansion_Data[[#This Row],[Tier]],"Inactive")</f>
        <v>Basic</v>
      </c>
    </row>
    <row r="1126" spans="1:8" x14ac:dyDescent="0.2">
      <c r="A1126">
        <v>2125</v>
      </c>
      <c r="B1126" t="s">
        <v>6</v>
      </c>
      <c r="C1126" t="s">
        <v>8</v>
      </c>
      <c r="D1126" s="1">
        <v>45602</v>
      </c>
      <c r="E1126">
        <v>129</v>
      </c>
      <c r="F1126">
        <v>0</v>
      </c>
      <c r="G1126">
        <f>IF(Gym_Expansion_Data[[#This Row],[Churned]]=0,1,0)</f>
        <v>1</v>
      </c>
      <c r="H1126" t="str">
        <f>IF(Gym_Expansion_Data[[#This Row],[Active Member]]=1,Gym_Expansion_Data[[#This Row],[Tier]],"Inactive")</f>
        <v>Elite</v>
      </c>
    </row>
    <row r="1127" spans="1:8" x14ac:dyDescent="0.2">
      <c r="A1127">
        <v>2126</v>
      </c>
      <c r="B1127" t="s">
        <v>10</v>
      </c>
      <c r="C1127" t="s">
        <v>12</v>
      </c>
      <c r="D1127" s="1">
        <v>45643</v>
      </c>
      <c r="E1127">
        <v>89</v>
      </c>
      <c r="F1127">
        <v>0</v>
      </c>
      <c r="G1127">
        <f>IF(Gym_Expansion_Data[[#This Row],[Churned]]=0,1,0)</f>
        <v>1</v>
      </c>
      <c r="H1127" t="str">
        <f>IF(Gym_Expansion_Data[[#This Row],[Active Member]]=1,Gym_Expansion_Data[[#This Row],[Tier]],"Inactive")</f>
        <v>Premium</v>
      </c>
    </row>
    <row r="1128" spans="1:8" x14ac:dyDescent="0.2">
      <c r="A1128">
        <v>2127</v>
      </c>
      <c r="B1128" t="s">
        <v>11</v>
      </c>
      <c r="C1128" t="s">
        <v>8</v>
      </c>
      <c r="D1128" s="1">
        <v>45752</v>
      </c>
      <c r="E1128">
        <v>129</v>
      </c>
      <c r="F1128">
        <v>0</v>
      </c>
      <c r="G1128">
        <f>IF(Gym_Expansion_Data[[#This Row],[Churned]]=0,1,0)</f>
        <v>1</v>
      </c>
      <c r="H1128" t="str">
        <f>IF(Gym_Expansion_Data[[#This Row],[Active Member]]=1,Gym_Expansion_Data[[#This Row],[Tier]],"Inactive")</f>
        <v>Elite</v>
      </c>
    </row>
    <row r="1129" spans="1:8" x14ac:dyDescent="0.2">
      <c r="A1129">
        <v>2128</v>
      </c>
      <c r="B1129" t="s">
        <v>10</v>
      </c>
      <c r="C1129" t="s">
        <v>7</v>
      </c>
      <c r="D1129" s="1">
        <v>45634</v>
      </c>
      <c r="E1129">
        <v>49</v>
      </c>
      <c r="F1129">
        <v>0</v>
      </c>
      <c r="G1129">
        <f>IF(Gym_Expansion_Data[[#This Row],[Churned]]=0,1,0)</f>
        <v>1</v>
      </c>
      <c r="H1129" t="str">
        <f>IF(Gym_Expansion_Data[[#This Row],[Active Member]]=1,Gym_Expansion_Data[[#This Row],[Tier]],"Inactive")</f>
        <v>Basic</v>
      </c>
    </row>
    <row r="1130" spans="1:8" x14ac:dyDescent="0.2">
      <c r="A1130">
        <v>2129</v>
      </c>
      <c r="B1130" t="s">
        <v>9</v>
      </c>
      <c r="C1130" t="s">
        <v>12</v>
      </c>
      <c r="D1130" s="1">
        <v>45881</v>
      </c>
      <c r="E1130">
        <v>89</v>
      </c>
      <c r="F1130">
        <v>0</v>
      </c>
      <c r="G1130">
        <f>IF(Gym_Expansion_Data[[#This Row],[Churned]]=0,1,0)</f>
        <v>1</v>
      </c>
      <c r="H1130" t="str">
        <f>IF(Gym_Expansion_Data[[#This Row],[Active Member]]=1,Gym_Expansion_Data[[#This Row],[Tier]],"Inactive")</f>
        <v>Premium</v>
      </c>
    </row>
    <row r="1131" spans="1:8" x14ac:dyDescent="0.2">
      <c r="A1131">
        <v>2130</v>
      </c>
      <c r="B1131" t="s">
        <v>11</v>
      </c>
      <c r="C1131" t="s">
        <v>12</v>
      </c>
      <c r="D1131" s="1">
        <v>45410</v>
      </c>
      <c r="E1131">
        <v>89</v>
      </c>
      <c r="F1131">
        <v>0</v>
      </c>
      <c r="G1131">
        <f>IF(Gym_Expansion_Data[[#This Row],[Churned]]=0,1,0)</f>
        <v>1</v>
      </c>
      <c r="H1131" t="str">
        <f>IF(Gym_Expansion_Data[[#This Row],[Active Member]]=1,Gym_Expansion_Data[[#This Row],[Tier]],"Inactive")</f>
        <v>Premium</v>
      </c>
    </row>
    <row r="1132" spans="1:8" x14ac:dyDescent="0.2">
      <c r="A1132">
        <v>2131</v>
      </c>
      <c r="B1132" t="s">
        <v>9</v>
      </c>
      <c r="C1132" t="s">
        <v>8</v>
      </c>
      <c r="D1132" s="1">
        <v>45917</v>
      </c>
      <c r="E1132">
        <v>129</v>
      </c>
      <c r="F1132">
        <v>1</v>
      </c>
      <c r="G1132">
        <f>IF(Gym_Expansion_Data[[#This Row],[Churned]]=0,1,0)</f>
        <v>0</v>
      </c>
      <c r="H1132" t="str">
        <f>IF(Gym_Expansion_Data[[#This Row],[Active Member]]=1,Gym_Expansion_Data[[#This Row],[Tier]],"Inactive")</f>
        <v>Inactive</v>
      </c>
    </row>
    <row r="1133" spans="1:8" x14ac:dyDescent="0.2">
      <c r="A1133">
        <v>2132</v>
      </c>
      <c r="B1133" t="s">
        <v>10</v>
      </c>
      <c r="C1133" t="s">
        <v>7</v>
      </c>
      <c r="D1133" s="1">
        <v>45351</v>
      </c>
      <c r="E1133">
        <v>49</v>
      </c>
      <c r="F1133">
        <v>0</v>
      </c>
      <c r="G1133">
        <f>IF(Gym_Expansion_Data[[#This Row],[Churned]]=0,1,0)</f>
        <v>1</v>
      </c>
      <c r="H1133" t="str">
        <f>IF(Gym_Expansion_Data[[#This Row],[Active Member]]=1,Gym_Expansion_Data[[#This Row],[Tier]],"Inactive")</f>
        <v>Basic</v>
      </c>
    </row>
    <row r="1134" spans="1:8" x14ac:dyDescent="0.2">
      <c r="A1134">
        <v>2133</v>
      </c>
      <c r="B1134" t="s">
        <v>10</v>
      </c>
      <c r="C1134" t="s">
        <v>12</v>
      </c>
      <c r="D1134" s="1">
        <v>45937</v>
      </c>
      <c r="E1134">
        <v>89</v>
      </c>
      <c r="F1134">
        <v>0</v>
      </c>
      <c r="G1134">
        <f>IF(Gym_Expansion_Data[[#This Row],[Churned]]=0,1,0)</f>
        <v>1</v>
      </c>
      <c r="H1134" t="str">
        <f>IF(Gym_Expansion_Data[[#This Row],[Active Member]]=1,Gym_Expansion_Data[[#This Row],[Tier]],"Inactive")</f>
        <v>Premium</v>
      </c>
    </row>
    <row r="1135" spans="1:8" x14ac:dyDescent="0.2">
      <c r="A1135">
        <v>2134</v>
      </c>
      <c r="B1135" t="s">
        <v>9</v>
      </c>
      <c r="C1135" t="s">
        <v>7</v>
      </c>
      <c r="D1135" s="1">
        <v>45445</v>
      </c>
      <c r="E1135">
        <v>49</v>
      </c>
      <c r="F1135">
        <v>0</v>
      </c>
      <c r="G1135">
        <f>IF(Gym_Expansion_Data[[#This Row],[Churned]]=0,1,0)</f>
        <v>1</v>
      </c>
      <c r="H1135" t="str">
        <f>IF(Gym_Expansion_Data[[#This Row],[Active Member]]=1,Gym_Expansion_Data[[#This Row],[Tier]],"Inactive")</f>
        <v>Basic</v>
      </c>
    </row>
    <row r="1136" spans="1:8" x14ac:dyDescent="0.2">
      <c r="A1136">
        <v>2135</v>
      </c>
      <c r="B1136" t="s">
        <v>11</v>
      </c>
      <c r="C1136" t="s">
        <v>7</v>
      </c>
      <c r="D1136" s="1">
        <v>45480</v>
      </c>
      <c r="E1136">
        <v>49</v>
      </c>
      <c r="F1136">
        <v>0</v>
      </c>
      <c r="G1136">
        <f>IF(Gym_Expansion_Data[[#This Row],[Churned]]=0,1,0)</f>
        <v>1</v>
      </c>
      <c r="H1136" t="str">
        <f>IF(Gym_Expansion_Data[[#This Row],[Active Member]]=1,Gym_Expansion_Data[[#This Row],[Tier]],"Inactive")</f>
        <v>Basic</v>
      </c>
    </row>
    <row r="1137" spans="1:8" x14ac:dyDescent="0.2">
      <c r="A1137">
        <v>2136</v>
      </c>
      <c r="B1137" t="s">
        <v>11</v>
      </c>
      <c r="C1137" t="s">
        <v>7</v>
      </c>
      <c r="D1137" s="1">
        <v>45524</v>
      </c>
      <c r="E1137">
        <v>49</v>
      </c>
      <c r="F1137">
        <v>0</v>
      </c>
      <c r="G1137">
        <f>IF(Gym_Expansion_Data[[#This Row],[Churned]]=0,1,0)</f>
        <v>1</v>
      </c>
      <c r="H1137" t="str">
        <f>IF(Gym_Expansion_Data[[#This Row],[Active Member]]=1,Gym_Expansion_Data[[#This Row],[Tier]],"Inactive")</f>
        <v>Basic</v>
      </c>
    </row>
    <row r="1138" spans="1:8" x14ac:dyDescent="0.2">
      <c r="A1138">
        <v>2137</v>
      </c>
      <c r="B1138" t="s">
        <v>9</v>
      </c>
      <c r="C1138" t="s">
        <v>7</v>
      </c>
      <c r="D1138" s="1">
        <v>45450</v>
      </c>
      <c r="E1138">
        <v>49</v>
      </c>
      <c r="F1138">
        <v>0</v>
      </c>
      <c r="G1138">
        <f>IF(Gym_Expansion_Data[[#This Row],[Churned]]=0,1,0)</f>
        <v>1</v>
      </c>
      <c r="H1138" t="str">
        <f>IF(Gym_Expansion_Data[[#This Row],[Active Member]]=1,Gym_Expansion_Data[[#This Row],[Tier]],"Inactive")</f>
        <v>Basic</v>
      </c>
    </row>
    <row r="1139" spans="1:8" x14ac:dyDescent="0.2">
      <c r="A1139">
        <v>2138</v>
      </c>
      <c r="B1139" t="s">
        <v>9</v>
      </c>
      <c r="C1139" t="s">
        <v>7</v>
      </c>
      <c r="D1139" s="1">
        <v>45762</v>
      </c>
      <c r="E1139">
        <v>49</v>
      </c>
      <c r="F1139">
        <v>0</v>
      </c>
      <c r="G1139">
        <f>IF(Gym_Expansion_Data[[#This Row],[Churned]]=0,1,0)</f>
        <v>1</v>
      </c>
      <c r="H1139" t="str">
        <f>IF(Gym_Expansion_Data[[#This Row],[Active Member]]=1,Gym_Expansion_Data[[#This Row],[Tier]],"Inactive")</f>
        <v>Basic</v>
      </c>
    </row>
    <row r="1140" spans="1:8" x14ac:dyDescent="0.2">
      <c r="A1140">
        <v>2139</v>
      </c>
      <c r="B1140" t="s">
        <v>11</v>
      </c>
      <c r="C1140" t="s">
        <v>8</v>
      </c>
      <c r="D1140" s="1">
        <v>45818</v>
      </c>
      <c r="E1140">
        <v>129</v>
      </c>
      <c r="F1140">
        <v>0</v>
      </c>
      <c r="G1140">
        <f>IF(Gym_Expansion_Data[[#This Row],[Churned]]=0,1,0)</f>
        <v>1</v>
      </c>
      <c r="H1140" t="str">
        <f>IF(Gym_Expansion_Data[[#This Row],[Active Member]]=1,Gym_Expansion_Data[[#This Row],[Tier]],"Inactive")</f>
        <v>Elite</v>
      </c>
    </row>
    <row r="1141" spans="1:8" x14ac:dyDescent="0.2">
      <c r="A1141">
        <v>2140</v>
      </c>
      <c r="B1141" t="s">
        <v>11</v>
      </c>
      <c r="C1141" t="s">
        <v>7</v>
      </c>
      <c r="D1141" s="1">
        <v>45668</v>
      </c>
      <c r="E1141">
        <v>49</v>
      </c>
      <c r="F1141">
        <v>0</v>
      </c>
      <c r="G1141">
        <f>IF(Gym_Expansion_Data[[#This Row],[Churned]]=0,1,0)</f>
        <v>1</v>
      </c>
      <c r="H1141" t="str">
        <f>IF(Gym_Expansion_Data[[#This Row],[Active Member]]=1,Gym_Expansion_Data[[#This Row],[Tier]],"Inactive")</f>
        <v>Basic</v>
      </c>
    </row>
    <row r="1142" spans="1:8" x14ac:dyDescent="0.2">
      <c r="A1142">
        <v>2141</v>
      </c>
      <c r="B1142" t="s">
        <v>9</v>
      </c>
      <c r="C1142" t="s">
        <v>12</v>
      </c>
      <c r="D1142" s="1">
        <v>45952</v>
      </c>
      <c r="E1142">
        <v>89</v>
      </c>
      <c r="F1142">
        <v>1</v>
      </c>
      <c r="G1142">
        <f>IF(Gym_Expansion_Data[[#This Row],[Churned]]=0,1,0)</f>
        <v>0</v>
      </c>
      <c r="H1142" t="str">
        <f>IF(Gym_Expansion_Data[[#This Row],[Active Member]]=1,Gym_Expansion_Data[[#This Row],[Tier]],"Inactive")</f>
        <v>Inactive</v>
      </c>
    </row>
    <row r="1143" spans="1:8" x14ac:dyDescent="0.2">
      <c r="A1143">
        <v>2142</v>
      </c>
      <c r="B1143" t="s">
        <v>6</v>
      </c>
      <c r="C1143" t="s">
        <v>7</v>
      </c>
      <c r="D1143" s="1">
        <v>45418</v>
      </c>
      <c r="E1143">
        <v>49</v>
      </c>
      <c r="F1143">
        <v>0</v>
      </c>
      <c r="G1143">
        <f>IF(Gym_Expansion_Data[[#This Row],[Churned]]=0,1,0)</f>
        <v>1</v>
      </c>
      <c r="H1143" t="str">
        <f>IF(Gym_Expansion_Data[[#This Row],[Active Member]]=1,Gym_Expansion_Data[[#This Row],[Tier]],"Inactive")</f>
        <v>Basic</v>
      </c>
    </row>
    <row r="1144" spans="1:8" x14ac:dyDescent="0.2">
      <c r="A1144">
        <v>2143</v>
      </c>
      <c r="B1144" t="s">
        <v>11</v>
      </c>
      <c r="C1144" t="s">
        <v>7</v>
      </c>
      <c r="D1144" s="1">
        <v>45596</v>
      </c>
      <c r="E1144">
        <v>49</v>
      </c>
      <c r="F1144">
        <v>0</v>
      </c>
      <c r="G1144">
        <f>IF(Gym_Expansion_Data[[#This Row],[Churned]]=0,1,0)</f>
        <v>1</v>
      </c>
      <c r="H1144" t="str">
        <f>IF(Gym_Expansion_Data[[#This Row],[Active Member]]=1,Gym_Expansion_Data[[#This Row],[Tier]],"Inactive")</f>
        <v>Basic</v>
      </c>
    </row>
    <row r="1145" spans="1:8" x14ac:dyDescent="0.2">
      <c r="A1145">
        <v>2144</v>
      </c>
      <c r="B1145" t="s">
        <v>10</v>
      </c>
      <c r="C1145" t="s">
        <v>12</v>
      </c>
      <c r="D1145" s="1">
        <v>45468</v>
      </c>
      <c r="E1145">
        <v>89</v>
      </c>
      <c r="F1145">
        <v>0</v>
      </c>
      <c r="G1145">
        <f>IF(Gym_Expansion_Data[[#This Row],[Churned]]=0,1,0)</f>
        <v>1</v>
      </c>
      <c r="H1145" t="str">
        <f>IF(Gym_Expansion_Data[[#This Row],[Active Member]]=1,Gym_Expansion_Data[[#This Row],[Tier]],"Inactive")</f>
        <v>Premium</v>
      </c>
    </row>
    <row r="1146" spans="1:8" x14ac:dyDescent="0.2">
      <c r="A1146">
        <v>2145</v>
      </c>
      <c r="B1146" t="s">
        <v>9</v>
      </c>
      <c r="C1146" t="s">
        <v>7</v>
      </c>
      <c r="D1146" s="1">
        <v>45750</v>
      </c>
      <c r="E1146">
        <v>49</v>
      </c>
      <c r="F1146">
        <v>1</v>
      </c>
      <c r="G1146">
        <f>IF(Gym_Expansion_Data[[#This Row],[Churned]]=0,1,0)</f>
        <v>0</v>
      </c>
      <c r="H1146" t="str">
        <f>IF(Gym_Expansion_Data[[#This Row],[Active Member]]=1,Gym_Expansion_Data[[#This Row],[Tier]],"Inactive")</f>
        <v>Inactive</v>
      </c>
    </row>
    <row r="1147" spans="1:8" x14ac:dyDescent="0.2">
      <c r="A1147">
        <v>2146</v>
      </c>
      <c r="B1147" t="s">
        <v>9</v>
      </c>
      <c r="C1147" t="s">
        <v>7</v>
      </c>
      <c r="D1147" s="1">
        <v>45516</v>
      </c>
      <c r="E1147">
        <v>49</v>
      </c>
      <c r="F1147">
        <v>0</v>
      </c>
      <c r="G1147">
        <f>IF(Gym_Expansion_Data[[#This Row],[Churned]]=0,1,0)</f>
        <v>1</v>
      </c>
      <c r="H1147" t="str">
        <f>IF(Gym_Expansion_Data[[#This Row],[Active Member]]=1,Gym_Expansion_Data[[#This Row],[Tier]],"Inactive")</f>
        <v>Basic</v>
      </c>
    </row>
    <row r="1148" spans="1:8" x14ac:dyDescent="0.2">
      <c r="A1148">
        <v>2147</v>
      </c>
      <c r="B1148" t="s">
        <v>9</v>
      </c>
      <c r="C1148" t="s">
        <v>7</v>
      </c>
      <c r="D1148" s="1">
        <v>45374</v>
      </c>
      <c r="E1148">
        <v>49</v>
      </c>
      <c r="F1148">
        <v>0</v>
      </c>
      <c r="G1148">
        <f>IF(Gym_Expansion_Data[[#This Row],[Churned]]=0,1,0)</f>
        <v>1</v>
      </c>
      <c r="H1148" t="str">
        <f>IF(Gym_Expansion_Data[[#This Row],[Active Member]]=1,Gym_Expansion_Data[[#This Row],[Tier]],"Inactive")</f>
        <v>Basic</v>
      </c>
    </row>
    <row r="1149" spans="1:8" x14ac:dyDescent="0.2">
      <c r="A1149">
        <v>2148</v>
      </c>
      <c r="B1149" t="s">
        <v>9</v>
      </c>
      <c r="C1149" t="s">
        <v>8</v>
      </c>
      <c r="D1149" s="1">
        <v>45355</v>
      </c>
      <c r="E1149">
        <v>129</v>
      </c>
      <c r="F1149">
        <v>0</v>
      </c>
      <c r="G1149">
        <f>IF(Gym_Expansion_Data[[#This Row],[Churned]]=0,1,0)</f>
        <v>1</v>
      </c>
      <c r="H1149" t="str">
        <f>IF(Gym_Expansion_Data[[#This Row],[Active Member]]=1,Gym_Expansion_Data[[#This Row],[Tier]],"Inactive")</f>
        <v>Elite</v>
      </c>
    </row>
    <row r="1150" spans="1:8" x14ac:dyDescent="0.2">
      <c r="A1150">
        <v>2149</v>
      </c>
      <c r="B1150" t="s">
        <v>11</v>
      </c>
      <c r="C1150" t="s">
        <v>12</v>
      </c>
      <c r="D1150" s="1">
        <v>45766</v>
      </c>
      <c r="E1150">
        <v>89</v>
      </c>
      <c r="F1150">
        <v>0</v>
      </c>
      <c r="G1150">
        <f>IF(Gym_Expansion_Data[[#This Row],[Churned]]=0,1,0)</f>
        <v>1</v>
      </c>
      <c r="H1150" t="str">
        <f>IF(Gym_Expansion_Data[[#This Row],[Active Member]]=1,Gym_Expansion_Data[[#This Row],[Tier]],"Inactive")</f>
        <v>Premium</v>
      </c>
    </row>
    <row r="1151" spans="1:8" x14ac:dyDescent="0.2">
      <c r="A1151">
        <v>2150</v>
      </c>
      <c r="B1151" t="s">
        <v>9</v>
      </c>
      <c r="C1151" t="s">
        <v>12</v>
      </c>
      <c r="D1151" s="1">
        <v>45361</v>
      </c>
      <c r="E1151">
        <v>89</v>
      </c>
      <c r="F1151">
        <v>0</v>
      </c>
      <c r="G1151">
        <f>IF(Gym_Expansion_Data[[#This Row],[Churned]]=0,1,0)</f>
        <v>1</v>
      </c>
      <c r="H1151" t="str">
        <f>IF(Gym_Expansion_Data[[#This Row],[Active Member]]=1,Gym_Expansion_Data[[#This Row],[Tier]],"Inactive")</f>
        <v>Premium</v>
      </c>
    </row>
    <row r="1152" spans="1:8" x14ac:dyDescent="0.2">
      <c r="A1152">
        <v>2151</v>
      </c>
      <c r="B1152" t="s">
        <v>6</v>
      </c>
      <c r="C1152" t="s">
        <v>7</v>
      </c>
      <c r="D1152" s="1">
        <v>45386</v>
      </c>
      <c r="E1152">
        <v>49</v>
      </c>
      <c r="F1152">
        <v>0</v>
      </c>
      <c r="G1152">
        <f>IF(Gym_Expansion_Data[[#This Row],[Churned]]=0,1,0)</f>
        <v>1</v>
      </c>
      <c r="H1152" t="str">
        <f>IF(Gym_Expansion_Data[[#This Row],[Active Member]]=1,Gym_Expansion_Data[[#This Row],[Tier]],"Inactive")</f>
        <v>Basic</v>
      </c>
    </row>
    <row r="1153" spans="1:8" x14ac:dyDescent="0.2">
      <c r="A1153">
        <v>2152</v>
      </c>
      <c r="B1153" t="s">
        <v>9</v>
      </c>
      <c r="C1153" t="s">
        <v>7</v>
      </c>
      <c r="D1153" s="1">
        <v>45816</v>
      </c>
      <c r="E1153">
        <v>49</v>
      </c>
      <c r="F1153">
        <v>1</v>
      </c>
      <c r="G1153">
        <f>IF(Gym_Expansion_Data[[#This Row],[Churned]]=0,1,0)</f>
        <v>0</v>
      </c>
      <c r="H1153" t="str">
        <f>IF(Gym_Expansion_Data[[#This Row],[Active Member]]=1,Gym_Expansion_Data[[#This Row],[Tier]],"Inactive")</f>
        <v>Inactive</v>
      </c>
    </row>
    <row r="1154" spans="1:8" x14ac:dyDescent="0.2">
      <c r="A1154">
        <v>2153</v>
      </c>
      <c r="B1154" t="s">
        <v>6</v>
      </c>
      <c r="C1154" t="s">
        <v>7</v>
      </c>
      <c r="D1154" s="1">
        <v>45328</v>
      </c>
      <c r="E1154">
        <v>49</v>
      </c>
      <c r="F1154">
        <v>0</v>
      </c>
      <c r="G1154">
        <f>IF(Gym_Expansion_Data[[#This Row],[Churned]]=0,1,0)</f>
        <v>1</v>
      </c>
      <c r="H1154" t="str">
        <f>IF(Gym_Expansion_Data[[#This Row],[Active Member]]=1,Gym_Expansion_Data[[#This Row],[Tier]],"Inactive")</f>
        <v>Basic</v>
      </c>
    </row>
    <row r="1155" spans="1:8" x14ac:dyDescent="0.2">
      <c r="A1155">
        <v>2154</v>
      </c>
      <c r="B1155" t="s">
        <v>6</v>
      </c>
      <c r="C1155" t="s">
        <v>8</v>
      </c>
      <c r="D1155" s="1">
        <v>45402</v>
      </c>
      <c r="E1155">
        <v>129</v>
      </c>
      <c r="F1155">
        <v>0</v>
      </c>
      <c r="G1155">
        <f>IF(Gym_Expansion_Data[[#This Row],[Churned]]=0,1,0)</f>
        <v>1</v>
      </c>
      <c r="H1155" t="str">
        <f>IF(Gym_Expansion_Data[[#This Row],[Active Member]]=1,Gym_Expansion_Data[[#This Row],[Tier]],"Inactive")</f>
        <v>Elite</v>
      </c>
    </row>
    <row r="1156" spans="1:8" x14ac:dyDescent="0.2">
      <c r="A1156">
        <v>2155</v>
      </c>
      <c r="B1156" t="s">
        <v>11</v>
      </c>
      <c r="C1156" t="s">
        <v>8</v>
      </c>
      <c r="D1156" s="1">
        <v>45812</v>
      </c>
      <c r="E1156">
        <v>129</v>
      </c>
      <c r="F1156">
        <v>0</v>
      </c>
      <c r="G1156">
        <f>IF(Gym_Expansion_Data[[#This Row],[Churned]]=0,1,0)</f>
        <v>1</v>
      </c>
      <c r="H1156" t="str">
        <f>IF(Gym_Expansion_Data[[#This Row],[Active Member]]=1,Gym_Expansion_Data[[#This Row],[Tier]],"Inactive")</f>
        <v>Elite</v>
      </c>
    </row>
    <row r="1157" spans="1:8" x14ac:dyDescent="0.2">
      <c r="A1157">
        <v>2156</v>
      </c>
      <c r="B1157" t="s">
        <v>6</v>
      </c>
      <c r="C1157" t="s">
        <v>7</v>
      </c>
      <c r="D1157" s="1">
        <v>45925</v>
      </c>
      <c r="E1157">
        <v>49</v>
      </c>
      <c r="F1157">
        <v>0</v>
      </c>
      <c r="G1157">
        <f>IF(Gym_Expansion_Data[[#This Row],[Churned]]=0,1,0)</f>
        <v>1</v>
      </c>
      <c r="H1157" t="str">
        <f>IF(Gym_Expansion_Data[[#This Row],[Active Member]]=1,Gym_Expansion_Data[[#This Row],[Tier]],"Inactive")</f>
        <v>Basic</v>
      </c>
    </row>
    <row r="1158" spans="1:8" x14ac:dyDescent="0.2">
      <c r="A1158">
        <v>2157</v>
      </c>
      <c r="B1158" t="s">
        <v>11</v>
      </c>
      <c r="C1158" t="s">
        <v>12</v>
      </c>
      <c r="D1158" s="1">
        <v>45969</v>
      </c>
      <c r="E1158">
        <v>89</v>
      </c>
      <c r="F1158">
        <v>0</v>
      </c>
      <c r="G1158">
        <f>IF(Gym_Expansion_Data[[#This Row],[Churned]]=0,1,0)</f>
        <v>1</v>
      </c>
      <c r="H1158" t="str">
        <f>IF(Gym_Expansion_Data[[#This Row],[Active Member]]=1,Gym_Expansion_Data[[#This Row],[Tier]],"Inactive")</f>
        <v>Premium</v>
      </c>
    </row>
    <row r="1159" spans="1:8" x14ac:dyDescent="0.2">
      <c r="A1159">
        <v>2158</v>
      </c>
      <c r="B1159" t="s">
        <v>11</v>
      </c>
      <c r="C1159" t="s">
        <v>8</v>
      </c>
      <c r="D1159" s="1">
        <v>45926</v>
      </c>
      <c r="E1159">
        <v>129</v>
      </c>
      <c r="F1159">
        <v>0</v>
      </c>
      <c r="G1159">
        <f>IF(Gym_Expansion_Data[[#This Row],[Churned]]=0,1,0)</f>
        <v>1</v>
      </c>
      <c r="H1159" t="str">
        <f>IF(Gym_Expansion_Data[[#This Row],[Active Member]]=1,Gym_Expansion_Data[[#This Row],[Tier]],"Inactive")</f>
        <v>Elite</v>
      </c>
    </row>
    <row r="1160" spans="1:8" x14ac:dyDescent="0.2">
      <c r="A1160">
        <v>2159</v>
      </c>
      <c r="B1160" t="s">
        <v>6</v>
      </c>
      <c r="C1160" t="s">
        <v>12</v>
      </c>
      <c r="D1160" s="1">
        <v>45543</v>
      </c>
      <c r="E1160">
        <v>89</v>
      </c>
      <c r="F1160">
        <v>0</v>
      </c>
      <c r="G1160">
        <f>IF(Gym_Expansion_Data[[#This Row],[Churned]]=0,1,0)</f>
        <v>1</v>
      </c>
      <c r="H1160" t="str">
        <f>IF(Gym_Expansion_Data[[#This Row],[Active Member]]=1,Gym_Expansion_Data[[#This Row],[Tier]],"Inactive")</f>
        <v>Premium</v>
      </c>
    </row>
    <row r="1161" spans="1:8" x14ac:dyDescent="0.2">
      <c r="A1161">
        <v>2160</v>
      </c>
      <c r="B1161" t="s">
        <v>9</v>
      </c>
      <c r="C1161" t="s">
        <v>7</v>
      </c>
      <c r="D1161" s="1">
        <v>45931</v>
      </c>
      <c r="E1161">
        <v>49</v>
      </c>
      <c r="F1161">
        <v>0</v>
      </c>
      <c r="G1161">
        <f>IF(Gym_Expansion_Data[[#This Row],[Churned]]=0,1,0)</f>
        <v>1</v>
      </c>
      <c r="H1161" t="str">
        <f>IF(Gym_Expansion_Data[[#This Row],[Active Member]]=1,Gym_Expansion_Data[[#This Row],[Tier]],"Inactive")</f>
        <v>Basic</v>
      </c>
    </row>
    <row r="1162" spans="1:8" x14ac:dyDescent="0.2">
      <c r="A1162">
        <v>2161</v>
      </c>
      <c r="B1162" t="s">
        <v>11</v>
      </c>
      <c r="C1162" t="s">
        <v>7</v>
      </c>
      <c r="D1162" s="1">
        <v>45549</v>
      </c>
      <c r="E1162">
        <v>49</v>
      </c>
      <c r="F1162">
        <v>0</v>
      </c>
      <c r="G1162">
        <f>IF(Gym_Expansion_Data[[#This Row],[Churned]]=0,1,0)</f>
        <v>1</v>
      </c>
      <c r="H1162" t="str">
        <f>IF(Gym_Expansion_Data[[#This Row],[Active Member]]=1,Gym_Expansion_Data[[#This Row],[Tier]],"Inactive")</f>
        <v>Basic</v>
      </c>
    </row>
    <row r="1163" spans="1:8" x14ac:dyDescent="0.2">
      <c r="A1163">
        <v>2162</v>
      </c>
      <c r="B1163" t="s">
        <v>11</v>
      </c>
      <c r="C1163" t="s">
        <v>12</v>
      </c>
      <c r="D1163" s="1">
        <v>45344</v>
      </c>
      <c r="E1163">
        <v>89</v>
      </c>
      <c r="F1163">
        <v>0</v>
      </c>
      <c r="G1163">
        <f>IF(Gym_Expansion_Data[[#This Row],[Churned]]=0,1,0)</f>
        <v>1</v>
      </c>
      <c r="H1163" t="str">
        <f>IF(Gym_Expansion_Data[[#This Row],[Active Member]]=1,Gym_Expansion_Data[[#This Row],[Tier]],"Inactive")</f>
        <v>Premium</v>
      </c>
    </row>
    <row r="1164" spans="1:8" x14ac:dyDescent="0.2">
      <c r="A1164">
        <v>2163</v>
      </c>
      <c r="B1164" t="s">
        <v>9</v>
      </c>
      <c r="C1164" t="s">
        <v>12</v>
      </c>
      <c r="D1164" s="1">
        <v>45717</v>
      </c>
      <c r="E1164">
        <v>89</v>
      </c>
      <c r="F1164">
        <v>1</v>
      </c>
      <c r="G1164">
        <f>IF(Gym_Expansion_Data[[#This Row],[Churned]]=0,1,0)</f>
        <v>0</v>
      </c>
      <c r="H1164" t="str">
        <f>IF(Gym_Expansion_Data[[#This Row],[Active Member]]=1,Gym_Expansion_Data[[#This Row],[Tier]],"Inactive")</f>
        <v>Inactive</v>
      </c>
    </row>
    <row r="1165" spans="1:8" x14ac:dyDescent="0.2">
      <c r="A1165">
        <v>2164</v>
      </c>
      <c r="B1165" t="s">
        <v>11</v>
      </c>
      <c r="C1165" t="s">
        <v>12</v>
      </c>
      <c r="D1165" s="1">
        <v>45504</v>
      </c>
      <c r="E1165">
        <v>89</v>
      </c>
      <c r="F1165">
        <v>0</v>
      </c>
      <c r="G1165">
        <f>IF(Gym_Expansion_Data[[#This Row],[Churned]]=0,1,0)</f>
        <v>1</v>
      </c>
      <c r="H1165" t="str">
        <f>IF(Gym_Expansion_Data[[#This Row],[Active Member]]=1,Gym_Expansion_Data[[#This Row],[Tier]],"Inactive")</f>
        <v>Premium</v>
      </c>
    </row>
    <row r="1166" spans="1:8" x14ac:dyDescent="0.2">
      <c r="A1166">
        <v>2165</v>
      </c>
      <c r="B1166" t="s">
        <v>9</v>
      </c>
      <c r="C1166" t="s">
        <v>8</v>
      </c>
      <c r="D1166" s="1">
        <v>45852</v>
      </c>
      <c r="E1166">
        <v>129</v>
      </c>
      <c r="F1166">
        <v>0</v>
      </c>
      <c r="G1166">
        <f>IF(Gym_Expansion_Data[[#This Row],[Churned]]=0,1,0)</f>
        <v>1</v>
      </c>
      <c r="H1166" t="str">
        <f>IF(Gym_Expansion_Data[[#This Row],[Active Member]]=1,Gym_Expansion_Data[[#This Row],[Tier]],"Inactive")</f>
        <v>Elite</v>
      </c>
    </row>
    <row r="1167" spans="1:8" x14ac:dyDescent="0.2">
      <c r="A1167">
        <v>2166</v>
      </c>
      <c r="B1167" t="s">
        <v>9</v>
      </c>
      <c r="C1167" t="s">
        <v>7</v>
      </c>
      <c r="D1167" s="1">
        <v>45813</v>
      </c>
      <c r="E1167">
        <v>49</v>
      </c>
      <c r="F1167">
        <v>0</v>
      </c>
      <c r="G1167">
        <f>IF(Gym_Expansion_Data[[#This Row],[Churned]]=0,1,0)</f>
        <v>1</v>
      </c>
      <c r="H1167" t="str">
        <f>IF(Gym_Expansion_Data[[#This Row],[Active Member]]=1,Gym_Expansion_Data[[#This Row],[Tier]],"Inactive")</f>
        <v>Basic</v>
      </c>
    </row>
    <row r="1168" spans="1:8" x14ac:dyDescent="0.2">
      <c r="A1168">
        <v>2167</v>
      </c>
      <c r="B1168" t="s">
        <v>9</v>
      </c>
      <c r="C1168" t="s">
        <v>12</v>
      </c>
      <c r="D1168" s="1">
        <v>45352</v>
      </c>
      <c r="E1168">
        <v>89</v>
      </c>
      <c r="F1168">
        <v>0</v>
      </c>
      <c r="G1168">
        <f>IF(Gym_Expansion_Data[[#This Row],[Churned]]=0,1,0)</f>
        <v>1</v>
      </c>
      <c r="H1168" t="str">
        <f>IF(Gym_Expansion_Data[[#This Row],[Active Member]]=1,Gym_Expansion_Data[[#This Row],[Tier]],"Inactive")</f>
        <v>Premium</v>
      </c>
    </row>
    <row r="1169" spans="1:8" x14ac:dyDescent="0.2">
      <c r="A1169">
        <v>2168</v>
      </c>
      <c r="B1169" t="s">
        <v>11</v>
      </c>
      <c r="C1169" t="s">
        <v>7</v>
      </c>
      <c r="D1169" s="1">
        <v>45568</v>
      </c>
      <c r="E1169">
        <v>49</v>
      </c>
      <c r="F1169">
        <v>0</v>
      </c>
      <c r="G1169">
        <f>IF(Gym_Expansion_Data[[#This Row],[Churned]]=0,1,0)</f>
        <v>1</v>
      </c>
      <c r="H1169" t="str">
        <f>IF(Gym_Expansion_Data[[#This Row],[Active Member]]=1,Gym_Expansion_Data[[#This Row],[Tier]],"Inactive")</f>
        <v>Basic</v>
      </c>
    </row>
    <row r="1170" spans="1:8" x14ac:dyDescent="0.2">
      <c r="A1170">
        <v>2169</v>
      </c>
      <c r="B1170" t="s">
        <v>10</v>
      </c>
      <c r="C1170" t="s">
        <v>8</v>
      </c>
      <c r="D1170" s="1">
        <v>45805</v>
      </c>
      <c r="E1170">
        <v>129</v>
      </c>
      <c r="F1170">
        <v>0</v>
      </c>
      <c r="G1170">
        <f>IF(Gym_Expansion_Data[[#This Row],[Churned]]=0,1,0)</f>
        <v>1</v>
      </c>
      <c r="H1170" t="str">
        <f>IF(Gym_Expansion_Data[[#This Row],[Active Member]]=1,Gym_Expansion_Data[[#This Row],[Tier]],"Inactive")</f>
        <v>Elite</v>
      </c>
    </row>
    <row r="1171" spans="1:8" x14ac:dyDescent="0.2">
      <c r="A1171">
        <v>2170</v>
      </c>
      <c r="B1171" t="s">
        <v>11</v>
      </c>
      <c r="C1171" t="s">
        <v>12</v>
      </c>
      <c r="D1171" s="1">
        <v>45489</v>
      </c>
      <c r="E1171">
        <v>89</v>
      </c>
      <c r="F1171">
        <v>0</v>
      </c>
      <c r="G1171">
        <f>IF(Gym_Expansion_Data[[#This Row],[Churned]]=0,1,0)</f>
        <v>1</v>
      </c>
      <c r="H1171" t="str">
        <f>IF(Gym_Expansion_Data[[#This Row],[Active Member]]=1,Gym_Expansion_Data[[#This Row],[Tier]],"Inactive")</f>
        <v>Premium</v>
      </c>
    </row>
    <row r="1172" spans="1:8" x14ac:dyDescent="0.2">
      <c r="A1172">
        <v>2171</v>
      </c>
      <c r="B1172" t="s">
        <v>9</v>
      </c>
      <c r="C1172" t="s">
        <v>7</v>
      </c>
      <c r="D1172" s="1">
        <v>45823</v>
      </c>
      <c r="E1172">
        <v>49</v>
      </c>
      <c r="F1172">
        <v>0</v>
      </c>
      <c r="G1172">
        <f>IF(Gym_Expansion_Data[[#This Row],[Churned]]=0,1,0)</f>
        <v>1</v>
      </c>
      <c r="H1172" t="str">
        <f>IF(Gym_Expansion_Data[[#This Row],[Active Member]]=1,Gym_Expansion_Data[[#This Row],[Tier]],"Inactive")</f>
        <v>Basic</v>
      </c>
    </row>
    <row r="1173" spans="1:8" x14ac:dyDescent="0.2">
      <c r="A1173">
        <v>2172</v>
      </c>
      <c r="B1173" t="s">
        <v>10</v>
      </c>
      <c r="C1173" t="s">
        <v>12</v>
      </c>
      <c r="D1173" s="1">
        <v>45855</v>
      </c>
      <c r="E1173">
        <v>89</v>
      </c>
      <c r="F1173">
        <v>0</v>
      </c>
      <c r="G1173">
        <f>IF(Gym_Expansion_Data[[#This Row],[Churned]]=0,1,0)</f>
        <v>1</v>
      </c>
      <c r="H1173" t="str">
        <f>IF(Gym_Expansion_Data[[#This Row],[Active Member]]=1,Gym_Expansion_Data[[#This Row],[Tier]],"Inactive")</f>
        <v>Premium</v>
      </c>
    </row>
    <row r="1174" spans="1:8" x14ac:dyDescent="0.2">
      <c r="A1174">
        <v>2173</v>
      </c>
      <c r="B1174" t="s">
        <v>6</v>
      </c>
      <c r="C1174" t="s">
        <v>12</v>
      </c>
      <c r="D1174" s="1">
        <v>45374</v>
      </c>
      <c r="E1174">
        <v>89</v>
      </c>
      <c r="F1174">
        <v>0</v>
      </c>
      <c r="G1174">
        <f>IF(Gym_Expansion_Data[[#This Row],[Churned]]=0,1,0)</f>
        <v>1</v>
      </c>
      <c r="H1174" t="str">
        <f>IF(Gym_Expansion_Data[[#This Row],[Active Member]]=1,Gym_Expansion_Data[[#This Row],[Tier]],"Inactive")</f>
        <v>Premium</v>
      </c>
    </row>
    <row r="1175" spans="1:8" x14ac:dyDescent="0.2">
      <c r="A1175">
        <v>2174</v>
      </c>
      <c r="B1175" t="s">
        <v>6</v>
      </c>
      <c r="C1175" t="s">
        <v>12</v>
      </c>
      <c r="D1175" s="1">
        <v>45506</v>
      </c>
      <c r="E1175">
        <v>89</v>
      </c>
      <c r="F1175">
        <v>0</v>
      </c>
      <c r="G1175">
        <f>IF(Gym_Expansion_Data[[#This Row],[Churned]]=0,1,0)</f>
        <v>1</v>
      </c>
      <c r="H1175" t="str">
        <f>IF(Gym_Expansion_Data[[#This Row],[Active Member]]=1,Gym_Expansion_Data[[#This Row],[Tier]],"Inactive")</f>
        <v>Premium</v>
      </c>
    </row>
    <row r="1176" spans="1:8" x14ac:dyDescent="0.2">
      <c r="A1176">
        <v>2175</v>
      </c>
      <c r="B1176" t="s">
        <v>9</v>
      </c>
      <c r="C1176" t="s">
        <v>7</v>
      </c>
      <c r="D1176" s="1">
        <v>45506</v>
      </c>
      <c r="E1176">
        <v>49</v>
      </c>
      <c r="F1176">
        <v>0</v>
      </c>
      <c r="G1176">
        <f>IF(Gym_Expansion_Data[[#This Row],[Churned]]=0,1,0)</f>
        <v>1</v>
      </c>
      <c r="H1176" t="str">
        <f>IF(Gym_Expansion_Data[[#This Row],[Active Member]]=1,Gym_Expansion_Data[[#This Row],[Tier]],"Inactive")</f>
        <v>Basic</v>
      </c>
    </row>
    <row r="1177" spans="1:8" x14ac:dyDescent="0.2">
      <c r="A1177">
        <v>2176</v>
      </c>
      <c r="B1177" t="s">
        <v>9</v>
      </c>
      <c r="C1177" t="s">
        <v>12</v>
      </c>
      <c r="D1177" s="1">
        <v>45806</v>
      </c>
      <c r="E1177">
        <v>89</v>
      </c>
      <c r="F1177">
        <v>0</v>
      </c>
      <c r="G1177">
        <f>IF(Gym_Expansion_Data[[#This Row],[Churned]]=0,1,0)</f>
        <v>1</v>
      </c>
      <c r="H1177" t="str">
        <f>IF(Gym_Expansion_Data[[#This Row],[Active Member]]=1,Gym_Expansion_Data[[#This Row],[Tier]],"Inactive")</f>
        <v>Premium</v>
      </c>
    </row>
    <row r="1178" spans="1:8" x14ac:dyDescent="0.2">
      <c r="A1178">
        <v>2177</v>
      </c>
      <c r="B1178" t="s">
        <v>11</v>
      </c>
      <c r="C1178" t="s">
        <v>7</v>
      </c>
      <c r="D1178" s="1">
        <v>45980</v>
      </c>
      <c r="E1178">
        <v>49</v>
      </c>
      <c r="F1178">
        <v>0</v>
      </c>
      <c r="G1178">
        <f>IF(Gym_Expansion_Data[[#This Row],[Churned]]=0,1,0)</f>
        <v>1</v>
      </c>
      <c r="H1178" t="str">
        <f>IF(Gym_Expansion_Data[[#This Row],[Active Member]]=1,Gym_Expansion_Data[[#This Row],[Tier]],"Inactive")</f>
        <v>Basic</v>
      </c>
    </row>
    <row r="1179" spans="1:8" x14ac:dyDescent="0.2">
      <c r="A1179">
        <v>2178</v>
      </c>
      <c r="B1179" t="s">
        <v>6</v>
      </c>
      <c r="C1179" t="s">
        <v>8</v>
      </c>
      <c r="D1179" s="1">
        <v>45322</v>
      </c>
      <c r="E1179">
        <v>129</v>
      </c>
      <c r="F1179">
        <v>0</v>
      </c>
      <c r="G1179">
        <f>IF(Gym_Expansion_Data[[#This Row],[Churned]]=0,1,0)</f>
        <v>1</v>
      </c>
      <c r="H1179" t="str">
        <f>IF(Gym_Expansion_Data[[#This Row],[Active Member]]=1,Gym_Expansion_Data[[#This Row],[Tier]],"Inactive")</f>
        <v>Elite</v>
      </c>
    </row>
    <row r="1180" spans="1:8" x14ac:dyDescent="0.2">
      <c r="A1180">
        <v>2179</v>
      </c>
      <c r="B1180" t="s">
        <v>11</v>
      </c>
      <c r="C1180" t="s">
        <v>7</v>
      </c>
      <c r="D1180" s="1">
        <v>45802</v>
      </c>
      <c r="E1180">
        <v>49</v>
      </c>
      <c r="F1180">
        <v>0</v>
      </c>
      <c r="G1180">
        <f>IF(Gym_Expansion_Data[[#This Row],[Churned]]=0,1,0)</f>
        <v>1</v>
      </c>
      <c r="H1180" t="str">
        <f>IF(Gym_Expansion_Data[[#This Row],[Active Member]]=1,Gym_Expansion_Data[[#This Row],[Tier]],"Inactive")</f>
        <v>Basic</v>
      </c>
    </row>
    <row r="1181" spans="1:8" x14ac:dyDescent="0.2">
      <c r="A1181">
        <v>2180</v>
      </c>
      <c r="B1181" t="s">
        <v>6</v>
      </c>
      <c r="C1181" t="s">
        <v>8</v>
      </c>
      <c r="D1181" s="1">
        <v>45797</v>
      </c>
      <c r="E1181">
        <v>129</v>
      </c>
      <c r="F1181">
        <v>0</v>
      </c>
      <c r="G1181">
        <f>IF(Gym_Expansion_Data[[#This Row],[Churned]]=0,1,0)</f>
        <v>1</v>
      </c>
      <c r="H1181" t="str">
        <f>IF(Gym_Expansion_Data[[#This Row],[Active Member]]=1,Gym_Expansion_Data[[#This Row],[Tier]],"Inactive")</f>
        <v>Elite</v>
      </c>
    </row>
    <row r="1182" spans="1:8" x14ac:dyDescent="0.2">
      <c r="A1182">
        <v>2181</v>
      </c>
      <c r="B1182" t="s">
        <v>11</v>
      </c>
      <c r="C1182" t="s">
        <v>8</v>
      </c>
      <c r="D1182" s="1">
        <v>45799</v>
      </c>
      <c r="E1182">
        <v>129</v>
      </c>
      <c r="F1182">
        <v>0</v>
      </c>
      <c r="G1182">
        <f>IF(Gym_Expansion_Data[[#This Row],[Churned]]=0,1,0)</f>
        <v>1</v>
      </c>
      <c r="H1182" t="str">
        <f>IF(Gym_Expansion_Data[[#This Row],[Active Member]]=1,Gym_Expansion_Data[[#This Row],[Tier]],"Inactive")</f>
        <v>Elite</v>
      </c>
    </row>
    <row r="1183" spans="1:8" x14ac:dyDescent="0.2">
      <c r="A1183">
        <v>2182</v>
      </c>
      <c r="B1183" t="s">
        <v>9</v>
      </c>
      <c r="C1183" t="s">
        <v>7</v>
      </c>
      <c r="D1183" s="1">
        <v>45939</v>
      </c>
      <c r="E1183">
        <v>49</v>
      </c>
      <c r="F1183">
        <v>1</v>
      </c>
      <c r="G1183">
        <f>IF(Gym_Expansion_Data[[#This Row],[Churned]]=0,1,0)</f>
        <v>0</v>
      </c>
      <c r="H1183" t="str">
        <f>IF(Gym_Expansion_Data[[#This Row],[Active Member]]=1,Gym_Expansion_Data[[#This Row],[Tier]],"Inactive")</f>
        <v>Inactive</v>
      </c>
    </row>
    <row r="1184" spans="1:8" x14ac:dyDescent="0.2">
      <c r="A1184">
        <v>2183</v>
      </c>
      <c r="B1184" t="s">
        <v>11</v>
      </c>
      <c r="C1184" t="s">
        <v>12</v>
      </c>
      <c r="D1184" s="1">
        <v>45327</v>
      </c>
      <c r="E1184">
        <v>89</v>
      </c>
      <c r="F1184">
        <v>0</v>
      </c>
      <c r="G1184">
        <f>IF(Gym_Expansion_Data[[#This Row],[Churned]]=0,1,0)</f>
        <v>1</v>
      </c>
      <c r="H1184" t="str">
        <f>IF(Gym_Expansion_Data[[#This Row],[Active Member]]=1,Gym_Expansion_Data[[#This Row],[Tier]],"Inactive")</f>
        <v>Premium</v>
      </c>
    </row>
    <row r="1185" spans="1:8" x14ac:dyDescent="0.2">
      <c r="A1185">
        <v>2184</v>
      </c>
      <c r="B1185" t="s">
        <v>9</v>
      </c>
      <c r="C1185" t="s">
        <v>8</v>
      </c>
      <c r="D1185" s="1">
        <v>45485</v>
      </c>
      <c r="E1185">
        <v>129</v>
      </c>
      <c r="F1185">
        <v>0</v>
      </c>
      <c r="G1185">
        <f>IF(Gym_Expansion_Data[[#This Row],[Churned]]=0,1,0)</f>
        <v>1</v>
      </c>
      <c r="H1185" t="str">
        <f>IF(Gym_Expansion_Data[[#This Row],[Active Member]]=1,Gym_Expansion_Data[[#This Row],[Tier]],"Inactive")</f>
        <v>Elite</v>
      </c>
    </row>
    <row r="1186" spans="1:8" x14ac:dyDescent="0.2">
      <c r="A1186">
        <v>2185</v>
      </c>
      <c r="B1186" t="s">
        <v>10</v>
      </c>
      <c r="C1186" t="s">
        <v>7</v>
      </c>
      <c r="D1186" s="1">
        <v>45868</v>
      </c>
      <c r="E1186">
        <v>49</v>
      </c>
      <c r="F1186">
        <v>0</v>
      </c>
      <c r="G1186">
        <f>IF(Gym_Expansion_Data[[#This Row],[Churned]]=0,1,0)</f>
        <v>1</v>
      </c>
      <c r="H1186" t="str">
        <f>IF(Gym_Expansion_Data[[#This Row],[Active Member]]=1,Gym_Expansion_Data[[#This Row],[Tier]],"Inactive")</f>
        <v>Basic</v>
      </c>
    </row>
    <row r="1187" spans="1:8" x14ac:dyDescent="0.2">
      <c r="A1187">
        <v>2186</v>
      </c>
      <c r="B1187" t="s">
        <v>10</v>
      </c>
      <c r="C1187" t="s">
        <v>7</v>
      </c>
      <c r="D1187" s="1">
        <v>45914</v>
      </c>
      <c r="E1187">
        <v>49</v>
      </c>
      <c r="F1187">
        <v>0</v>
      </c>
      <c r="G1187">
        <f>IF(Gym_Expansion_Data[[#This Row],[Churned]]=0,1,0)</f>
        <v>1</v>
      </c>
      <c r="H1187" t="str">
        <f>IF(Gym_Expansion_Data[[#This Row],[Active Member]]=1,Gym_Expansion_Data[[#This Row],[Tier]],"Inactive")</f>
        <v>Basic</v>
      </c>
    </row>
    <row r="1188" spans="1:8" x14ac:dyDescent="0.2">
      <c r="A1188">
        <v>2187</v>
      </c>
      <c r="B1188" t="s">
        <v>11</v>
      </c>
      <c r="C1188" t="s">
        <v>8</v>
      </c>
      <c r="D1188" s="1">
        <v>45363</v>
      </c>
      <c r="E1188">
        <v>129</v>
      </c>
      <c r="F1188">
        <v>0</v>
      </c>
      <c r="G1188">
        <f>IF(Gym_Expansion_Data[[#This Row],[Churned]]=0,1,0)</f>
        <v>1</v>
      </c>
      <c r="H1188" t="str">
        <f>IF(Gym_Expansion_Data[[#This Row],[Active Member]]=1,Gym_Expansion_Data[[#This Row],[Tier]],"Inactive")</f>
        <v>Elite</v>
      </c>
    </row>
    <row r="1189" spans="1:8" x14ac:dyDescent="0.2">
      <c r="A1189">
        <v>2188</v>
      </c>
      <c r="B1189" t="s">
        <v>11</v>
      </c>
      <c r="C1189" t="s">
        <v>12</v>
      </c>
      <c r="D1189" s="1">
        <v>45650</v>
      </c>
      <c r="E1189">
        <v>89</v>
      </c>
      <c r="F1189">
        <v>0</v>
      </c>
      <c r="G1189">
        <f>IF(Gym_Expansion_Data[[#This Row],[Churned]]=0,1,0)</f>
        <v>1</v>
      </c>
      <c r="H1189" t="str">
        <f>IF(Gym_Expansion_Data[[#This Row],[Active Member]]=1,Gym_Expansion_Data[[#This Row],[Tier]],"Inactive")</f>
        <v>Premium</v>
      </c>
    </row>
    <row r="1190" spans="1:8" x14ac:dyDescent="0.2">
      <c r="A1190">
        <v>2189</v>
      </c>
      <c r="B1190" t="s">
        <v>11</v>
      </c>
      <c r="C1190" t="s">
        <v>7</v>
      </c>
      <c r="D1190" s="1">
        <v>45860</v>
      </c>
      <c r="E1190">
        <v>49</v>
      </c>
      <c r="F1190">
        <v>0</v>
      </c>
      <c r="G1190">
        <f>IF(Gym_Expansion_Data[[#This Row],[Churned]]=0,1,0)</f>
        <v>1</v>
      </c>
      <c r="H1190" t="str">
        <f>IF(Gym_Expansion_Data[[#This Row],[Active Member]]=1,Gym_Expansion_Data[[#This Row],[Tier]],"Inactive")</f>
        <v>Basic</v>
      </c>
    </row>
    <row r="1191" spans="1:8" x14ac:dyDescent="0.2">
      <c r="A1191">
        <v>2190</v>
      </c>
      <c r="B1191" t="s">
        <v>6</v>
      </c>
      <c r="C1191" t="s">
        <v>12</v>
      </c>
      <c r="D1191" s="1">
        <v>45964</v>
      </c>
      <c r="E1191">
        <v>89</v>
      </c>
      <c r="F1191">
        <v>0</v>
      </c>
      <c r="G1191">
        <f>IF(Gym_Expansion_Data[[#This Row],[Churned]]=0,1,0)</f>
        <v>1</v>
      </c>
      <c r="H1191" t="str">
        <f>IF(Gym_Expansion_Data[[#This Row],[Active Member]]=1,Gym_Expansion_Data[[#This Row],[Tier]],"Inactive")</f>
        <v>Premium</v>
      </c>
    </row>
    <row r="1192" spans="1:8" x14ac:dyDescent="0.2">
      <c r="A1192">
        <v>2191</v>
      </c>
      <c r="B1192" t="s">
        <v>11</v>
      </c>
      <c r="C1192" t="s">
        <v>12</v>
      </c>
      <c r="D1192" s="1">
        <v>45987</v>
      </c>
      <c r="E1192">
        <v>89</v>
      </c>
      <c r="F1192">
        <v>0</v>
      </c>
      <c r="G1192">
        <f>IF(Gym_Expansion_Data[[#This Row],[Churned]]=0,1,0)</f>
        <v>1</v>
      </c>
      <c r="H1192" t="str">
        <f>IF(Gym_Expansion_Data[[#This Row],[Active Member]]=1,Gym_Expansion_Data[[#This Row],[Tier]],"Inactive")</f>
        <v>Premium</v>
      </c>
    </row>
    <row r="1193" spans="1:8" x14ac:dyDescent="0.2">
      <c r="A1193">
        <v>2192</v>
      </c>
      <c r="B1193" t="s">
        <v>10</v>
      </c>
      <c r="C1193" t="s">
        <v>12</v>
      </c>
      <c r="D1193" s="1">
        <v>45423</v>
      </c>
      <c r="E1193">
        <v>89</v>
      </c>
      <c r="F1193">
        <v>0</v>
      </c>
      <c r="G1193">
        <f>IF(Gym_Expansion_Data[[#This Row],[Churned]]=0,1,0)</f>
        <v>1</v>
      </c>
      <c r="H1193" t="str">
        <f>IF(Gym_Expansion_Data[[#This Row],[Active Member]]=1,Gym_Expansion_Data[[#This Row],[Tier]],"Inactive")</f>
        <v>Premium</v>
      </c>
    </row>
    <row r="1194" spans="1:8" x14ac:dyDescent="0.2">
      <c r="A1194">
        <v>2193</v>
      </c>
      <c r="B1194" t="s">
        <v>9</v>
      </c>
      <c r="C1194" t="s">
        <v>8</v>
      </c>
      <c r="D1194" s="1">
        <v>45485</v>
      </c>
      <c r="E1194">
        <v>129</v>
      </c>
      <c r="F1194">
        <v>0</v>
      </c>
      <c r="G1194">
        <f>IF(Gym_Expansion_Data[[#This Row],[Churned]]=0,1,0)</f>
        <v>1</v>
      </c>
      <c r="H1194" t="str">
        <f>IF(Gym_Expansion_Data[[#This Row],[Active Member]]=1,Gym_Expansion_Data[[#This Row],[Tier]],"Inactive")</f>
        <v>Elite</v>
      </c>
    </row>
    <row r="1195" spans="1:8" x14ac:dyDescent="0.2">
      <c r="A1195">
        <v>2194</v>
      </c>
      <c r="B1195" t="s">
        <v>9</v>
      </c>
      <c r="C1195" t="s">
        <v>7</v>
      </c>
      <c r="D1195" s="1">
        <v>45513</v>
      </c>
      <c r="E1195">
        <v>49</v>
      </c>
      <c r="F1195">
        <v>0</v>
      </c>
      <c r="G1195">
        <f>IF(Gym_Expansion_Data[[#This Row],[Churned]]=0,1,0)</f>
        <v>1</v>
      </c>
      <c r="H1195" t="str">
        <f>IF(Gym_Expansion_Data[[#This Row],[Active Member]]=1,Gym_Expansion_Data[[#This Row],[Tier]],"Inactive")</f>
        <v>Basic</v>
      </c>
    </row>
    <row r="1196" spans="1:8" x14ac:dyDescent="0.2">
      <c r="A1196">
        <v>2195</v>
      </c>
      <c r="B1196" t="s">
        <v>6</v>
      </c>
      <c r="C1196" t="s">
        <v>7</v>
      </c>
      <c r="D1196" s="1">
        <v>45628</v>
      </c>
      <c r="E1196">
        <v>49</v>
      </c>
      <c r="F1196">
        <v>0</v>
      </c>
      <c r="G1196">
        <f>IF(Gym_Expansion_Data[[#This Row],[Churned]]=0,1,0)</f>
        <v>1</v>
      </c>
      <c r="H1196" t="str">
        <f>IF(Gym_Expansion_Data[[#This Row],[Active Member]]=1,Gym_Expansion_Data[[#This Row],[Tier]],"Inactive")</f>
        <v>Basic</v>
      </c>
    </row>
    <row r="1197" spans="1:8" x14ac:dyDescent="0.2">
      <c r="A1197">
        <v>2196</v>
      </c>
      <c r="B1197" t="s">
        <v>10</v>
      </c>
      <c r="C1197" t="s">
        <v>7</v>
      </c>
      <c r="D1197" s="1">
        <v>45593</v>
      </c>
      <c r="E1197">
        <v>49</v>
      </c>
      <c r="F1197">
        <v>1</v>
      </c>
      <c r="G1197">
        <f>IF(Gym_Expansion_Data[[#This Row],[Churned]]=0,1,0)</f>
        <v>0</v>
      </c>
      <c r="H1197" t="str">
        <f>IF(Gym_Expansion_Data[[#This Row],[Active Member]]=1,Gym_Expansion_Data[[#This Row],[Tier]],"Inactive")</f>
        <v>Inactive</v>
      </c>
    </row>
    <row r="1198" spans="1:8" x14ac:dyDescent="0.2">
      <c r="A1198">
        <v>2197</v>
      </c>
      <c r="B1198" t="s">
        <v>9</v>
      </c>
      <c r="C1198" t="s">
        <v>7</v>
      </c>
      <c r="D1198" s="1">
        <v>45591</v>
      </c>
      <c r="E1198">
        <v>49</v>
      </c>
      <c r="F1198">
        <v>0</v>
      </c>
      <c r="G1198">
        <f>IF(Gym_Expansion_Data[[#This Row],[Churned]]=0,1,0)</f>
        <v>1</v>
      </c>
      <c r="H1198" t="str">
        <f>IF(Gym_Expansion_Data[[#This Row],[Active Member]]=1,Gym_Expansion_Data[[#This Row],[Tier]],"Inactive")</f>
        <v>Basic</v>
      </c>
    </row>
    <row r="1199" spans="1:8" x14ac:dyDescent="0.2">
      <c r="A1199">
        <v>2198</v>
      </c>
      <c r="B1199" t="s">
        <v>9</v>
      </c>
      <c r="C1199" t="s">
        <v>8</v>
      </c>
      <c r="D1199" s="1">
        <v>45612</v>
      </c>
      <c r="E1199">
        <v>129</v>
      </c>
      <c r="F1199">
        <v>0</v>
      </c>
      <c r="G1199">
        <f>IF(Gym_Expansion_Data[[#This Row],[Churned]]=0,1,0)</f>
        <v>1</v>
      </c>
      <c r="H1199" t="str">
        <f>IF(Gym_Expansion_Data[[#This Row],[Active Member]]=1,Gym_Expansion_Data[[#This Row],[Tier]],"Inactive")</f>
        <v>Elite</v>
      </c>
    </row>
    <row r="1200" spans="1:8" x14ac:dyDescent="0.2">
      <c r="A1200">
        <v>2199</v>
      </c>
      <c r="B1200" t="s">
        <v>6</v>
      </c>
      <c r="C1200" t="s">
        <v>7</v>
      </c>
      <c r="D1200" s="1">
        <v>45476</v>
      </c>
      <c r="E1200">
        <v>49</v>
      </c>
      <c r="F1200">
        <v>0</v>
      </c>
      <c r="G1200">
        <f>IF(Gym_Expansion_Data[[#This Row],[Churned]]=0,1,0)</f>
        <v>1</v>
      </c>
      <c r="H1200" t="str">
        <f>IF(Gym_Expansion_Data[[#This Row],[Active Member]]=1,Gym_Expansion_Data[[#This Row],[Tier]],"Inactive")</f>
        <v>Basic</v>
      </c>
    </row>
    <row r="1201" spans="1:8" x14ac:dyDescent="0.2">
      <c r="A1201">
        <v>2200</v>
      </c>
      <c r="B1201" t="s">
        <v>11</v>
      </c>
      <c r="C1201" t="s">
        <v>8</v>
      </c>
      <c r="D1201" s="1">
        <v>45801</v>
      </c>
      <c r="E1201">
        <v>129</v>
      </c>
      <c r="F1201">
        <v>0</v>
      </c>
      <c r="G1201">
        <f>IF(Gym_Expansion_Data[[#This Row],[Churned]]=0,1,0)</f>
        <v>1</v>
      </c>
      <c r="H1201" t="str">
        <f>IF(Gym_Expansion_Data[[#This Row],[Active Member]]=1,Gym_Expansion_Data[[#This Row],[Tier]],"Inactive")</f>
        <v>Elite</v>
      </c>
    </row>
    <row r="1202" spans="1:8" x14ac:dyDescent="0.2">
      <c r="A1202">
        <v>2201</v>
      </c>
      <c r="B1202" t="s">
        <v>11</v>
      </c>
      <c r="C1202" t="s">
        <v>7</v>
      </c>
      <c r="D1202" s="1">
        <v>45473</v>
      </c>
      <c r="E1202">
        <v>49</v>
      </c>
      <c r="F1202">
        <v>0</v>
      </c>
      <c r="G1202">
        <f>IF(Gym_Expansion_Data[[#This Row],[Churned]]=0,1,0)</f>
        <v>1</v>
      </c>
      <c r="H1202" t="str">
        <f>IF(Gym_Expansion_Data[[#This Row],[Active Member]]=1,Gym_Expansion_Data[[#This Row],[Tier]],"Inactive")</f>
        <v>Basic</v>
      </c>
    </row>
    <row r="1203" spans="1:8" x14ac:dyDescent="0.2">
      <c r="A1203">
        <v>2202</v>
      </c>
      <c r="B1203" t="s">
        <v>11</v>
      </c>
      <c r="C1203" t="s">
        <v>8</v>
      </c>
      <c r="D1203" s="1">
        <v>45817</v>
      </c>
      <c r="E1203">
        <v>129</v>
      </c>
      <c r="F1203">
        <v>0</v>
      </c>
      <c r="G1203">
        <f>IF(Gym_Expansion_Data[[#This Row],[Churned]]=0,1,0)</f>
        <v>1</v>
      </c>
      <c r="H1203" t="str">
        <f>IF(Gym_Expansion_Data[[#This Row],[Active Member]]=1,Gym_Expansion_Data[[#This Row],[Tier]],"Inactive")</f>
        <v>Elite</v>
      </c>
    </row>
    <row r="1204" spans="1:8" x14ac:dyDescent="0.2">
      <c r="A1204">
        <v>2203</v>
      </c>
      <c r="B1204" t="s">
        <v>10</v>
      </c>
      <c r="C1204" t="s">
        <v>12</v>
      </c>
      <c r="D1204" s="1">
        <v>45530</v>
      </c>
      <c r="E1204">
        <v>89</v>
      </c>
      <c r="F1204">
        <v>1</v>
      </c>
      <c r="G1204">
        <f>IF(Gym_Expansion_Data[[#This Row],[Churned]]=0,1,0)</f>
        <v>0</v>
      </c>
      <c r="H1204" t="str">
        <f>IF(Gym_Expansion_Data[[#This Row],[Active Member]]=1,Gym_Expansion_Data[[#This Row],[Tier]],"Inactive")</f>
        <v>Inactive</v>
      </c>
    </row>
    <row r="1205" spans="1:8" x14ac:dyDescent="0.2">
      <c r="A1205">
        <v>2204</v>
      </c>
      <c r="B1205" t="s">
        <v>9</v>
      </c>
      <c r="C1205" t="s">
        <v>8</v>
      </c>
      <c r="D1205" s="1">
        <v>45751</v>
      </c>
      <c r="E1205">
        <v>129</v>
      </c>
      <c r="F1205">
        <v>0</v>
      </c>
      <c r="G1205">
        <f>IF(Gym_Expansion_Data[[#This Row],[Churned]]=0,1,0)</f>
        <v>1</v>
      </c>
      <c r="H1205" t="str">
        <f>IF(Gym_Expansion_Data[[#This Row],[Active Member]]=1,Gym_Expansion_Data[[#This Row],[Tier]],"Inactive")</f>
        <v>Elite</v>
      </c>
    </row>
    <row r="1206" spans="1:8" x14ac:dyDescent="0.2">
      <c r="A1206">
        <v>2205</v>
      </c>
      <c r="B1206" t="s">
        <v>6</v>
      </c>
      <c r="C1206" t="s">
        <v>12</v>
      </c>
      <c r="D1206" s="1">
        <v>45622</v>
      </c>
      <c r="E1206">
        <v>89</v>
      </c>
      <c r="F1206">
        <v>0</v>
      </c>
      <c r="G1206">
        <f>IF(Gym_Expansion_Data[[#This Row],[Churned]]=0,1,0)</f>
        <v>1</v>
      </c>
      <c r="H1206" t="str">
        <f>IF(Gym_Expansion_Data[[#This Row],[Active Member]]=1,Gym_Expansion_Data[[#This Row],[Tier]],"Inactive")</f>
        <v>Premium</v>
      </c>
    </row>
    <row r="1207" spans="1:8" x14ac:dyDescent="0.2">
      <c r="A1207">
        <v>2206</v>
      </c>
      <c r="B1207" t="s">
        <v>6</v>
      </c>
      <c r="C1207" t="s">
        <v>7</v>
      </c>
      <c r="D1207" s="1">
        <v>45516</v>
      </c>
      <c r="E1207">
        <v>49</v>
      </c>
      <c r="F1207">
        <v>0</v>
      </c>
      <c r="G1207">
        <f>IF(Gym_Expansion_Data[[#This Row],[Churned]]=0,1,0)</f>
        <v>1</v>
      </c>
      <c r="H1207" t="str">
        <f>IF(Gym_Expansion_Data[[#This Row],[Active Member]]=1,Gym_Expansion_Data[[#This Row],[Tier]],"Inactive")</f>
        <v>Basic</v>
      </c>
    </row>
    <row r="1208" spans="1:8" x14ac:dyDescent="0.2">
      <c r="A1208">
        <v>2207</v>
      </c>
      <c r="B1208" t="s">
        <v>10</v>
      </c>
      <c r="C1208" t="s">
        <v>8</v>
      </c>
      <c r="D1208" s="1">
        <v>45561</v>
      </c>
      <c r="E1208">
        <v>129</v>
      </c>
      <c r="F1208">
        <v>0</v>
      </c>
      <c r="G1208">
        <f>IF(Gym_Expansion_Data[[#This Row],[Churned]]=0,1,0)</f>
        <v>1</v>
      </c>
      <c r="H1208" t="str">
        <f>IF(Gym_Expansion_Data[[#This Row],[Active Member]]=1,Gym_Expansion_Data[[#This Row],[Tier]],"Inactive")</f>
        <v>Elite</v>
      </c>
    </row>
    <row r="1209" spans="1:8" x14ac:dyDescent="0.2">
      <c r="A1209">
        <v>2208</v>
      </c>
      <c r="B1209" t="s">
        <v>11</v>
      </c>
      <c r="C1209" t="s">
        <v>7</v>
      </c>
      <c r="D1209" s="1">
        <v>45693</v>
      </c>
      <c r="E1209">
        <v>49</v>
      </c>
      <c r="F1209">
        <v>0</v>
      </c>
      <c r="G1209">
        <f>IF(Gym_Expansion_Data[[#This Row],[Churned]]=0,1,0)</f>
        <v>1</v>
      </c>
      <c r="H1209" t="str">
        <f>IF(Gym_Expansion_Data[[#This Row],[Active Member]]=1,Gym_Expansion_Data[[#This Row],[Tier]],"Inactive")</f>
        <v>Basic</v>
      </c>
    </row>
    <row r="1210" spans="1:8" x14ac:dyDescent="0.2">
      <c r="A1210">
        <v>2209</v>
      </c>
      <c r="B1210" t="s">
        <v>9</v>
      </c>
      <c r="C1210" t="s">
        <v>8</v>
      </c>
      <c r="D1210" s="1">
        <v>45356</v>
      </c>
      <c r="E1210">
        <v>129</v>
      </c>
      <c r="F1210">
        <v>0</v>
      </c>
      <c r="G1210">
        <f>IF(Gym_Expansion_Data[[#This Row],[Churned]]=0,1,0)</f>
        <v>1</v>
      </c>
      <c r="H1210" t="str">
        <f>IF(Gym_Expansion_Data[[#This Row],[Active Member]]=1,Gym_Expansion_Data[[#This Row],[Tier]],"Inactive")</f>
        <v>Elite</v>
      </c>
    </row>
    <row r="1211" spans="1:8" x14ac:dyDescent="0.2">
      <c r="A1211">
        <v>2210</v>
      </c>
      <c r="B1211" t="s">
        <v>10</v>
      </c>
      <c r="C1211" t="s">
        <v>12</v>
      </c>
      <c r="D1211" s="1">
        <v>45815</v>
      </c>
      <c r="E1211">
        <v>89</v>
      </c>
      <c r="F1211">
        <v>0</v>
      </c>
      <c r="G1211">
        <f>IF(Gym_Expansion_Data[[#This Row],[Churned]]=0,1,0)</f>
        <v>1</v>
      </c>
      <c r="H1211" t="str">
        <f>IF(Gym_Expansion_Data[[#This Row],[Active Member]]=1,Gym_Expansion_Data[[#This Row],[Tier]],"Inactive")</f>
        <v>Premium</v>
      </c>
    </row>
    <row r="1212" spans="1:8" x14ac:dyDescent="0.2">
      <c r="A1212">
        <v>2211</v>
      </c>
      <c r="B1212" t="s">
        <v>6</v>
      </c>
      <c r="C1212" t="s">
        <v>8</v>
      </c>
      <c r="D1212" s="1">
        <v>45425</v>
      </c>
      <c r="E1212">
        <v>129</v>
      </c>
      <c r="F1212">
        <v>0</v>
      </c>
      <c r="G1212">
        <f>IF(Gym_Expansion_Data[[#This Row],[Churned]]=0,1,0)</f>
        <v>1</v>
      </c>
      <c r="H1212" t="str">
        <f>IF(Gym_Expansion_Data[[#This Row],[Active Member]]=1,Gym_Expansion_Data[[#This Row],[Tier]],"Inactive")</f>
        <v>Elite</v>
      </c>
    </row>
    <row r="1213" spans="1:8" x14ac:dyDescent="0.2">
      <c r="A1213">
        <v>2212</v>
      </c>
      <c r="B1213" t="s">
        <v>6</v>
      </c>
      <c r="C1213" t="s">
        <v>12</v>
      </c>
      <c r="D1213" s="1">
        <v>45394</v>
      </c>
      <c r="E1213">
        <v>89</v>
      </c>
      <c r="F1213">
        <v>0</v>
      </c>
      <c r="G1213">
        <f>IF(Gym_Expansion_Data[[#This Row],[Churned]]=0,1,0)</f>
        <v>1</v>
      </c>
      <c r="H1213" t="str">
        <f>IF(Gym_Expansion_Data[[#This Row],[Active Member]]=1,Gym_Expansion_Data[[#This Row],[Tier]],"Inactive")</f>
        <v>Premium</v>
      </c>
    </row>
    <row r="1214" spans="1:8" x14ac:dyDescent="0.2">
      <c r="A1214">
        <v>2213</v>
      </c>
      <c r="B1214" t="s">
        <v>9</v>
      </c>
      <c r="C1214" t="s">
        <v>7</v>
      </c>
      <c r="D1214" s="1">
        <v>45847</v>
      </c>
      <c r="E1214">
        <v>49</v>
      </c>
      <c r="F1214">
        <v>1</v>
      </c>
      <c r="G1214">
        <f>IF(Gym_Expansion_Data[[#This Row],[Churned]]=0,1,0)</f>
        <v>0</v>
      </c>
      <c r="H1214" t="str">
        <f>IF(Gym_Expansion_Data[[#This Row],[Active Member]]=1,Gym_Expansion_Data[[#This Row],[Tier]],"Inactive")</f>
        <v>Inactive</v>
      </c>
    </row>
    <row r="1215" spans="1:8" x14ac:dyDescent="0.2">
      <c r="A1215">
        <v>2214</v>
      </c>
      <c r="B1215" t="s">
        <v>11</v>
      </c>
      <c r="C1215" t="s">
        <v>12</v>
      </c>
      <c r="D1215" s="1">
        <v>45345</v>
      </c>
      <c r="E1215">
        <v>89</v>
      </c>
      <c r="F1215">
        <v>0</v>
      </c>
      <c r="G1215">
        <f>IF(Gym_Expansion_Data[[#This Row],[Churned]]=0,1,0)</f>
        <v>1</v>
      </c>
      <c r="H1215" t="str">
        <f>IF(Gym_Expansion_Data[[#This Row],[Active Member]]=1,Gym_Expansion_Data[[#This Row],[Tier]],"Inactive")</f>
        <v>Premium</v>
      </c>
    </row>
    <row r="1216" spans="1:8" x14ac:dyDescent="0.2">
      <c r="A1216">
        <v>2215</v>
      </c>
      <c r="B1216" t="s">
        <v>6</v>
      </c>
      <c r="C1216" t="s">
        <v>8</v>
      </c>
      <c r="D1216" s="1">
        <v>45726</v>
      </c>
      <c r="E1216">
        <v>129</v>
      </c>
      <c r="F1216">
        <v>1</v>
      </c>
      <c r="G1216">
        <f>IF(Gym_Expansion_Data[[#This Row],[Churned]]=0,1,0)</f>
        <v>0</v>
      </c>
      <c r="H1216" t="str">
        <f>IF(Gym_Expansion_Data[[#This Row],[Active Member]]=1,Gym_Expansion_Data[[#This Row],[Tier]],"Inactive")</f>
        <v>Inactive</v>
      </c>
    </row>
    <row r="1217" spans="1:8" x14ac:dyDescent="0.2">
      <c r="A1217">
        <v>2216</v>
      </c>
      <c r="B1217" t="s">
        <v>11</v>
      </c>
      <c r="C1217" t="s">
        <v>7</v>
      </c>
      <c r="D1217" s="1">
        <v>45569</v>
      </c>
      <c r="E1217">
        <v>49</v>
      </c>
      <c r="F1217">
        <v>0</v>
      </c>
      <c r="G1217">
        <f>IF(Gym_Expansion_Data[[#This Row],[Churned]]=0,1,0)</f>
        <v>1</v>
      </c>
      <c r="H1217" t="str">
        <f>IF(Gym_Expansion_Data[[#This Row],[Active Member]]=1,Gym_Expansion_Data[[#This Row],[Tier]],"Inactive")</f>
        <v>Basic</v>
      </c>
    </row>
    <row r="1218" spans="1:8" x14ac:dyDescent="0.2">
      <c r="A1218">
        <v>2217</v>
      </c>
      <c r="B1218" t="s">
        <v>9</v>
      </c>
      <c r="C1218" t="s">
        <v>12</v>
      </c>
      <c r="D1218" s="1">
        <v>45763</v>
      </c>
      <c r="E1218">
        <v>89</v>
      </c>
      <c r="F1218">
        <v>0</v>
      </c>
      <c r="G1218">
        <f>IF(Gym_Expansion_Data[[#This Row],[Churned]]=0,1,0)</f>
        <v>1</v>
      </c>
      <c r="H1218" t="str">
        <f>IF(Gym_Expansion_Data[[#This Row],[Active Member]]=1,Gym_Expansion_Data[[#This Row],[Tier]],"Inactive")</f>
        <v>Premium</v>
      </c>
    </row>
    <row r="1219" spans="1:8" x14ac:dyDescent="0.2">
      <c r="A1219">
        <v>2218</v>
      </c>
      <c r="B1219" t="s">
        <v>11</v>
      </c>
      <c r="C1219" t="s">
        <v>8</v>
      </c>
      <c r="D1219" s="1">
        <v>45486</v>
      </c>
      <c r="E1219">
        <v>129</v>
      </c>
      <c r="F1219">
        <v>0</v>
      </c>
      <c r="G1219">
        <f>IF(Gym_Expansion_Data[[#This Row],[Churned]]=0,1,0)</f>
        <v>1</v>
      </c>
      <c r="H1219" t="str">
        <f>IF(Gym_Expansion_Data[[#This Row],[Active Member]]=1,Gym_Expansion_Data[[#This Row],[Tier]],"Inactive")</f>
        <v>Elite</v>
      </c>
    </row>
    <row r="1220" spans="1:8" x14ac:dyDescent="0.2">
      <c r="A1220">
        <v>2219</v>
      </c>
      <c r="B1220" t="s">
        <v>9</v>
      </c>
      <c r="C1220" t="s">
        <v>7</v>
      </c>
      <c r="D1220" s="1">
        <v>45797</v>
      </c>
      <c r="E1220">
        <v>49</v>
      </c>
      <c r="F1220">
        <v>0</v>
      </c>
      <c r="G1220">
        <f>IF(Gym_Expansion_Data[[#This Row],[Churned]]=0,1,0)</f>
        <v>1</v>
      </c>
      <c r="H1220" t="str">
        <f>IF(Gym_Expansion_Data[[#This Row],[Active Member]]=1,Gym_Expansion_Data[[#This Row],[Tier]],"Inactive")</f>
        <v>Basic</v>
      </c>
    </row>
    <row r="1221" spans="1:8" x14ac:dyDescent="0.2">
      <c r="A1221">
        <v>2220</v>
      </c>
      <c r="B1221" t="s">
        <v>6</v>
      </c>
      <c r="C1221" t="s">
        <v>8</v>
      </c>
      <c r="D1221" s="1">
        <v>45613</v>
      </c>
      <c r="E1221">
        <v>129</v>
      </c>
      <c r="F1221">
        <v>0</v>
      </c>
      <c r="G1221">
        <f>IF(Gym_Expansion_Data[[#This Row],[Churned]]=0,1,0)</f>
        <v>1</v>
      </c>
      <c r="H1221" t="str">
        <f>IF(Gym_Expansion_Data[[#This Row],[Active Member]]=1,Gym_Expansion_Data[[#This Row],[Tier]],"Inactive")</f>
        <v>Elite</v>
      </c>
    </row>
    <row r="1222" spans="1:8" x14ac:dyDescent="0.2">
      <c r="A1222">
        <v>2221</v>
      </c>
      <c r="B1222" t="s">
        <v>9</v>
      </c>
      <c r="C1222" t="s">
        <v>8</v>
      </c>
      <c r="D1222" s="1">
        <v>45566</v>
      </c>
      <c r="E1222">
        <v>129</v>
      </c>
      <c r="F1222">
        <v>0</v>
      </c>
      <c r="G1222">
        <f>IF(Gym_Expansion_Data[[#This Row],[Churned]]=0,1,0)</f>
        <v>1</v>
      </c>
      <c r="H1222" t="str">
        <f>IF(Gym_Expansion_Data[[#This Row],[Active Member]]=1,Gym_Expansion_Data[[#This Row],[Tier]],"Inactive")</f>
        <v>Elite</v>
      </c>
    </row>
    <row r="1223" spans="1:8" x14ac:dyDescent="0.2">
      <c r="A1223">
        <v>2222</v>
      </c>
      <c r="B1223" t="s">
        <v>10</v>
      </c>
      <c r="C1223" t="s">
        <v>8</v>
      </c>
      <c r="D1223" s="1">
        <v>45311</v>
      </c>
      <c r="E1223">
        <v>129</v>
      </c>
      <c r="F1223">
        <v>0</v>
      </c>
      <c r="G1223">
        <f>IF(Gym_Expansion_Data[[#This Row],[Churned]]=0,1,0)</f>
        <v>1</v>
      </c>
      <c r="H1223" t="str">
        <f>IF(Gym_Expansion_Data[[#This Row],[Active Member]]=1,Gym_Expansion_Data[[#This Row],[Tier]],"Inactive")</f>
        <v>Elite</v>
      </c>
    </row>
    <row r="1224" spans="1:8" x14ac:dyDescent="0.2">
      <c r="A1224">
        <v>2223</v>
      </c>
      <c r="B1224" t="s">
        <v>11</v>
      </c>
      <c r="C1224" t="s">
        <v>12</v>
      </c>
      <c r="D1224" s="1">
        <v>45857</v>
      </c>
      <c r="E1224">
        <v>89</v>
      </c>
      <c r="F1224">
        <v>1</v>
      </c>
      <c r="G1224">
        <f>IF(Gym_Expansion_Data[[#This Row],[Churned]]=0,1,0)</f>
        <v>0</v>
      </c>
      <c r="H1224" t="str">
        <f>IF(Gym_Expansion_Data[[#This Row],[Active Member]]=1,Gym_Expansion_Data[[#This Row],[Tier]],"Inactive")</f>
        <v>Inactive</v>
      </c>
    </row>
    <row r="1225" spans="1:8" x14ac:dyDescent="0.2">
      <c r="A1225">
        <v>2224</v>
      </c>
      <c r="B1225" t="s">
        <v>9</v>
      </c>
      <c r="C1225" t="s">
        <v>7</v>
      </c>
      <c r="D1225" s="1">
        <v>45552</v>
      </c>
      <c r="E1225">
        <v>49</v>
      </c>
      <c r="F1225">
        <v>0</v>
      </c>
      <c r="G1225">
        <f>IF(Gym_Expansion_Data[[#This Row],[Churned]]=0,1,0)</f>
        <v>1</v>
      </c>
      <c r="H1225" t="str">
        <f>IF(Gym_Expansion_Data[[#This Row],[Active Member]]=1,Gym_Expansion_Data[[#This Row],[Tier]],"Inactive")</f>
        <v>Basic</v>
      </c>
    </row>
    <row r="1226" spans="1:8" x14ac:dyDescent="0.2">
      <c r="A1226">
        <v>2225</v>
      </c>
      <c r="B1226" t="s">
        <v>6</v>
      </c>
      <c r="C1226" t="s">
        <v>8</v>
      </c>
      <c r="D1226" s="1">
        <v>45381</v>
      </c>
      <c r="E1226">
        <v>129</v>
      </c>
      <c r="F1226">
        <v>0</v>
      </c>
      <c r="G1226">
        <f>IF(Gym_Expansion_Data[[#This Row],[Churned]]=0,1,0)</f>
        <v>1</v>
      </c>
      <c r="H1226" t="str">
        <f>IF(Gym_Expansion_Data[[#This Row],[Active Member]]=1,Gym_Expansion_Data[[#This Row],[Tier]],"Inactive")</f>
        <v>Elite</v>
      </c>
    </row>
    <row r="1227" spans="1:8" x14ac:dyDescent="0.2">
      <c r="A1227">
        <v>2226</v>
      </c>
      <c r="B1227" t="s">
        <v>6</v>
      </c>
      <c r="C1227" t="s">
        <v>12</v>
      </c>
      <c r="D1227" s="1">
        <v>45300</v>
      </c>
      <c r="E1227">
        <v>89</v>
      </c>
      <c r="F1227">
        <v>0</v>
      </c>
      <c r="G1227">
        <f>IF(Gym_Expansion_Data[[#This Row],[Churned]]=0,1,0)</f>
        <v>1</v>
      </c>
      <c r="H1227" t="str">
        <f>IF(Gym_Expansion_Data[[#This Row],[Active Member]]=1,Gym_Expansion_Data[[#This Row],[Tier]],"Inactive")</f>
        <v>Premium</v>
      </c>
    </row>
    <row r="1228" spans="1:8" x14ac:dyDescent="0.2">
      <c r="A1228">
        <v>2227</v>
      </c>
      <c r="B1228" t="s">
        <v>10</v>
      </c>
      <c r="C1228" t="s">
        <v>7</v>
      </c>
      <c r="D1228" s="1">
        <v>45305</v>
      </c>
      <c r="E1228">
        <v>49</v>
      </c>
      <c r="F1228">
        <v>0</v>
      </c>
      <c r="G1228">
        <f>IF(Gym_Expansion_Data[[#This Row],[Churned]]=0,1,0)</f>
        <v>1</v>
      </c>
      <c r="H1228" t="str">
        <f>IF(Gym_Expansion_Data[[#This Row],[Active Member]]=1,Gym_Expansion_Data[[#This Row],[Tier]],"Inactive")</f>
        <v>Basic</v>
      </c>
    </row>
    <row r="1229" spans="1:8" x14ac:dyDescent="0.2">
      <c r="A1229">
        <v>2228</v>
      </c>
      <c r="B1229" t="s">
        <v>9</v>
      </c>
      <c r="C1229" t="s">
        <v>8</v>
      </c>
      <c r="D1229" s="1">
        <v>45437</v>
      </c>
      <c r="E1229">
        <v>129</v>
      </c>
      <c r="F1229">
        <v>0</v>
      </c>
      <c r="G1229">
        <f>IF(Gym_Expansion_Data[[#This Row],[Churned]]=0,1,0)</f>
        <v>1</v>
      </c>
      <c r="H1229" t="str">
        <f>IF(Gym_Expansion_Data[[#This Row],[Active Member]]=1,Gym_Expansion_Data[[#This Row],[Tier]],"Inactive")</f>
        <v>Elite</v>
      </c>
    </row>
    <row r="1230" spans="1:8" x14ac:dyDescent="0.2">
      <c r="A1230">
        <v>2229</v>
      </c>
      <c r="B1230" t="s">
        <v>6</v>
      </c>
      <c r="C1230" t="s">
        <v>7</v>
      </c>
      <c r="D1230" s="1">
        <v>45493</v>
      </c>
      <c r="E1230">
        <v>49</v>
      </c>
      <c r="F1230">
        <v>0</v>
      </c>
      <c r="G1230">
        <f>IF(Gym_Expansion_Data[[#This Row],[Churned]]=0,1,0)</f>
        <v>1</v>
      </c>
      <c r="H1230" t="str">
        <f>IF(Gym_Expansion_Data[[#This Row],[Active Member]]=1,Gym_Expansion_Data[[#This Row],[Tier]],"Inactive")</f>
        <v>Basic</v>
      </c>
    </row>
    <row r="1231" spans="1:8" x14ac:dyDescent="0.2">
      <c r="A1231">
        <v>2230</v>
      </c>
      <c r="B1231" t="s">
        <v>11</v>
      </c>
      <c r="C1231" t="s">
        <v>12</v>
      </c>
      <c r="D1231" s="1">
        <v>45941</v>
      </c>
      <c r="E1231">
        <v>89</v>
      </c>
      <c r="F1231">
        <v>0</v>
      </c>
      <c r="G1231">
        <f>IF(Gym_Expansion_Data[[#This Row],[Churned]]=0,1,0)</f>
        <v>1</v>
      </c>
      <c r="H1231" t="str">
        <f>IF(Gym_Expansion_Data[[#This Row],[Active Member]]=1,Gym_Expansion_Data[[#This Row],[Tier]],"Inactive")</f>
        <v>Premium</v>
      </c>
    </row>
    <row r="1232" spans="1:8" x14ac:dyDescent="0.2">
      <c r="A1232">
        <v>2231</v>
      </c>
      <c r="B1232" t="s">
        <v>10</v>
      </c>
      <c r="C1232" t="s">
        <v>7</v>
      </c>
      <c r="D1232" s="1">
        <v>45861</v>
      </c>
      <c r="E1232">
        <v>49</v>
      </c>
      <c r="F1232">
        <v>0</v>
      </c>
      <c r="G1232">
        <f>IF(Gym_Expansion_Data[[#This Row],[Churned]]=0,1,0)</f>
        <v>1</v>
      </c>
      <c r="H1232" t="str">
        <f>IF(Gym_Expansion_Data[[#This Row],[Active Member]]=1,Gym_Expansion_Data[[#This Row],[Tier]],"Inactive")</f>
        <v>Basic</v>
      </c>
    </row>
    <row r="1233" spans="1:8" x14ac:dyDescent="0.2">
      <c r="A1233">
        <v>2232</v>
      </c>
      <c r="B1233" t="s">
        <v>9</v>
      </c>
      <c r="C1233" t="s">
        <v>7</v>
      </c>
      <c r="D1233" s="1">
        <v>45687</v>
      </c>
      <c r="E1233">
        <v>49</v>
      </c>
      <c r="F1233">
        <v>0</v>
      </c>
      <c r="G1233">
        <f>IF(Gym_Expansion_Data[[#This Row],[Churned]]=0,1,0)</f>
        <v>1</v>
      </c>
      <c r="H1233" t="str">
        <f>IF(Gym_Expansion_Data[[#This Row],[Active Member]]=1,Gym_Expansion_Data[[#This Row],[Tier]],"Inactive")</f>
        <v>Basic</v>
      </c>
    </row>
    <row r="1234" spans="1:8" x14ac:dyDescent="0.2">
      <c r="A1234">
        <v>2233</v>
      </c>
      <c r="B1234" t="s">
        <v>9</v>
      </c>
      <c r="C1234" t="s">
        <v>8</v>
      </c>
      <c r="D1234" s="1">
        <v>45311</v>
      </c>
      <c r="E1234">
        <v>129</v>
      </c>
      <c r="F1234">
        <v>0</v>
      </c>
      <c r="G1234">
        <f>IF(Gym_Expansion_Data[[#This Row],[Churned]]=0,1,0)</f>
        <v>1</v>
      </c>
      <c r="H1234" t="str">
        <f>IF(Gym_Expansion_Data[[#This Row],[Active Member]]=1,Gym_Expansion_Data[[#This Row],[Tier]],"Inactive")</f>
        <v>Elite</v>
      </c>
    </row>
    <row r="1235" spans="1:8" x14ac:dyDescent="0.2">
      <c r="A1235">
        <v>2234</v>
      </c>
      <c r="B1235" t="s">
        <v>10</v>
      </c>
      <c r="C1235" t="s">
        <v>7</v>
      </c>
      <c r="D1235" s="1">
        <v>45592</v>
      </c>
      <c r="E1235">
        <v>49</v>
      </c>
      <c r="F1235">
        <v>0</v>
      </c>
      <c r="G1235">
        <f>IF(Gym_Expansion_Data[[#This Row],[Churned]]=0,1,0)</f>
        <v>1</v>
      </c>
      <c r="H1235" t="str">
        <f>IF(Gym_Expansion_Data[[#This Row],[Active Member]]=1,Gym_Expansion_Data[[#This Row],[Tier]],"Inactive")</f>
        <v>Basic</v>
      </c>
    </row>
    <row r="1236" spans="1:8" x14ac:dyDescent="0.2">
      <c r="A1236">
        <v>2235</v>
      </c>
      <c r="B1236" t="s">
        <v>6</v>
      </c>
      <c r="C1236" t="s">
        <v>7</v>
      </c>
      <c r="D1236" s="1">
        <v>45613</v>
      </c>
      <c r="E1236">
        <v>49</v>
      </c>
      <c r="F1236">
        <v>1</v>
      </c>
      <c r="G1236">
        <f>IF(Gym_Expansion_Data[[#This Row],[Churned]]=0,1,0)</f>
        <v>0</v>
      </c>
      <c r="H1236" t="str">
        <f>IF(Gym_Expansion_Data[[#This Row],[Active Member]]=1,Gym_Expansion_Data[[#This Row],[Tier]],"Inactive")</f>
        <v>Inactive</v>
      </c>
    </row>
    <row r="1237" spans="1:8" x14ac:dyDescent="0.2">
      <c r="A1237">
        <v>2236</v>
      </c>
      <c r="B1237" t="s">
        <v>11</v>
      </c>
      <c r="C1237" t="s">
        <v>7</v>
      </c>
      <c r="D1237" s="1">
        <v>45638</v>
      </c>
      <c r="E1237">
        <v>49</v>
      </c>
      <c r="F1237">
        <v>0</v>
      </c>
      <c r="G1237">
        <f>IF(Gym_Expansion_Data[[#This Row],[Churned]]=0,1,0)</f>
        <v>1</v>
      </c>
      <c r="H1237" t="str">
        <f>IF(Gym_Expansion_Data[[#This Row],[Active Member]]=1,Gym_Expansion_Data[[#This Row],[Tier]],"Inactive")</f>
        <v>Basic</v>
      </c>
    </row>
    <row r="1238" spans="1:8" x14ac:dyDescent="0.2">
      <c r="A1238">
        <v>2237</v>
      </c>
      <c r="B1238" t="s">
        <v>10</v>
      </c>
      <c r="C1238" t="s">
        <v>8</v>
      </c>
      <c r="D1238" s="1">
        <v>45950</v>
      </c>
      <c r="E1238">
        <v>129</v>
      </c>
      <c r="F1238">
        <v>0</v>
      </c>
      <c r="G1238">
        <f>IF(Gym_Expansion_Data[[#This Row],[Churned]]=0,1,0)</f>
        <v>1</v>
      </c>
      <c r="H1238" t="str">
        <f>IF(Gym_Expansion_Data[[#This Row],[Active Member]]=1,Gym_Expansion_Data[[#This Row],[Tier]],"Inactive")</f>
        <v>Elite</v>
      </c>
    </row>
    <row r="1239" spans="1:8" x14ac:dyDescent="0.2">
      <c r="A1239">
        <v>2238</v>
      </c>
      <c r="B1239" t="s">
        <v>11</v>
      </c>
      <c r="C1239" t="s">
        <v>8</v>
      </c>
      <c r="D1239" s="1">
        <v>45611</v>
      </c>
      <c r="E1239">
        <v>129</v>
      </c>
      <c r="F1239">
        <v>0</v>
      </c>
      <c r="G1239">
        <f>IF(Gym_Expansion_Data[[#This Row],[Churned]]=0,1,0)</f>
        <v>1</v>
      </c>
      <c r="H1239" t="str">
        <f>IF(Gym_Expansion_Data[[#This Row],[Active Member]]=1,Gym_Expansion_Data[[#This Row],[Tier]],"Inactive")</f>
        <v>Elite</v>
      </c>
    </row>
    <row r="1240" spans="1:8" x14ac:dyDescent="0.2">
      <c r="A1240">
        <v>2239</v>
      </c>
      <c r="B1240" t="s">
        <v>11</v>
      </c>
      <c r="C1240" t="s">
        <v>12</v>
      </c>
      <c r="D1240" s="1">
        <v>45797</v>
      </c>
      <c r="E1240">
        <v>89</v>
      </c>
      <c r="F1240">
        <v>1</v>
      </c>
      <c r="G1240">
        <f>IF(Gym_Expansion_Data[[#This Row],[Churned]]=0,1,0)</f>
        <v>0</v>
      </c>
      <c r="H1240" t="str">
        <f>IF(Gym_Expansion_Data[[#This Row],[Active Member]]=1,Gym_Expansion_Data[[#This Row],[Tier]],"Inactive")</f>
        <v>Inactive</v>
      </c>
    </row>
    <row r="1241" spans="1:8" x14ac:dyDescent="0.2">
      <c r="A1241">
        <v>2240</v>
      </c>
      <c r="B1241" t="s">
        <v>9</v>
      </c>
      <c r="C1241" t="s">
        <v>7</v>
      </c>
      <c r="D1241" s="1">
        <v>45935</v>
      </c>
      <c r="E1241">
        <v>49</v>
      </c>
      <c r="F1241">
        <v>0</v>
      </c>
      <c r="G1241">
        <f>IF(Gym_Expansion_Data[[#This Row],[Churned]]=0,1,0)</f>
        <v>1</v>
      </c>
      <c r="H1241" t="str">
        <f>IF(Gym_Expansion_Data[[#This Row],[Active Member]]=1,Gym_Expansion_Data[[#This Row],[Tier]],"Inactive")</f>
        <v>Basic</v>
      </c>
    </row>
    <row r="1242" spans="1:8" x14ac:dyDescent="0.2">
      <c r="A1242">
        <v>2241</v>
      </c>
      <c r="B1242" t="s">
        <v>6</v>
      </c>
      <c r="C1242" t="s">
        <v>12</v>
      </c>
      <c r="D1242" s="1">
        <v>45778</v>
      </c>
      <c r="E1242">
        <v>89</v>
      </c>
      <c r="F1242">
        <v>0</v>
      </c>
      <c r="G1242">
        <f>IF(Gym_Expansion_Data[[#This Row],[Churned]]=0,1,0)</f>
        <v>1</v>
      </c>
      <c r="H1242" t="str">
        <f>IF(Gym_Expansion_Data[[#This Row],[Active Member]]=1,Gym_Expansion_Data[[#This Row],[Tier]],"Inactive")</f>
        <v>Premium</v>
      </c>
    </row>
    <row r="1243" spans="1:8" x14ac:dyDescent="0.2">
      <c r="A1243">
        <v>2242</v>
      </c>
      <c r="B1243" t="s">
        <v>11</v>
      </c>
      <c r="C1243" t="s">
        <v>8</v>
      </c>
      <c r="D1243" s="1">
        <v>45601</v>
      </c>
      <c r="E1243">
        <v>129</v>
      </c>
      <c r="F1243">
        <v>0</v>
      </c>
      <c r="G1243">
        <f>IF(Gym_Expansion_Data[[#This Row],[Churned]]=0,1,0)</f>
        <v>1</v>
      </c>
      <c r="H1243" t="str">
        <f>IF(Gym_Expansion_Data[[#This Row],[Active Member]]=1,Gym_Expansion_Data[[#This Row],[Tier]],"Inactive")</f>
        <v>Elite</v>
      </c>
    </row>
    <row r="1244" spans="1:8" x14ac:dyDescent="0.2">
      <c r="A1244">
        <v>2243</v>
      </c>
      <c r="B1244" t="s">
        <v>10</v>
      </c>
      <c r="C1244" t="s">
        <v>8</v>
      </c>
      <c r="D1244" s="1">
        <v>45938</v>
      </c>
      <c r="E1244">
        <v>129</v>
      </c>
      <c r="F1244">
        <v>0</v>
      </c>
      <c r="G1244">
        <f>IF(Gym_Expansion_Data[[#This Row],[Churned]]=0,1,0)</f>
        <v>1</v>
      </c>
      <c r="H1244" t="str">
        <f>IF(Gym_Expansion_Data[[#This Row],[Active Member]]=1,Gym_Expansion_Data[[#This Row],[Tier]],"Inactive")</f>
        <v>Elite</v>
      </c>
    </row>
    <row r="1245" spans="1:8" x14ac:dyDescent="0.2">
      <c r="A1245">
        <v>2244</v>
      </c>
      <c r="B1245" t="s">
        <v>6</v>
      </c>
      <c r="C1245" t="s">
        <v>8</v>
      </c>
      <c r="D1245" s="1">
        <v>45682</v>
      </c>
      <c r="E1245">
        <v>129</v>
      </c>
      <c r="F1245">
        <v>0</v>
      </c>
      <c r="G1245">
        <f>IF(Gym_Expansion_Data[[#This Row],[Churned]]=0,1,0)</f>
        <v>1</v>
      </c>
      <c r="H1245" t="str">
        <f>IF(Gym_Expansion_Data[[#This Row],[Active Member]]=1,Gym_Expansion_Data[[#This Row],[Tier]],"Inactive")</f>
        <v>Elite</v>
      </c>
    </row>
    <row r="1246" spans="1:8" x14ac:dyDescent="0.2">
      <c r="A1246">
        <v>2245</v>
      </c>
      <c r="B1246" t="s">
        <v>9</v>
      </c>
      <c r="C1246" t="s">
        <v>7</v>
      </c>
      <c r="D1246" s="1">
        <v>45523</v>
      </c>
      <c r="E1246">
        <v>49</v>
      </c>
      <c r="F1246">
        <v>0</v>
      </c>
      <c r="G1246">
        <f>IF(Gym_Expansion_Data[[#This Row],[Churned]]=0,1,0)</f>
        <v>1</v>
      </c>
      <c r="H1246" t="str">
        <f>IF(Gym_Expansion_Data[[#This Row],[Active Member]]=1,Gym_Expansion_Data[[#This Row],[Tier]],"Inactive")</f>
        <v>Basic</v>
      </c>
    </row>
    <row r="1247" spans="1:8" x14ac:dyDescent="0.2">
      <c r="A1247">
        <v>2246</v>
      </c>
      <c r="B1247" t="s">
        <v>6</v>
      </c>
      <c r="C1247" t="s">
        <v>8</v>
      </c>
      <c r="D1247" s="1">
        <v>45596</v>
      </c>
      <c r="E1247">
        <v>129</v>
      </c>
      <c r="F1247">
        <v>0</v>
      </c>
      <c r="G1247">
        <f>IF(Gym_Expansion_Data[[#This Row],[Churned]]=0,1,0)</f>
        <v>1</v>
      </c>
      <c r="H1247" t="str">
        <f>IF(Gym_Expansion_Data[[#This Row],[Active Member]]=1,Gym_Expansion_Data[[#This Row],[Tier]],"Inactive")</f>
        <v>Elite</v>
      </c>
    </row>
    <row r="1248" spans="1:8" x14ac:dyDescent="0.2">
      <c r="A1248">
        <v>2247</v>
      </c>
      <c r="B1248" t="s">
        <v>10</v>
      </c>
      <c r="C1248" t="s">
        <v>7</v>
      </c>
      <c r="D1248" s="1">
        <v>45938</v>
      </c>
      <c r="E1248">
        <v>49</v>
      </c>
      <c r="F1248">
        <v>1</v>
      </c>
      <c r="G1248">
        <f>IF(Gym_Expansion_Data[[#This Row],[Churned]]=0,1,0)</f>
        <v>0</v>
      </c>
      <c r="H1248" t="str">
        <f>IF(Gym_Expansion_Data[[#This Row],[Active Member]]=1,Gym_Expansion_Data[[#This Row],[Tier]],"Inactive")</f>
        <v>Inactive</v>
      </c>
    </row>
    <row r="1249" spans="1:8" x14ac:dyDescent="0.2">
      <c r="A1249">
        <v>2248</v>
      </c>
      <c r="B1249" t="s">
        <v>10</v>
      </c>
      <c r="C1249" t="s">
        <v>7</v>
      </c>
      <c r="D1249" s="1">
        <v>45373</v>
      </c>
      <c r="E1249">
        <v>49</v>
      </c>
      <c r="F1249">
        <v>0</v>
      </c>
      <c r="G1249">
        <f>IF(Gym_Expansion_Data[[#This Row],[Churned]]=0,1,0)</f>
        <v>1</v>
      </c>
      <c r="H1249" t="str">
        <f>IF(Gym_Expansion_Data[[#This Row],[Active Member]]=1,Gym_Expansion_Data[[#This Row],[Tier]],"Inactive")</f>
        <v>Basic</v>
      </c>
    </row>
    <row r="1250" spans="1:8" x14ac:dyDescent="0.2">
      <c r="A1250">
        <v>2249</v>
      </c>
      <c r="B1250" t="s">
        <v>9</v>
      </c>
      <c r="C1250" t="s">
        <v>7</v>
      </c>
      <c r="D1250" s="1">
        <v>45789</v>
      </c>
      <c r="E1250">
        <v>49</v>
      </c>
      <c r="F1250">
        <v>0</v>
      </c>
      <c r="G1250">
        <f>IF(Gym_Expansion_Data[[#This Row],[Churned]]=0,1,0)</f>
        <v>1</v>
      </c>
      <c r="H1250" t="str">
        <f>IF(Gym_Expansion_Data[[#This Row],[Active Member]]=1,Gym_Expansion_Data[[#This Row],[Tier]],"Inactive")</f>
        <v>Basic</v>
      </c>
    </row>
    <row r="1251" spans="1:8" x14ac:dyDescent="0.2">
      <c r="A1251">
        <v>2250</v>
      </c>
      <c r="B1251" t="s">
        <v>10</v>
      </c>
      <c r="C1251" t="s">
        <v>7</v>
      </c>
      <c r="D1251" s="1">
        <v>45617</v>
      </c>
      <c r="E1251">
        <v>49</v>
      </c>
      <c r="F1251">
        <v>0</v>
      </c>
      <c r="G1251">
        <f>IF(Gym_Expansion_Data[[#This Row],[Churned]]=0,1,0)</f>
        <v>1</v>
      </c>
      <c r="H1251" t="str">
        <f>IF(Gym_Expansion_Data[[#This Row],[Active Member]]=1,Gym_Expansion_Data[[#This Row],[Tier]],"Inactive")</f>
        <v>Basic</v>
      </c>
    </row>
    <row r="1252" spans="1:8" x14ac:dyDescent="0.2">
      <c r="A1252">
        <v>2251</v>
      </c>
      <c r="B1252" t="s">
        <v>10</v>
      </c>
      <c r="C1252" t="s">
        <v>8</v>
      </c>
      <c r="D1252" s="1">
        <v>45302</v>
      </c>
      <c r="E1252">
        <v>129</v>
      </c>
      <c r="F1252">
        <v>0</v>
      </c>
      <c r="G1252">
        <f>IF(Gym_Expansion_Data[[#This Row],[Churned]]=0,1,0)</f>
        <v>1</v>
      </c>
      <c r="H1252" t="str">
        <f>IF(Gym_Expansion_Data[[#This Row],[Active Member]]=1,Gym_Expansion_Data[[#This Row],[Tier]],"Inactive")</f>
        <v>Elite</v>
      </c>
    </row>
    <row r="1253" spans="1:8" x14ac:dyDescent="0.2">
      <c r="A1253">
        <v>2252</v>
      </c>
      <c r="B1253" t="s">
        <v>10</v>
      </c>
      <c r="C1253" t="s">
        <v>7</v>
      </c>
      <c r="D1253" s="1">
        <v>45620</v>
      </c>
      <c r="E1253">
        <v>49</v>
      </c>
      <c r="F1253">
        <v>0</v>
      </c>
      <c r="G1253">
        <f>IF(Gym_Expansion_Data[[#This Row],[Churned]]=0,1,0)</f>
        <v>1</v>
      </c>
      <c r="H1253" t="str">
        <f>IF(Gym_Expansion_Data[[#This Row],[Active Member]]=1,Gym_Expansion_Data[[#This Row],[Tier]],"Inactive")</f>
        <v>Basic</v>
      </c>
    </row>
    <row r="1254" spans="1:8" x14ac:dyDescent="0.2">
      <c r="A1254">
        <v>2253</v>
      </c>
      <c r="B1254" t="s">
        <v>9</v>
      </c>
      <c r="C1254" t="s">
        <v>7</v>
      </c>
      <c r="D1254" s="1">
        <v>45715</v>
      </c>
      <c r="E1254">
        <v>49</v>
      </c>
      <c r="F1254">
        <v>0</v>
      </c>
      <c r="G1254">
        <f>IF(Gym_Expansion_Data[[#This Row],[Churned]]=0,1,0)</f>
        <v>1</v>
      </c>
      <c r="H1254" t="str">
        <f>IF(Gym_Expansion_Data[[#This Row],[Active Member]]=1,Gym_Expansion_Data[[#This Row],[Tier]],"Inactive")</f>
        <v>Basic</v>
      </c>
    </row>
    <row r="1255" spans="1:8" x14ac:dyDescent="0.2">
      <c r="A1255">
        <v>2254</v>
      </c>
      <c r="B1255" t="s">
        <v>9</v>
      </c>
      <c r="C1255" t="s">
        <v>12</v>
      </c>
      <c r="D1255" s="1">
        <v>45391</v>
      </c>
      <c r="E1255">
        <v>89</v>
      </c>
      <c r="F1255">
        <v>0</v>
      </c>
      <c r="G1255">
        <f>IF(Gym_Expansion_Data[[#This Row],[Churned]]=0,1,0)</f>
        <v>1</v>
      </c>
      <c r="H1255" t="str">
        <f>IF(Gym_Expansion_Data[[#This Row],[Active Member]]=1,Gym_Expansion_Data[[#This Row],[Tier]],"Inactive")</f>
        <v>Premium</v>
      </c>
    </row>
    <row r="1256" spans="1:8" x14ac:dyDescent="0.2">
      <c r="A1256">
        <v>2255</v>
      </c>
      <c r="B1256" t="s">
        <v>10</v>
      </c>
      <c r="C1256" t="s">
        <v>7</v>
      </c>
      <c r="D1256" s="1">
        <v>45919</v>
      </c>
      <c r="E1256">
        <v>49</v>
      </c>
      <c r="F1256">
        <v>0</v>
      </c>
      <c r="G1256">
        <f>IF(Gym_Expansion_Data[[#This Row],[Churned]]=0,1,0)</f>
        <v>1</v>
      </c>
      <c r="H1256" t="str">
        <f>IF(Gym_Expansion_Data[[#This Row],[Active Member]]=1,Gym_Expansion_Data[[#This Row],[Tier]],"Inactive")</f>
        <v>Basic</v>
      </c>
    </row>
    <row r="1257" spans="1:8" x14ac:dyDescent="0.2">
      <c r="A1257">
        <v>2256</v>
      </c>
      <c r="B1257" t="s">
        <v>9</v>
      </c>
      <c r="C1257" t="s">
        <v>7</v>
      </c>
      <c r="D1257" s="1">
        <v>45546</v>
      </c>
      <c r="E1257">
        <v>49</v>
      </c>
      <c r="F1257">
        <v>1</v>
      </c>
      <c r="G1257">
        <f>IF(Gym_Expansion_Data[[#This Row],[Churned]]=0,1,0)</f>
        <v>0</v>
      </c>
      <c r="H1257" t="str">
        <f>IF(Gym_Expansion_Data[[#This Row],[Active Member]]=1,Gym_Expansion_Data[[#This Row],[Tier]],"Inactive")</f>
        <v>Inactive</v>
      </c>
    </row>
    <row r="1258" spans="1:8" x14ac:dyDescent="0.2">
      <c r="A1258">
        <v>2257</v>
      </c>
      <c r="B1258" t="s">
        <v>10</v>
      </c>
      <c r="C1258" t="s">
        <v>12</v>
      </c>
      <c r="D1258" s="1">
        <v>45930</v>
      </c>
      <c r="E1258">
        <v>89</v>
      </c>
      <c r="F1258">
        <v>0</v>
      </c>
      <c r="G1258">
        <f>IF(Gym_Expansion_Data[[#This Row],[Churned]]=0,1,0)</f>
        <v>1</v>
      </c>
      <c r="H1258" t="str">
        <f>IF(Gym_Expansion_Data[[#This Row],[Active Member]]=1,Gym_Expansion_Data[[#This Row],[Tier]],"Inactive")</f>
        <v>Premium</v>
      </c>
    </row>
    <row r="1259" spans="1:8" x14ac:dyDescent="0.2">
      <c r="A1259">
        <v>2258</v>
      </c>
      <c r="B1259" t="s">
        <v>9</v>
      </c>
      <c r="C1259" t="s">
        <v>8</v>
      </c>
      <c r="D1259" s="1">
        <v>45339</v>
      </c>
      <c r="E1259">
        <v>129</v>
      </c>
      <c r="F1259">
        <v>0</v>
      </c>
      <c r="G1259">
        <f>IF(Gym_Expansion_Data[[#This Row],[Churned]]=0,1,0)</f>
        <v>1</v>
      </c>
      <c r="H1259" t="str">
        <f>IF(Gym_Expansion_Data[[#This Row],[Active Member]]=1,Gym_Expansion_Data[[#This Row],[Tier]],"Inactive")</f>
        <v>Elite</v>
      </c>
    </row>
    <row r="1260" spans="1:8" x14ac:dyDescent="0.2">
      <c r="A1260">
        <v>2259</v>
      </c>
      <c r="B1260" t="s">
        <v>11</v>
      </c>
      <c r="C1260" t="s">
        <v>12</v>
      </c>
      <c r="D1260" s="1">
        <v>45499</v>
      </c>
      <c r="E1260">
        <v>89</v>
      </c>
      <c r="F1260">
        <v>1</v>
      </c>
      <c r="G1260">
        <f>IF(Gym_Expansion_Data[[#This Row],[Churned]]=0,1,0)</f>
        <v>0</v>
      </c>
      <c r="H1260" t="str">
        <f>IF(Gym_Expansion_Data[[#This Row],[Active Member]]=1,Gym_Expansion_Data[[#This Row],[Tier]],"Inactive")</f>
        <v>Inactive</v>
      </c>
    </row>
    <row r="1261" spans="1:8" x14ac:dyDescent="0.2">
      <c r="A1261">
        <v>2260</v>
      </c>
      <c r="B1261" t="s">
        <v>6</v>
      </c>
      <c r="C1261" t="s">
        <v>12</v>
      </c>
      <c r="D1261" s="1">
        <v>45760</v>
      </c>
      <c r="E1261">
        <v>89</v>
      </c>
      <c r="F1261">
        <v>0</v>
      </c>
      <c r="G1261">
        <f>IF(Gym_Expansion_Data[[#This Row],[Churned]]=0,1,0)</f>
        <v>1</v>
      </c>
      <c r="H1261" t="str">
        <f>IF(Gym_Expansion_Data[[#This Row],[Active Member]]=1,Gym_Expansion_Data[[#This Row],[Tier]],"Inactive")</f>
        <v>Premium</v>
      </c>
    </row>
    <row r="1262" spans="1:8" x14ac:dyDescent="0.2">
      <c r="A1262">
        <v>2261</v>
      </c>
      <c r="B1262" t="s">
        <v>10</v>
      </c>
      <c r="C1262" t="s">
        <v>12</v>
      </c>
      <c r="D1262" s="1">
        <v>45449</v>
      </c>
      <c r="E1262">
        <v>89</v>
      </c>
      <c r="F1262">
        <v>1</v>
      </c>
      <c r="G1262">
        <f>IF(Gym_Expansion_Data[[#This Row],[Churned]]=0,1,0)</f>
        <v>0</v>
      </c>
      <c r="H1262" t="str">
        <f>IF(Gym_Expansion_Data[[#This Row],[Active Member]]=1,Gym_Expansion_Data[[#This Row],[Tier]],"Inactive")</f>
        <v>Inactive</v>
      </c>
    </row>
    <row r="1263" spans="1:8" x14ac:dyDescent="0.2">
      <c r="A1263">
        <v>2262</v>
      </c>
      <c r="B1263" t="s">
        <v>10</v>
      </c>
      <c r="C1263" t="s">
        <v>7</v>
      </c>
      <c r="D1263" s="1">
        <v>45943</v>
      </c>
      <c r="E1263">
        <v>49</v>
      </c>
      <c r="F1263">
        <v>0</v>
      </c>
      <c r="G1263">
        <f>IF(Gym_Expansion_Data[[#This Row],[Churned]]=0,1,0)</f>
        <v>1</v>
      </c>
      <c r="H1263" t="str">
        <f>IF(Gym_Expansion_Data[[#This Row],[Active Member]]=1,Gym_Expansion_Data[[#This Row],[Tier]],"Inactive")</f>
        <v>Basic</v>
      </c>
    </row>
    <row r="1264" spans="1:8" x14ac:dyDescent="0.2">
      <c r="A1264">
        <v>2263</v>
      </c>
      <c r="B1264" t="s">
        <v>10</v>
      </c>
      <c r="C1264" t="s">
        <v>12</v>
      </c>
      <c r="D1264" s="1">
        <v>45627</v>
      </c>
      <c r="E1264">
        <v>89</v>
      </c>
      <c r="F1264">
        <v>1</v>
      </c>
      <c r="G1264">
        <f>IF(Gym_Expansion_Data[[#This Row],[Churned]]=0,1,0)</f>
        <v>0</v>
      </c>
      <c r="H1264" t="str">
        <f>IF(Gym_Expansion_Data[[#This Row],[Active Member]]=1,Gym_Expansion_Data[[#This Row],[Tier]],"Inactive")</f>
        <v>Inactive</v>
      </c>
    </row>
    <row r="1265" spans="1:8" x14ac:dyDescent="0.2">
      <c r="A1265">
        <v>2264</v>
      </c>
      <c r="B1265" t="s">
        <v>9</v>
      </c>
      <c r="C1265" t="s">
        <v>8</v>
      </c>
      <c r="D1265" s="1">
        <v>45480</v>
      </c>
      <c r="E1265">
        <v>129</v>
      </c>
      <c r="F1265">
        <v>0</v>
      </c>
      <c r="G1265">
        <f>IF(Gym_Expansion_Data[[#This Row],[Churned]]=0,1,0)</f>
        <v>1</v>
      </c>
      <c r="H1265" t="str">
        <f>IF(Gym_Expansion_Data[[#This Row],[Active Member]]=1,Gym_Expansion_Data[[#This Row],[Tier]],"Inactive")</f>
        <v>Elite</v>
      </c>
    </row>
    <row r="1266" spans="1:8" x14ac:dyDescent="0.2">
      <c r="A1266">
        <v>2265</v>
      </c>
      <c r="B1266" t="s">
        <v>11</v>
      </c>
      <c r="C1266" t="s">
        <v>12</v>
      </c>
      <c r="D1266" s="1">
        <v>45932</v>
      </c>
      <c r="E1266">
        <v>89</v>
      </c>
      <c r="F1266">
        <v>0</v>
      </c>
      <c r="G1266">
        <f>IF(Gym_Expansion_Data[[#This Row],[Churned]]=0,1,0)</f>
        <v>1</v>
      </c>
      <c r="H1266" t="str">
        <f>IF(Gym_Expansion_Data[[#This Row],[Active Member]]=1,Gym_Expansion_Data[[#This Row],[Tier]],"Inactive")</f>
        <v>Premium</v>
      </c>
    </row>
    <row r="1267" spans="1:8" x14ac:dyDescent="0.2">
      <c r="A1267">
        <v>2266</v>
      </c>
      <c r="B1267" t="s">
        <v>11</v>
      </c>
      <c r="C1267" t="s">
        <v>8</v>
      </c>
      <c r="D1267" s="1">
        <v>45861</v>
      </c>
      <c r="E1267">
        <v>129</v>
      </c>
      <c r="F1267">
        <v>0</v>
      </c>
      <c r="G1267">
        <f>IF(Gym_Expansion_Data[[#This Row],[Churned]]=0,1,0)</f>
        <v>1</v>
      </c>
      <c r="H1267" t="str">
        <f>IF(Gym_Expansion_Data[[#This Row],[Active Member]]=1,Gym_Expansion_Data[[#This Row],[Tier]],"Inactive")</f>
        <v>Elite</v>
      </c>
    </row>
    <row r="1268" spans="1:8" x14ac:dyDescent="0.2">
      <c r="A1268">
        <v>2267</v>
      </c>
      <c r="B1268" t="s">
        <v>6</v>
      </c>
      <c r="C1268" t="s">
        <v>12</v>
      </c>
      <c r="D1268" s="1">
        <v>45632</v>
      </c>
      <c r="E1268">
        <v>89</v>
      </c>
      <c r="F1268">
        <v>0</v>
      </c>
      <c r="G1268">
        <f>IF(Gym_Expansion_Data[[#This Row],[Churned]]=0,1,0)</f>
        <v>1</v>
      </c>
      <c r="H1268" t="str">
        <f>IF(Gym_Expansion_Data[[#This Row],[Active Member]]=1,Gym_Expansion_Data[[#This Row],[Tier]],"Inactive")</f>
        <v>Premium</v>
      </c>
    </row>
    <row r="1269" spans="1:8" x14ac:dyDescent="0.2">
      <c r="A1269">
        <v>2268</v>
      </c>
      <c r="B1269" t="s">
        <v>11</v>
      </c>
      <c r="C1269" t="s">
        <v>7</v>
      </c>
      <c r="D1269" s="1">
        <v>45780</v>
      </c>
      <c r="E1269">
        <v>49</v>
      </c>
      <c r="F1269">
        <v>0</v>
      </c>
      <c r="G1269">
        <f>IF(Gym_Expansion_Data[[#This Row],[Churned]]=0,1,0)</f>
        <v>1</v>
      </c>
      <c r="H1269" t="str">
        <f>IF(Gym_Expansion_Data[[#This Row],[Active Member]]=1,Gym_Expansion_Data[[#This Row],[Tier]],"Inactive")</f>
        <v>Basic</v>
      </c>
    </row>
    <row r="1270" spans="1:8" x14ac:dyDescent="0.2">
      <c r="A1270">
        <v>2269</v>
      </c>
      <c r="B1270" t="s">
        <v>6</v>
      </c>
      <c r="C1270" t="s">
        <v>7</v>
      </c>
      <c r="D1270" s="1">
        <v>45718</v>
      </c>
      <c r="E1270">
        <v>49</v>
      </c>
      <c r="F1270">
        <v>0</v>
      </c>
      <c r="G1270">
        <f>IF(Gym_Expansion_Data[[#This Row],[Churned]]=0,1,0)</f>
        <v>1</v>
      </c>
      <c r="H1270" t="str">
        <f>IF(Gym_Expansion_Data[[#This Row],[Active Member]]=1,Gym_Expansion_Data[[#This Row],[Tier]],"Inactive")</f>
        <v>Basic</v>
      </c>
    </row>
    <row r="1271" spans="1:8" x14ac:dyDescent="0.2">
      <c r="A1271">
        <v>2270</v>
      </c>
      <c r="B1271" t="s">
        <v>11</v>
      </c>
      <c r="C1271" t="s">
        <v>12</v>
      </c>
      <c r="D1271" s="1">
        <v>45603</v>
      </c>
      <c r="E1271">
        <v>89</v>
      </c>
      <c r="F1271">
        <v>0</v>
      </c>
      <c r="G1271">
        <f>IF(Gym_Expansion_Data[[#This Row],[Churned]]=0,1,0)</f>
        <v>1</v>
      </c>
      <c r="H1271" t="str">
        <f>IF(Gym_Expansion_Data[[#This Row],[Active Member]]=1,Gym_Expansion_Data[[#This Row],[Tier]],"Inactive")</f>
        <v>Premium</v>
      </c>
    </row>
    <row r="1272" spans="1:8" x14ac:dyDescent="0.2">
      <c r="A1272">
        <v>2271</v>
      </c>
      <c r="B1272" t="s">
        <v>9</v>
      </c>
      <c r="C1272" t="s">
        <v>8</v>
      </c>
      <c r="D1272" s="1">
        <v>45551</v>
      </c>
      <c r="E1272">
        <v>129</v>
      </c>
      <c r="F1272">
        <v>0</v>
      </c>
      <c r="G1272">
        <f>IF(Gym_Expansion_Data[[#This Row],[Churned]]=0,1,0)</f>
        <v>1</v>
      </c>
      <c r="H1272" t="str">
        <f>IF(Gym_Expansion_Data[[#This Row],[Active Member]]=1,Gym_Expansion_Data[[#This Row],[Tier]],"Inactive")</f>
        <v>Elite</v>
      </c>
    </row>
    <row r="1273" spans="1:8" x14ac:dyDescent="0.2">
      <c r="A1273">
        <v>2272</v>
      </c>
      <c r="B1273" t="s">
        <v>10</v>
      </c>
      <c r="C1273" t="s">
        <v>7</v>
      </c>
      <c r="D1273" s="1">
        <v>45314</v>
      </c>
      <c r="E1273">
        <v>49</v>
      </c>
      <c r="F1273">
        <v>0</v>
      </c>
      <c r="G1273">
        <f>IF(Gym_Expansion_Data[[#This Row],[Churned]]=0,1,0)</f>
        <v>1</v>
      </c>
      <c r="H1273" t="str">
        <f>IF(Gym_Expansion_Data[[#This Row],[Active Member]]=1,Gym_Expansion_Data[[#This Row],[Tier]],"Inactive")</f>
        <v>Basic</v>
      </c>
    </row>
    <row r="1274" spans="1:8" x14ac:dyDescent="0.2">
      <c r="A1274">
        <v>2273</v>
      </c>
      <c r="B1274" t="s">
        <v>9</v>
      </c>
      <c r="C1274" t="s">
        <v>7</v>
      </c>
      <c r="D1274" s="1">
        <v>45806</v>
      </c>
      <c r="E1274">
        <v>49</v>
      </c>
      <c r="F1274">
        <v>0</v>
      </c>
      <c r="G1274">
        <f>IF(Gym_Expansion_Data[[#This Row],[Churned]]=0,1,0)</f>
        <v>1</v>
      </c>
      <c r="H1274" t="str">
        <f>IF(Gym_Expansion_Data[[#This Row],[Active Member]]=1,Gym_Expansion_Data[[#This Row],[Tier]],"Inactive")</f>
        <v>Basic</v>
      </c>
    </row>
    <row r="1275" spans="1:8" x14ac:dyDescent="0.2">
      <c r="A1275">
        <v>2274</v>
      </c>
      <c r="B1275" t="s">
        <v>11</v>
      </c>
      <c r="C1275" t="s">
        <v>7</v>
      </c>
      <c r="D1275" s="1">
        <v>45923</v>
      </c>
      <c r="E1275">
        <v>49</v>
      </c>
      <c r="F1275">
        <v>0</v>
      </c>
      <c r="G1275">
        <f>IF(Gym_Expansion_Data[[#This Row],[Churned]]=0,1,0)</f>
        <v>1</v>
      </c>
      <c r="H1275" t="str">
        <f>IF(Gym_Expansion_Data[[#This Row],[Active Member]]=1,Gym_Expansion_Data[[#This Row],[Tier]],"Inactive")</f>
        <v>Basic</v>
      </c>
    </row>
    <row r="1276" spans="1:8" x14ac:dyDescent="0.2">
      <c r="A1276">
        <v>2275</v>
      </c>
      <c r="B1276" t="s">
        <v>10</v>
      </c>
      <c r="C1276" t="s">
        <v>8</v>
      </c>
      <c r="D1276" s="1">
        <v>45990</v>
      </c>
      <c r="E1276">
        <v>129</v>
      </c>
      <c r="F1276">
        <v>0</v>
      </c>
      <c r="G1276">
        <f>IF(Gym_Expansion_Data[[#This Row],[Churned]]=0,1,0)</f>
        <v>1</v>
      </c>
      <c r="H1276" t="str">
        <f>IF(Gym_Expansion_Data[[#This Row],[Active Member]]=1,Gym_Expansion_Data[[#This Row],[Tier]],"Inactive")</f>
        <v>Elite</v>
      </c>
    </row>
    <row r="1277" spans="1:8" x14ac:dyDescent="0.2">
      <c r="A1277">
        <v>2276</v>
      </c>
      <c r="B1277" t="s">
        <v>10</v>
      </c>
      <c r="C1277" t="s">
        <v>7</v>
      </c>
      <c r="D1277" s="1">
        <v>45601</v>
      </c>
      <c r="E1277">
        <v>49</v>
      </c>
      <c r="F1277">
        <v>1</v>
      </c>
      <c r="G1277">
        <f>IF(Gym_Expansion_Data[[#This Row],[Churned]]=0,1,0)</f>
        <v>0</v>
      </c>
      <c r="H1277" t="str">
        <f>IF(Gym_Expansion_Data[[#This Row],[Active Member]]=1,Gym_Expansion_Data[[#This Row],[Tier]],"Inactive")</f>
        <v>Inactive</v>
      </c>
    </row>
    <row r="1278" spans="1:8" x14ac:dyDescent="0.2">
      <c r="A1278">
        <v>2277</v>
      </c>
      <c r="B1278" t="s">
        <v>9</v>
      </c>
      <c r="C1278" t="s">
        <v>12</v>
      </c>
      <c r="D1278" s="1">
        <v>45378</v>
      </c>
      <c r="E1278">
        <v>89</v>
      </c>
      <c r="F1278">
        <v>0</v>
      </c>
      <c r="G1278">
        <f>IF(Gym_Expansion_Data[[#This Row],[Churned]]=0,1,0)</f>
        <v>1</v>
      </c>
      <c r="H1278" t="str">
        <f>IF(Gym_Expansion_Data[[#This Row],[Active Member]]=1,Gym_Expansion_Data[[#This Row],[Tier]],"Inactive")</f>
        <v>Premium</v>
      </c>
    </row>
    <row r="1279" spans="1:8" x14ac:dyDescent="0.2">
      <c r="A1279">
        <v>2278</v>
      </c>
      <c r="B1279" t="s">
        <v>10</v>
      </c>
      <c r="C1279" t="s">
        <v>7</v>
      </c>
      <c r="D1279" s="1">
        <v>45506</v>
      </c>
      <c r="E1279">
        <v>49</v>
      </c>
      <c r="F1279">
        <v>0</v>
      </c>
      <c r="G1279">
        <f>IF(Gym_Expansion_Data[[#This Row],[Churned]]=0,1,0)</f>
        <v>1</v>
      </c>
      <c r="H1279" t="str">
        <f>IF(Gym_Expansion_Data[[#This Row],[Active Member]]=1,Gym_Expansion_Data[[#This Row],[Tier]],"Inactive")</f>
        <v>Basic</v>
      </c>
    </row>
    <row r="1280" spans="1:8" x14ac:dyDescent="0.2">
      <c r="A1280">
        <v>2279</v>
      </c>
      <c r="B1280" t="s">
        <v>9</v>
      </c>
      <c r="C1280" t="s">
        <v>12</v>
      </c>
      <c r="D1280" s="1">
        <v>45378</v>
      </c>
      <c r="E1280">
        <v>89</v>
      </c>
      <c r="F1280">
        <v>0</v>
      </c>
      <c r="G1280">
        <f>IF(Gym_Expansion_Data[[#This Row],[Churned]]=0,1,0)</f>
        <v>1</v>
      </c>
      <c r="H1280" t="str">
        <f>IF(Gym_Expansion_Data[[#This Row],[Active Member]]=1,Gym_Expansion_Data[[#This Row],[Tier]],"Inactive")</f>
        <v>Premium</v>
      </c>
    </row>
    <row r="1281" spans="1:8" x14ac:dyDescent="0.2">
      <c r="A1281">
        <v>2280</v>
      </c>
      <c r="B1281" t="s">
        <v>11</v>
      </c>
      <c r="C1281" t="s">
        <v>7</v>
      </c>
      <c r="D1281" s="1">
        <v>45950</v>
      </c>
      <c r="E1281">
        <v>49</v>
      </c>
      <c r="F1281">
        <v>0</v>
      </c>
      <c r="G1281">
        <f>IF(Gym_Expansion_Data[[#This Row],[Churned]]=0,1,0)</f>
        <v>1</v>
      </c>
      <c r="H1281" t="str">
        <f>IF(Gym_Expansion_Data[[#This Row],[Active Member]]=1,Gym_Expansion_Data[[#This Row],[Tier]],"Inactive")</f>
        <v>Basic</v>
      </c>
    </row>
    <row r="1282" spans="1:8" x14ac:dyDescent="0.2">
      <c r="A1282">
        <v>2281</v>
      </c>
      <c r="B1282" t="s">
        <v>10</v>
      </c>
      <c r="C1282" t="s">
        <v>7</v>
      </c>
      <c r="D1282" s="1">
        <v>45596</v>
      </c>
      <c r="E1282">
        <v>49</v>
      </c>
      <c r="F1282">
        <v>0</v>
      </c>
      <c r="G1282">
        <f>IF(Gym_Expansion_Data[[#This Row],[Churned]]=0,1,0)</f>
        <v>1</v>
      </c>
      <c r="H1282" t="str">
        <f>IF(Gym_Expansion_Data[[#This Row],[Active Member]]=1,Gym_Expansion_Data[[#This Row],[Tier]],"Inactive")</f>
        <v>Basic</v>
      </c>
    </row>
    <row r="1283" spans="1:8" x14ac:dyDescent="0.2">
      <c r="A1283">
        <v>2282</v>
      </c>
      <c r="B1283" t="s">
        <v>11</v>
      </c>
      <c r="C1283" t="s">
        <v>12</v>
      </c>
      <c r="D1283" s="1">
        <v>45742</v>
      </c>
      <c r="E1283">
        <v>89</v>
      </c>
      <c r="F1283">
        <v>0</v>
      </c>
      <c r="G1283">
        <f>IF(Gym_Expansion_Data[[#This Row],[Churned]]=0,1,0)</f>
        <v>1</v>
      </c>
      <c r="H1283" t="str">
        <f>IF(Gym_Expansion_Data[[#This Row],[Active Member]]=1,Gym_Expansion_Data[[#This Row],[Tier]],"Inactive")</f>
        <v>Premium</v>
      </c>
    </row>
    <row r="1284" spans="1:8" x14ac:dyDescent="0.2">
      <c r="A1284">
        <v>2283</v>
      </c>
      <c r="B1284" t="s">
        <v>9</v>
      </c>
      <c r="C1284" t="s">
        <v>7</v>
      </c>
      <c r="D1284" s="1">
        <v>45988</v>
      </c>
      <c r="E1284">
        <v>49</v>
      </c>
      <c r="F1284">
        <v>0</v>
      </c>
      <c r="G1284">
        <f>IF(Gym_Expansion_Data[[#This Row],[Churned]]=0,1,0)</f>
        <v>1</v>
      </c>
      <c r="H1284" t="str">
        <f>IF(Gym_Expansion_Data[[#This Row],[Active Member]]=1,Gym_Expansion_Data[[#This Row],[Tier]],"Inactive")</f>
        <v>Basic</v>
      </c>
    </row>
    <row r="1285" spans="1:8" x14ac:dyDescent="0.2">
      <c r="A1285">
        <v>2284</v>
      </c>
      <c r="B1285" t="s">
        <v>9</v>
      </c>
      <c r="C1285" t="s">
        <v>7</v>
      </c>
      <c r="D1285" s="1">
        <v>45724</v>
      </c>
      <c r="E1285">
        <v>49</v>
      </c>
      <c r="F1285">
        <v>1</v>
      </c>
      <c r="G1285">
        <f>IF(Gym_Expansion_Data[[#This Row],[Churned]]=0,1,0)</f>
        <v>0</v>
      </c>
      <c r="H1285" t="str">
        <f>IF(Gym_Expansion_Data[[#This Row],[Active Member]]=1,Gym_Expansion_Data[[#This Row],[Tier]],"Inactive")</f>
        <v>Inactive</v>
      </c>
    </row>
    <row r="1286" spans="1:8" x14ac:dyDescent="0.2">
      <c r="A1286">
        <v>2285</v>
      </c>
      <c r="B1286" t="s">
        <v>9</v>
      </c>
      <c r="C1286" t="s">
        <v>8</v>
      </c>
      <c r="D1286" s="1">
        <v>45949</v>
      </c>
      <c r="E1286">
        <v>129</v>
      </c>
      <c r="F1286">
        <v>0</v>
      </c>
      <c r="G1286">
        <f>IF(Gym_Expansion_Data[[#This Row],[Churned]]=0,1,0)</f>
        <v>1</v>
      </c>
      <c r="H1286" t="str">
        <f>IF(Gym_Expansion_Data[[#This Row],[Active Member]]=1,Gym_Expansion_Data[[#This Row],[Tier]],"Inactive")</f>
        <v>Elite</v>
      </c>
    </row>
    <row r="1287" spans="1:8" x14ac:dyDescent="0.2">
      <c r="A1287">
        <v>2286</v>
      </c>
      <c r="B1287" t="s">
        <v>10</v>
      </c>
      <c r="C1287" t="s">
        <v>8</v>
      </c>
      <c r="D1287" s="1">
        <v>45500</v>
      </c>
      <c r="E1287">
        <v>129</v>
      </c>
      <c r="F1287">
        <v>0</v>
      </c>
      <c r="G1287">
        <f>IF(Gym_Expansion_Data[[#This Row],[Churned]]=0,1,0)</f>
        <v>1</v>
      </c>
      <c r="H1287" t="str">
        <f>IF(Gym_Expansion_Data[[#This Row],[Active Member]]=1,Gym_Expansion_Data[[#This Row],[Tier]],"Inactive")</f>
        <v>Elite</v>
      </c>
    </row>
    <row r="1288" spans="1:8" x14ac:dyDescent="0.2">
      <c r="A1288">
        <v>2287</v>
      </c>
      <c r="B1288" t="s">
        <v>10</v>
      </c>
      <c r="C1288" t="s">
        <v>7</v>
      </c>
      <c r="D1288" s="1">
        <v>45940</v>
      </c>
      <c r="E1288">
        <v>49</v>
      </c>
      <c r="F1288">
        <v>0</v>
      </c>
      <c r="G1288">
        <f>IF(Gym_Expansion_Data[[#This Row],[Churned]]=0,1,0)</f>
        <v>1</v>
      </c>
      <c r="H1288" t="str">
        <f>IF(Gym_Expansion_Data[[#This Row],[Active Member]]=1,Gym_Expansion_Data[[#This Row],[Tier]],"Inactive")</f>
        <v>Basic</v>
      </c>
    </row>
    <row r="1289" spans="1:8" x14ac:dyDescent="0.2">
      <c r="A1289">
        <v>2288</v>
      </c>
      <c r="B1289" t="s">
        <v>10</v>
      </c>
      <c r="C1289" t="s">
        <v>7</v>
      </c>
      <c r="D1289" s="1">
        <v>45446</v>
      </c>
      <c r="E1289">
        <v>49</v>
      </c>
      <c r="F1289">
        <v>0</v>
      </c>
      <c r="G1289">
        <f>IF(Gym_Expansion_Data[[#This Row],[Churned]]=0,1,0)</f>
        <v>1</v>
      </c>
      <c r="H1289" t="str">
        <f>IF(Gym_Expansion_Data[[#This Row],[Active Member]]=1,Gym_Expansion_Data[[#This Row],[Tier]],"Inactive")</f>
        <v>Basic</v>
      </c>
    </row>
    <row r="1290" spans="1:8" x14ac:dyDescent="0.2">
      <c r="A1290">
        <v>2289</v>
      </c>
      <c r="B1290" t="s">
        <v>9</v>
      </c>
      <c r="C1290" t="s">
        <v>7</v>
      </c>
      <c r="D1290" s="1">
        <v>45883</v>
      </c>
      <c r="E1290">
        <v>49</v>
      </c>
      <c r="F1290">
        <v>1</v>
      </c>
      <c r="G1290">
        <f>IF(Gym_Expansion_Data[[#This Row],[Churned]]=0,1,0)</f>
        <v>0</v>
      </c>
      <c r="H1290" t="str">
        <f>IF(Gym_Expansion_Data[[#This Row],[Active Member]]=1,Gym_Expansion_Data[[#This Row],[Tier]],"Inactive")</f>
        <v>Inactive</v>
      </c>
    </row>
    <row r="1291" spans="1:8" x14ac:dyDescent="0.2">
      <c r="A1291">
        <v>2290</v>
      </c>
      <c r="B1291" t="s">
        <v>11</v>
      </c>
      <c r="C1291" t="s">
        <v>7</v>
      </c>
      <c r="D1291" s="1">
        <v>45569</v>
      </c>
      <c r="E1291">
        <v>49</v>
      </c>
      <c r="F1291">
        <v>0</v>
      </c>
      <c r="G1291">
        <f>IF(Gym_Expansion_Data[[#This Row],[Churned]]=0,1,0)</f>
        <v>1</v>
      </c>
      <c r="H1291" t="str">
        <f>IF(Gym_Expansion_Data[[#This Row],[Active Member]]=1,Gym_Expansion_Data[[#This Row],[Tier]],"Inactive")</f>
        <v>Basic</v>
      </c>
    </row>
    <row r="1292" spans="1:8" x14ac:dyDescent="0.2">
      <c r="A1292">
        <v>2291</v>
      </c>
      <c r="B1292" t="s">
        <v>9</v>
      </c>
      <c r="C1292" t="s">
        <v>7</v>
      </c>
      <c r="D1292" s="1">
        <v>45549</v>
      </c>
      <c r="E1292">
        <v>49</v>
      </c>
      <c r="F1292">
        <v>1</v>
      </c>
      <c r="G1292">
        <f>IF(Gym_Expansion_Data[[#This Row],[Churned]]=0,1,0)</f>
        <v>0</v>
      </c>
      <c r="H1292" t="str">
        <f>IF(Gym_Expansion_Data[[#This Row],[Active Member]]=1,Gym_Expansion_Data[[#This Row],[Tier]],"Inactive")</f>
        <v>Inactive</v>
      </c>
    </row>
    <row r="1293" spans="1:8" x14ac:dyDescent="0.2">
      <c r="A1293">
        <v>2292</v>
      </c>
      <c r="B1293" t="s">
        <v>9</v>
      </c>
      <c r="C1293" t="s">
        <v>12</v>
      </c>
      <c r="D1293" s="1">
        <v>45732</v>
      </c>
      <c r="E1293">
        <v>89</v>
      </c>
      <c r="F1293">
        <v>0</v>
      </c>
      <c r="G1293">
        <f>IF(Gym_Expansion_Data[[#This Row],[Churned]]=0,1,0)</f>
        <v>1</v>
      </c>
      <c r="H1293" t="str">
        <f>IF(Gym_Expansion_Data[[#This Row],[Active Member]]=1,Gym_Expansion_Data[[#This Row],[Tier]],"Inactive")</f>
        <v>Premium</v>
      </c>
    </row>
    <row r="1294" spans="1:8" x14ac:dyDescent="0.2">
      <c r="A1294">
        <v>2293</v>
      </c>
      <c r="B1294" t="s">
        <v>9</v>
      </c>
      <c r="C1294" t="s">
        <v>7</v>
      </c>
      <c r="D1294" s="1">
        <v>45789</v>
      </c>
      <c r="E1294">
        <v>49</v>
      </c>
      <c r="F1294">
        <v>0</v>
      </c>
      <c r="G1294">
        <f>IF(Gym_Expansion_Data[[#This Row],[Churned]]=0,1,0)</f>
        <v>1</v>
      </c>
      <c r="H1294" t="str">
        <f>IF(Gym_Expansion_Data[[#This Row],[Active Member]]=1,Gym_Expansion_Data[[#This Row],[Tier]],"Inactive")</f>
        <v>Basic</v>
      </c>
    </row>
    <row r="1295" spans="1:8" x14ac:dyDescent="0.2">
      <c r="A1295">
        <v>2294</v>
      </c>
      <c r="B1295" t="s">
        <v>10</v>
      </c>
      <c r="C1295" t="s">
        <v>12</v>
      </c>
      <c r="D1295" s="1">
        <v>45943</v>
      </c>
      <c r="E1295">
        <v>89</v>
      </c>
      <c r="F1295">
        <v>1</v>
      </c>
      <c r="G1295">
        <f>IF(Gym_Expansion_Data[[#This Row],[Churned]]=0,1,0)</f>
        <v>0</v>
      </c>
      <c r="H1295" t="str">
        <f>IF(Gym_Expansion_Data[[#This Row],[Active Member]]=1,Gym_Expansion_Data[[#This Row],[Tier]],"Inactive")</f>
        <v>Inactive</v>
      </c>
    </row>
    <row r="1296" spans="1:8" x14ac:dyDescent="0.2">
      <c r="A1296">
        <v>2295</v>
      </c>
      <c r="B1296" t="s">
        <v>10</v>
      </c>
      <c r="C1296" t="s">
        <v>7</v>
      </c>
      <c r="D1296" s="1">
        <v>45502</v>
      </c>
      <c r="E1296">
        <v>49</v>
      </c>
      <c r="F1296">
        <v>0</v>
      </c>
      <c r="G1296">
        <f>IF(Gym_Expansion_Data[[#This Row],[Churned]]=0,1,0)</f>
        <v>1</v>
      </c>
      <c r="H1296" t="str">
        <f>IF(Gym_Expansion_Data[[#This Row],[Active Member]]=1,Gym_Expansion_Data[[#This Row],[Tier]],"Inactive")</f>
        <v>Basic</v>
      </c>
    </row>
    <row r="1297" spans="1:8" x14ac:dyDescent="0.2">
      <c r="A1297">
        <v>2296</v>
      </c>
      <c r="B1297" t="s">
        <v>9</v>
      </c>
      <c r="C1297" t="s">
        <v>7</v>
      </c>
      <c r="D1297" s="1">
        <v>45932</v>
      </c>
      <c r="E1297">
        <v>49</v>
      </c>
      <c r="F1297">
        <v>0</v>
      </c>
      <c r="G1297">
        <f>IF(Gym_Expansion_Data[[#This Row],[Churned]]=0,1,0)</f>
        <v>1</v>
      </c>
      <c r="H1297" t="str">
        <f>IF(Gym_Expansion_Data[[#This Row],[Active Member]]=1,Gym_Expansion_Data[[#This Row],[Tier]],"Inactive")</f>
        <v>Basic</v>
      </c>
    </row>
    <row r="1298" spans="1:8" x14ac:dyDescent="0.2">
      <c r="A1298">
        <v>2297</v>
      </c>
      <c r="B1298" t="s">
        <v>11</v>
      </c>
      <c r="C1298" t="s">
        <v>7</v>
      </c>
      <c r="D1298" s="1">
        <v>45755</v>
      </c>
      <c r="E1298">
        <v>49</v>
      </c>
      <c r="F1298">
        <v>0</v>
      </c>
      <c r="G1298">
        <f>IF(Gym_Expansion_Data[[#This Row],[Churned]]=0,1,0)</f>
        <v>1</v>
      </c>
      <c r="H1298" t="str">
        <f>IF(Gym_Expansion_Data[[#This Row],[Active Member]]=1,Gym_Expansion_Data[[#This Row],[Tier]],"Inactive")</f>
        <v>Basic</v>
      </c>
    </row>
    <row r="1299" spans="1:8" x14ac:dyDescent="0.2">
      <c r="A1299">
        <v>2298</v>
      </c>
      <c r="B1299" t="s">
        <v>11</v>
      </c>
      <c r="C1299" t="s">
        <v>7</v>
      </c>
      <c r="D1299" s="1">
        <v>45871</v>
      </c>
      <c r="E1299">
        <v>49</v>
      </c>
      <c r="F1299">
        <v>0</v>
      </c>
      <c r="G1299">
        <f>IF(Gym_Expansion_Data[[#This Row],[Churned]]=0,1,0)</f>
        <v>1</v>
      </c>
      <c r="H1299" t="str">
        <f>IF(Gym_Expansion_Data[[#This Row],[Active Member]]=1,Gym_Expansion_Data[[#This Row],[Tier]],"Inactive")</f>
        <v>Basic</v>
      </c>
    </row>
    <row r="1300" spans="1:8" x14ac:dyDescent="0.2">
      <c r="A1300">
        <v>2299</v>
      </c>
      <c r="B1300" t="s">
        <v>10</v>
      </c>
      <c r="C1300" t="s">
        <v>8</v>
      </c>
      <c r="D1300" s="1">
        <v>45781</v>
      </c>
      <c r="E1300">
        <v>129</v>
      </c>
      <c r="F1300">
        <v>0</v>
      </c>
      <c r="G1300">
        <f>IF(Gym_Expansion_Data[[#This Row],[Churned]]=0,1,0)</f>
        <v>1</v>
      </c>
      <c r="H1300" t="str">
        <f>IF(Gym_Expansion_Data[[#This Row],[Active Member]]=1,Gym_Expansion_Data[[#This Row],[Tier]],"Inactive")</f>
        <v>Elite</v>
      </c>
    </row>
    <row r="1301" spans="1:8" x14ac:dyDescent="0.2">
      <c r="A1301">
        <v>2300</v>
      </c>
      <c r="B1301" t="s">
        <v>11</v>
      </c>
      <c r="C1301" t="s">
        <v>7</v>
      </c>
      <c r="D1301" s="1">
        <v>45535</v>
      </c>
      <c r="E1301">
        <v>49</v>
      </c>
      <c r="F1301">
        <v>0</v>
      </c>
      <c r="G1301">
        <f>IF(Gym_Expansion_Data[[#This Row],[Churned]]=0,1,0)</f>
        <v>1</v>
      </c>
      <c r="H1301" t="str">
        <f>IF(Gym_Expansion_Data[[#This Row],[Active Member]]=1,Gym_Expansion_Data[[#This Row],[Tier]],"Inactive")</f>
        <v>Basic</v>
      </c>
    </row>
    <row r="1302" spans="1:8" x14ac:dyDescent="0.2">
      <c r="A1302">
        <v>2301</v>
      </c>
      <c r="B1302" t="s">
        <v>6</v>
      </c>
      <c r="C1302" t="s">
        <v>12</v>
      </c>
      <c r="D1302" s="1">
        <v>45372</v>
      </c>
      <c r="E1302">
        <v>89</v>
      </c>
      <c r="F1302">
        <v>0</v>
      </c>
      <c r="G1302">
        <f>IF(Gym_Expansion_Data[[#This Row],[Churned]]=0,1,0)</f>
        <v>1</v>
      </c>
      <c r="H1302" t="str">
        <f>IF(Gym_Expansion_Data[[#This Row],[Active Member]]=1,Gym_Expansion_Data[[#This Row],[Tier]],"Inactive")</f>
        <v>Premium</v>
      </c>
    </row>
    <row r="1303" spans="1:8" x14ac:dyDescent="0.2">
      <c r="A1303">
        <v>2302</v>
      </c>
      <c r="B1303" t="s">
        <v>6</v>
      </c>
      <c r="C1303" t="s">
        <v>7</v>
      </c>
      <c r="D1303" s="1">
        <v>45799</v>
      </c>
      <c r="E1303">
        <v>49</v>
      </c>
      <c r="F1303">
        <v>0</v>
      </c>
      <c r="G1303">
        <f>IF(Gym_Expansion_Data[[#This Row],[Churned]]=0,1,0)</f>
        <v>1</v>
      </c>
      <c r="H1303" t="str">
        <f>IF(Gym_Expansion_Data[[#This Row],[Active Member]]=1,Gym_Expansion_Data[[#This Row],[Tier]],"Inactive")</f>
        <v>Basic</v>
      </c>
    </row>
    <row r="1304" spans="1:8" x14ac:dyDescent="0.2">
      <c r="A1304">
        <v>2303</v>
      </c>
      <c r="B1304" t="s">
        <v>11</v>
      </c>
      <c r="C1304" t="s">
        <v>8</v>
      </c>
      <c r="D1304" s="1">
        <v>45769</v>
      </c>
      <c r="E1304">
        <v>129</v>
      </c>
      <c r="F1304">
        <v>0</v>
      </c>
      <c r="G1304">
        <f>IF(Gym_Expansion_Data[[#This Row],[Churned]]=0,1,0)</f>
        <v>1</v>
      </c>
      <c r="H1304" t="str">
        <f>IF(Gym_Expansion_Data[[#This Row],[Active Member]]=1,Gym_Expansion_Data[[#This Row],[Tier]],"Inactive")</f>
        <v>Elite</v>
      </c>
    </row>
    <row r="1305" spans="1:8" x14ac:dyDescent="0.2">
      <c r="A1305">
        <v>2304</v>
      </c>
      <c r="B1305" t="s">
        <v>9</v>
      </c>
      <c r="C1305" t="s">
        <v>12</v>
      </c>
      <c r="D1305" s="1">
        <v>45478</v>
      </c>
      <c r="E1305">
        <v>89</v>
      </c>
      <c r="F1305">
        <v>0</v>
      </c>
      <c r="G1305">
        <f>IF(Gym_Expansion_Data[[#This Row],[Churned]]=0,1,0)</f>
        <v>1</v>
      </c>
      <c r="H1305" t="str">
        <f>IF(Gym_Expansion_Data[[#This Row],[Active Member]]=1,Gym_Expansion_Data[[#This Row],[Tier]],"Inactive")</f>
        <v>Premium</v>
      </c>
    </row>
    <row r="1306" spans="1:8" x14ac:dyDescent="0.2">
      <c r="A1306">
        <v>2305</v>
      </c>
      <c r="B1306" t="s">
        <v>9</v>
      </c>
      <c r="C1306" t="s">
        <v>8</v>
      </c>
      <c r="D1306" s="1">
        <v>45446</v>
      </c>
      <c r="E1306">
        <v>129</v>
      </c>
      <c r="F1306">
        <v>0</v>
      </c>
      <c r="G1306">
        <f>IF(Gym_Expansion_Data[[#This Row],[Churned]]=0,1,0)</f>
        <v>1</v>
      </c>
      <c r="H1306" t="str">
        <f>IF(Gym_Expansion_Data[[#This Row],[Active Member]]=1,Gym_Expansion_Data[[#This Row],[Tier]],"Inactive")</f>
        <v>Elite</v>
      </c>
    </row>
    <row r="1307" spans="1:8" x14ac:dyDescent="0.2">
      <c r="A1307">
        <v>2306</v>
      </c>
      <c r="B1307" t="s">
        <v>6</v>
      </c>
      <c r="C1307" t="s">
        <v>7</v>
      </c>
      <c r="D1307" s="1">
        <v>45517</v>
      </c>
      <c r="E1307">
        <v>49</v>
      </c>
      <c r="F1307">
        <v>0</v>
      </c>
      <c r="G1307">
        <f>IF(Gym_Expansion_Data[[#This Row],[Churned]]=0,1,0)</f>
        <v>1</v>
      </c>
      <c r="H1307" t="str">
        <f>IF(Gym_Expansion_Data[[#This Row],[Active Member]]=1,Gym_Expansion_Data[[#This Row],[Tier]],"Inactive")</f>
        <v>Basic</v>
      </c>
    </row>
    <row r="1308" spans="1:8" x14ac:dyDescent="0.2">
      <c r="A1308">
        <v>2307</v>
      </c>
      <c r="B1308" t="s">
        <v>10</v>
      </c>
      <c r="C1308" t="s">
        <v>8</v>
      </c>
      <c r="D1308" s="1">
        <v>45797</v>
      </c>
      <c r="E1308">
        <v>129</v>
      </c>
      <c r="F1308">
        <v>1</v>
      </c>
      <c r="G1308">
        <f>IF(Gym_Expansion_Data[[#This Row],[Churned]]=0,1,0)</f>
        <v>0</v>
      </c>
      <c r="H1308" t="str">
        <f>IF(Gym_Expansion_Data[[#This Row],[Active Member]]=1,Gym_Expansion_Data[[#This Row],[Tier]],"Inactive")</f>
        <v>Inactive</v>
      </c>
    </row>
    <row r="1309" spans="1:8" x14ac:dyDescent="0.2">
      <c r="A1309">
        <v>2308</v>
      </c>
      <c r="B1309" t="s">
        <v>6</v>
      </c>
      <c r="C1309" t="s">
        <v>8</v>
      </c>
      <c r="D1309" s="1">
        <v>45841</v>
      </c>
      <c r="E1309">
        <v>129</v>
      </c>
      <c r="F1309">
        <v>0</v>
      </c>
      <c r="G1309">
        <f>IF(Gym_Expansion_Data[[#This Row],[Churned]]=0,1,0)</f>
        <v>1</v>
      </c>
      <c r="H1309" t="str">
        <f>IF(Gym_Expansion_Data[[#This Row],[Active Member]]=1,Gym_Expansion_Data[[#This Row],[Tier]],"Inactive")</f>
        <v>Elite</v>
      </c>
    </row>
    <row r="1310" spans="1:8" x14ac:dyDescent="0.2">
      <c r="A1310">
        <v>2309</v>
      </c>
      <c r="B1310" t="s">
        <v>6</v>
      </c>
      <c r="C1310" t="s">
        <v>7</v>
      </c>
      <c r="D1310" s="1">
        <v>45550</v>
      </c>
      <c r="E1310">
        <v>49</v>
      </c>
      <c r="F1310">
        <v>0</v>
      </c>
      <c r="G1310">
        <f>IF(Gym_Expansion_Data[[#This Row],[Churned]]=0,1,0)</f>
        <v>1</v>
      </c>
      <c r="H1310" t="str">
        <f>IF(Gym_Expansion_Data[[#This Row],[Active Member]]=1,Gym_Expansion_Data[[#This Row],[Tier]],"Inactive")</f>
        <v>Basic</v>
      </c>
    </row>
    <row r="1311" spans="1:8" x14ac:dyDescent="0.2">
      <c r="A1311">
        <v>2310</v>
      </c>
      <c r="B1311" t="s">
        <v>11</v>
      </c>
      <c r="C1311" t="s">
        <v>7</v>
      </c>
      <c r="D1311" s="1">
        <v>45958</v>
      </c>
      <c r="E1311">
        <v>49</v>
      </c>
      <c r="F1311">
        <v>0</v>
      </c>
      <c r="G1311">
        <f>IF(Gym_Expansion_Data[[#This Row],[Churned]]=0,1,0)</f>
        <v>1</v>
      </c>
      <c r="H1311" t="str">
        <f>IF(Gym_Expansion_Data[[#This Row],[Active Member]]=1,Gym_Expansion_Data[[#This Row],[Tier]],"Inactive")</f>
        <v>Basic</v>
      </c>
    </row>
    <row r="1312" spans="1:8" x14ac:dyDescent="0.2">
      <c r="A1312">
        <v>2311</v>
      </c>
      <c r="B1312" t="s">
        <v>9</v>
      </c>
      <c r="C1312" t="s">
        <v>12</v>
      </c>
      <c r="D1312" s="1">
        <v>45329</v>
      </c>
      <c r="E1312">
        <v>89</v>
      </c>
      <c r="F1312">
        <v>0</v>
      </c>
      <c r="G1312">
        <f>IF(Gym_Expansion_Data[[#This Row],[Churned]]=0,1,0)</f>
        <v>1</v>
      </c>
      <c r="H1312" t="str">
        <f>IF(Gym_Expansion_Data[[#This Row],[Active Member]]=1,Gym_Expansion_Data[[#This Row],[Tier]],"Inactive")</f>
        <v>Premium</v>
      </c>
    </row>
    <row r="1313" spans="1:8" x14ac:dyDescent="0.2">
      <c r="A1313">
        <v>2312</v>
      </c>
      <c r="B1313" t="s">
        <v>10</v>
      </c>
      <c r="C1313" t="s">
        <v>7</v>
      </c>
      <c r="D1313" s="1">
        <v>45927</v>
      </c>
      <c r="E1313">
        <v>49</v>
      </c>
      <c r="F1313">
        <v>0</v>
      </c>
      <c r="G1313">
        <f>IF(Gym_Expansion_Data[[#This Row],[Churned]]=0,1,0)</f>
        <v>1</v>
      </c>
      <c r="H1313" t="str">
        <f>IF(Gym_Expansion_Data[[#This Row],[Active Member]]=1,Gym_Expansion_Data[[#This Row],[Tier]],"Inactive")</f>
        <v>Basic</v>
      </c>
    </row>
    <row r="1314" spans="1:8" x14ac:dyDescent="0.2">
      <c r="A1314">
        <v>2313</v>
      </c>
      <c r="B1314" t="s">
        <v>9</v>
      </c>
      <c r="C1314" t="s">
        <v>7</v>
      </c>
      <c r="D1314" s="1">
        <v>45916</v>
      </c>
      <c r="E1314">
        <v>49</v>
      </c>
      <c r="F1314">
        <v>1</v>
      </c>
      <c r="G1314">
        <f>IF(Gym_Expansion_Data[[#This Row],[Churned]]=0,1,0)</f>
        <v>0</v>
      </c>
      <c r="H1314" t="str">
        <f>IF(Gym_Expansion_Data[[#This Row],[Active Member]]=1,Gym_Expansion_Data[[#This Row],[Tier]],"Inactive")</f>
        <v>Inactive</v>
      </c>
    </row>
    <row r="1315" spans="1:8" x14ac:dyDescent="0.2">
      <c r="A1315">
        <v>2314</v>
      </c>
      <c r="B1315" t="s">
        <v>9</v>
      </c>
      <c r="C1315" t="s">
        <v>7</v>
      </c>
      <c r="D1315" s="1">
        <v>45734</v>
      </c>
      <c r="E1315">
        <v>49</v>
      </c>
      <c r="F1315">
        <v>0</v>
      </c>
      <c r="G1315">
        <f>IF(Gym_Expansion_Data[[#This Row],[Churned]]=0,1,0)</f>
        <v>1</v>
      </c>
      <c r="H1315" t="str">
        <f>IF(Gym_Expansion_Data[[#This Row],[Active Member]]=1,Gym_Expansion_Data[[#This Row],[Tier]],"Inactive")</f>
        <v>Basic</v>
      </c>
    </row>
    <row r="1316" spans="1:8" x14ac:dyDescent="0.2">
      <c r="A1316">
        <v>2315</v>
      </c>
      <c r="B1316" t="s">
        <v>11</v>
      </c>
      <c r="C1316" t="s">
        <v>7</v>
      </c>
      <c r="D1316" s="1">
        <v>45856</v>
      </c>
      <c r="E1316">
        <v>49</v>
      </c>
      <c r="F1316">
        <v>0</v>
      </c>
      <c r="G1316">
        <f>IF(Gym_Expansion_Data[[#This Row],[Churned]]=0,1,0)</f>
        <v>1</v>
      </c>
      <c r="H1316" t="str">
        <f>IF(Gym_Expansion_Data[[#This Row],[Active Member]]=1,Gym_Expansion_Data[[#This Row],[Tier]],"Inactive")</f>
        <v>Basic</v>
      </c>
    </row>
    <row r="1317" spans="1:8" x14ac:dyDescent="0.2">
      <c r="A1317">
        <v>2316</v>
      </c>
      <c r="B1317" t="s">
        <v>9</v>
      </c>
      <c r="C1317" t="s">
        <v>7</v>
      </c>
      <c r="D1317" s="1">
        <v>45615</v>
      </c>
      <c r="E1317">
        <v>49</v>
      </c>
      <c r="F1317">
        <v>0</v>
      </c>
      <c r="G1317">
        <f>IF(Gym_Expansion_Data[[#This Row],[Churned]]=0,1,0)</f>
        <v>1</v>
      </c>
      <c r="H1317" t="str">
        <f>IF(Gym_Expansion_Data[[#This Row],[Active Member]]=1,Gym_Expansion_Data[[#This Row],[Tier]],"Inactive")</f>
        <v>Basic</v>
      </c>
    </row>
    <row r="1318" spans="1:8" x14ac:dyDescent="0.2">
      <c r="A1318">
        <v>2317</v>
      </c>
      <c r="B1318" t="s">
        <v>9</v>
      </c>
      <c r="C1318" t="s">
        <v>7</v>
      </c>
      <c r="D1318" s="1">
        <v>45791</v>
      </c>
      <c r="E1318">
        <v>49</v>
      </c>
      <c r="F1318">
        <v>0</v>
      </c>
      <c r="G1318">
        <f>IF(Gym_Expansion_Data[[#This Row],[Churned]]=0,1,0)</f>
        <v>1</v>
      </c>
      <c r="H1318" t="str">
        <f>IF(Gym_Expansion_Data[[#This Row],[Active Member]]=1,Gym_Expansion_Data[[#This Row],[Tier]],"Inactive")</f>
        <v>Basic</v>
      </c>
    </row>
    <row r="1319" spans="1:8" x14ac:dyDescent="0.2">
      <c r="A1319">
        <v>2318</v>
      </c>
      <c r="B1319" t="s">
        <v>11</v>
      </c>
      <c r="C1319" t="s">
        <v>8</v>
      </c>
      <c r="D1319" s="1">
        <v>45740</v>
      </c>
      <c r="E1319">
        <v>129</v>
      </c>
      <c r="F1319">
        <v>0</v>
      </c>
      <c r="G1319">
        <f>IF(Gym_Expansion_Data[[#This Row],[Churned]]=0,1,0)</f>
        <v>1</v>
      </c>
      <c r="H1319" t="str">
        <f>IF(Gym_Expansion_Data[[#This Row],[Active Member]]=1,Gym_Expansion_Data[[#This Row],[Tier]],"Inactive")</f>
        <v>Elite</v>
      </c>
    </row>
    <row r="1320" spans="1:8" x14ac:dyDescent="0.2">
      <c r="A1320">
        <v>2319</v>
      </c>
      <c r="B1320" t="s">
        <v>10</v>
      </c>
      <c r="C1320" t="s">
        <v>12</v>
      </c>
      <c r="D1320" s="1">
        <v>45889</v>
      </c>
      <c r="E1320">
        <v>89</v>
      </c>
      <c r="F1320">
        <v>0</v>
      </c>
      <c r="G1320">
        <f>IF(Gym_Expansion_Data[[#This Row],[Churned]]=0,1,0)</f>
        <v>1</v>
      </c>
      <c r="H1320" t="str">
        <f>IF(Gym_Expansion_Data[[#This Row],[Active Member]]=1,Gym_Expansion_Data[[#This Row],[Tier]],"Inactive")</f>
        <v>Premium</v>
      </c>
    </row>
    <row r="1321" spans="1:8" x14ac:dyDescent="0.2">
      <c r="A1321">
        <v>2320</v>
      </c>
      <c r="B1321" t="s">
        <v>11</v>
      </c>
      <c r="C1321" t="s">
        <v>7</v>
      </c>
      <c r="D1321" s="1">
        <v>45462</v>
      </c>
      <c r="E1321">
        <v>49</v>
      </c>
      <c r="F1321">
        <v>0</v>
      </c>
      <c r="G1321">
        <f>IF(Gym_Expansion_Data[[#This Row],[Churned]]=0,1,0)</f>
        <v>1</v>
      </c>
      <c r="H1321" t="str">
        <f>IF(Gym_Expansion_Data[[#This Row],[Active Member]]=1,Gym_Expansion_Data[[#This Row],[Tier]],"Inactive")</f>
        <v>Basic</v>
      </c>
    </row>
    <row r="1322" spans="1:8" x14ac:dyDescent="0.2">
      <c r="A1322">
        <v>2321</v>
      </c>
      <c r="B1322" t="s">
        <v>9</v>
      </c>
      <c r="C1322" t="s">
        <v>12</v>
      </c>
      <c r="D1322" s="1">
        <v>45383</v>
      </c>
      <c r="E1322">
        <v>89</v>
      </c>
      <c r="F1322">
        <v>0</v>
      </c>
      <c r="G1322">
        <f>IF(Gym_Expansion_Data[[#This Row],[Churned]]=0,1,0)</f>
        <v>1</v>
      </c>
      <c r="H1322" t="str">
        <f>IF(Gym_Expansion_Data[[#This Row],[Active Member]]=1,Gym_Expansion_Data[[#This Row],[Tier]],"Inactive")</f>
        <v>Premium</v>
      </c>
    </row>
    <row r="1323" spans="1:8" x14ac:dyDescent="0.2">
      <c r="A1323">
        <v>2322</v>
      </c>
      <c r="B1323" t="s">
        <v>11</v>
      </c>
      <c r="C1323" t="s">
        <v>8</v>
      </c>
      <c r="D1323" s="1">
        <v>45334</v>
      </c>
      <c r="E1323">
        <v>129</v>
      </c>
      <c r="F1323">
        <v>0</v>
      </c>
      <c r="G1323">
        <f>IF(Gym_Expansion_Data[[#This Row],[Churned]]=0,1,0)</f>
        <v>1</v>
      </c>
      <c r="H1323" t="str">
        <f>IF(Gym_Expansion_Data[[#This Row],[Active Member]]=1,Gym_Expansion_Data[[#This Row],[Tier]],"Inactive")</f>
        <v>Elite</v>
      </c>
    </row>
    <row r="1324" spans="1:8" x14ac:dyDescent="0.2">
      <c r="A1324">
        <v>2323</v>
      </c>
      <c r="B1324" t="s">
        <v>6</v>
      </c>
      <c r="C1324" t="s">
        <v>7</v>
      </c>
      <c r="D1324" s="1">
        <v>45728</v>
      </c>
      <c r="E1324">
        <v>49</v>
      </c>
      <c r="F1324">
        <v>0</v>
      </c>
      <c r="G1324">
        <f>IF(Gym_Expansion_Data[[#This Row],[Churned]]=0,1,0)</f>
        <v>1</v>
      </c>
      <c r="H1324" t="str">
        <f>IF(Gym_Expansion_Data[[#This Row],[Active Member]]=1,Gym_Expansion_Data[[#This Row],[Tier]],"Inactive")</f>
        <v>Basic</v>
      </c>
    </row>
    <row r="1325" spans="1:8" x14ac:dyDescent="0.2">
      <c r="A1325">
        <v>2324</v>
      </c>
      <c r="B1325" t="s">
        <v>6</v>
      </c>
      <c r="C1325" t="s">
        <v>7</v>
      </c>
      <c r="D1325" s="1">
        <v>45651</v>
      </c>
      <c r="E1325">
        <v>49</v>
      </c>
      <c r="F1325">
        <v>0</v>
      </c>
      <c r="G1325">
        <f>IF(Gym_Expansion_Data[[#This Row],[Churned]]=0,1,0)</f>
        <v>1</v>
      </c>
      <c r="H1325" t="str">
        <f>IF(Gym_Expansion_Data[[#This Row],[Active Member]]=1,Gym_Expansion_Data[[#This Row],[Tier]],"Inactive")</f>
        <v>Basic</v>
      </c>
    </row>
    <row r="1326" spans="1:8" x14ac:dyDescent="0.2">
      <c r="A1326">
        <v>2325</v>
      </c>
      <c r="B1326" t="s">
        <v>11</v>
      </c>
      <c r="C1326" t="s">
        <v>8</v>
      </c>
      <c r="D1326" s="1">
        <v>45787</v>
      </c>
      <c r="E1326">
        <v>129</v>
      </c>
      <c r="F1326">
        <v>0</v>
      </c>
      <c r="G1326">
        <f>IF(Gym_Expansion_Data[[#This Row],[Churned]]=0,1,0)</f>
        <v>1</v>
      </c>
      <c r="H1326" t="str">
        <f>IF(Gym_Expansion_Data[[#This Row],[Active Member]]=1,Gym_Expansion_Data[[#This Row],[Tier]],"Inactive")</f>
        <v>Elite</v>
      </c>
    </row>
    <row r="1327" spans="1:8" x14ac:dyDescent="0.2">
      <c r="A1327">
        <v>2326</v>
      </c>
      <c r="B1327" t="s">
        <v>10</v>
      </c>
      <c r="C1327" t="s">
        <v>12</v>
      </c>
      <c r="D1327" s="1">
        <v>45834</v>
      </c>
      <c r="E1327">
        <v>89</v>
      </c>
      <c r="F1327">
        <v>0</v>
      </c>
      <c r="G1327">
        <f>IF(Gym_Expansion_Data[[#This Row],[Churned]]=0,1,0)</f>
        <v>1</v>
      </c>
      <c r="H1327" t="str">
        <f>IF(Gym_Expansion_Data[[#This Row],[Active Member]]=1,Gym_Expansion_Data[[#This Row],[Tier]],"Inactive")</f>
        <v>Premium</v>
      </c>
    </row>
    <row r="1328" spans="1:8" x14ac:dyDescent="0.2">
      <c r="A1328">
        <v>2327</v>
      </c>
      <c r="B1328" t="s">
        <v>10</v>
      </c>
      <c r="C1328" t="s">
        <v>12</v>
      </c>
      <c r="D1328" s="1">
        <v>45373</v>
      </c>
      <c r="E1328">
        <v>89</v>
      </c>
      <c r="F1328">
        <v>0</v>
      </c>
      <c r="G1328">
        <f>IF(Gym_Expansion_Data[[#This Row],[Churned]]=0,1,0)</f>
        <v>1</v>
      </c>
      <c r="H1328" t="str">
        <f>IF(Gym_Expansion_Data[[#This Row],[Active Member]]=1,Gym_Expansion_Data[[#This Row],[Tier]],"Inactive")</f>
        <v>Premium</v>
      </c>
    </row>
    <row r="1329" spans="1:8" x14ac:dyDescent="0.2">
      <c r="A1329">
        <v>2328</v>
      </c>
      <c r="B1329" t="s">
        <v>6</v>
      </c>
      <c r="C1329" t="s">
        <v>7</v>
      </c>
      <c r="D1329" s="1">
        <v>45786</v>
      </c>
      <c r="E1329">
        <v>49</v>
      </c>
      <c r="F1329">
        <v>0</v>
      </c>
      <c r="G1329">
        <f>IF(Gym_Expansion_Data[[#This Row],[Churned]]=0,1,0)</f>
        <v>1</v>
      </c>
      <c r="H1329" t="str">
        <f>IF(Gym_Expansion_Data[[#This Row],[Active Member]]=1,Gym_Expansion_Data[[#This Row],[Tier]],"Inactive")</f>
        <v>Basic</v>
      </c>
    </row>
    <row r="1330" spans="1:8" x14ac:dyDescent="0.2">
      <c r="A1330">
        <v>2329</v>
      </c>
      <c r="B1330" t="s">
        <v>6</v>
      </c>
      <c r="C1330" t="s">
        <v>7</v>
      </c>
      <c r="D1330" s="1">
        <v>45856</v>
      </c>
      <c r="E1330">
        <v>49</v>
      </c>
      <c r="F1330">
        <v>0</v>
      </c>
      <c r="G1330">
        <f>IF(Gym_Expansion_Data[[#This Row],[Churned]]=0,1,0)</f>
        <v>1</v>
      </c>
      <c r="H1330" t="str">
        <f>IF(Gym_Expansion_Data[[#This Row],[Active Member]]=1,Gym_Expansion_Data[[#This Row],[Tier]],"Inactive")</f>
        <v>Basic</v>
      </c>
    </row>
    <row r="1331" spans="1:8" x14ac:dyDescent="0.2">
      <c r="A1331">
        <v>2330</v>
      </c>
      <c r="B1331" t="s">
        <v>11</v>
      </c>
      <c r="C1331" t="s">
        <v>8</v>
      </c>
      <c r="D1331" s="1">
        <v>45853</v>
      </c>
      <c r="E1331">
        <v>129</v>
      </c>
      <c r="F1331">
        <v>1</v>
      </c>
      <c r="G1331">
        <f>IF(Gym_Expansion_Data[[#This Row],[Churned]]=0,1,0)</f>
        <v>0</v>
      </c>
      <c r="H1331" t="str">
        <f>IF(Gym_Expansion_Data[[#This Row],[Active Member]]=1,Gym_Expansion_Data[[#This Row],[Tier]],"Inactive")</f>
        <v>Inactive</v>
      </c>
    </row>
    <row r="1332" spans="1:8" x14ac:dyDescent="0.2">
      <c r="A1332">
        <v>2331</v>
      </c>
      <c r="B1332" t="s">
        <v>10</v>
      </c>
      <c r="C1332" t="s">
        <v>7</v>
      </c>
      <c r="D1332" s="1">
        <v>45527</v>
      </c>
      <c r="E1332">
        <v>49</v>
      </c>
      <c r="F1332">
        <v>0</v>
      </c>
      <c r="G1332">
        <f>IF(Gym_Expansion_Data[[#This Row],[Churned]]=0,1,0)</f>
        <v>1</v>
      </c>
      <c r="H1332" t="str">
        <f>IF(Gym_Expansion_Data[[#This Row],[Active Member]]=1,Gym_Expansion_Data[[#This Row],[Tier]],"Inactive")</f>
        <v>Basic</v>
      </c>
    </row>
    <row r="1333" spans="1:8" x14ac:dyDescent="0.2">
      <c r="A1333">
        <v>2332</v>
      </c>
      <c r="B1333" t="s">
        <v>9</v>
      </c>
      <c r="C1333" t="s">
        <v>8</v>
      </c>
      <c r="D1333" s="1">
        <v>45724</v>
      </c>
      <c r="E1333">
        <v>129</v>
      </c>
      <c r="F1333">
        <v>0</v>
      </c>
      <c r="G1333">
        <f>IF(Gym_Expansion_Data[[#This Row],[Churned]]=0,1,0)</f>
        <v>1</v>
      </c>
      <c r="H1333" t="str">
        <f>IF(Gym_Expansion_Data[[#This Row],[Active Member]]=1,Gym_Expansion_Data[[#This Row],[Tier]],"Inactive")</f>
        <v>Elite</v>
      </c>
    </row>
    <row r="1334" spans="1:8" x14ac:dyDescent="0.2">
      <c r="A1334">
        <v>2333</v>
      </c>
      <c r="B1334" t="s">
        <v>6</v>
      </c>
      <c r="C1334" t="s">
        <v>7</v>
      </c>
      <c r="D1334" s="1">
        <v>45753</v>
      </c>
      <c r="E1334">
        <v>49</v>
      </c>
      <c r="F1334">
        <v>0</v>
      </c>
      <c r="G1334">
        <f>IF(Gym_Expansion_Data[[#This Row],[Churned]]=0,1,0)</f>
        <v>1</v>
      </c>
      <c r="H1334" t="str">
        <f>IF(Gym_Expansion_Data[[#This Row],[Active Member]]=1,Gym_Expansion_Data[[#This Row],[Tier]],"Inactive")</f>
        <v>Basic</v>
      </c>
    </row>
    <row r="1335" spans="1:8" x14ac:dyDescent="0.2">
      <c r="A1335">
        <v>2334</v>
      </c>
      <c r="B1335" t="s">
        <v>6</v>
      </c>
      <c r="C1335" t="s">
        <v>7</v>
      </c>
      <c r="D1335" s="1">
        <v>45457</v>
      </c>
      <c r="E1335">
        <v>49</v>
      </c>
      <c r="F1335">
        <v>0</v>
      </c>
      <c r="G1335">
        <f>IF(Gym_Expansion_Data[[#This Row],[Churned]]=0,1,0)</f>
        <v>1</v>
      </c>
      <c r="H1335" t="str">
        <f>IF(Gym_Expansion_Data[[#This Row],[Active Member]]=1,Gym_Expansion_Data[[#This Row],[Tier]],"Inactive")</f>
        <v>Basic</v>
      </c>
    </row>
    <row r="1336" spans="1:8" x14ac:dyDescent="0.2">
      <c r="A1336">
        <v>2335</v>
      </c>
      <c r="B1336" t="s">
        <v>11</v>
      </c>
      <c r="C1336" t="s">
        <v>7</v>
      </c>
      <c r="D1336" s="1">
        <v>45763</v>
      </c>
      <c r="E1336">
        <v>49</v>
      </c>
      <c r="F1336">
        <v>0</v>
      </c>
      <c r="G1336">
        <f>IF(Gym_Expansion_Data[[#This Row],[Churned]]=0,1,0)</f>
        <v>1</v>
      </c>
      <c r="H1336" t="str">
        <f>IF(Gym_Expansion_Data[[#This Row],[Active Member]]=1,Gym_Expansion_Data[[#This Row],[Tier]],"Inactive")</f>
        <v>Basic</v>
      </c>
    </row>
    <row r="1337" spans="1:8" x14ac:dyDescent="0.2">
      <c r="A1337">
        <v>2336</v>
      </c>
      <c r="B1337" t="s">
        <v>10</v>
      </c>
      <c r="C1337" t="s">
        <v>8</v>
      </c>
      <c r="D1337" s="1">
        <v>45680</v>
      </c>
      <c r="E1337">
        <v>129</v>
      </c>
      <c r="F1337">
        <v>0</v>
      </c>
      <c r="G1337">
        <f>IF(Gym_Expansion_Data[[#This Row],[Churned]]=0,1,0)</f>
        <v>1</v>
      </c>
      <c r="H1337" t="str">
        <f>IF(Gym_Expansion_Data[[#This Row],[Active Member]]=1,Gym_Expansion_Data[[#This Row],[Tier]],"Inactive")</f>
        <v>Elite</v>
      </c>
    </row>
    <row r="1338" spans="1:8" x14ac:dyDescent="0.2">
      <c r="A1338">
        <v>2337</v>
      </c>
      <c r="B1338" t="s">
        <v>9</v>
      </c>
      <c r="C1338" t="s">
        <v>12</v>
      </c>
      <c r="D1338" s="1">
        <v>45334</v>
      </c>
      <c r="E1338">
        <v>89</v>
      </c>
      <c r="F1338">
        <v>0</v>
      </c>
      <c r="G1338">
        <f>IF(Gym_Expansion_Data[[#This Row],[Churned]]=0,1,0)</f>
        <v>1</v>
      </c>
      <c r="H1338" t="str">
        <f>IF(Gym_Expansion_Data[[#This Row],[Active Member]]=1,Gym_Expansion_Data[[#This Row],[Tier]],"Inactive")</f>
        <v>Premium</v>
      </c>
    </row>
    <row r="1339" spans="1:8" x14ac:dyDescent="0.2">
      <c r="A1339">
        <v>2338</v>
      </c>
      <c r="B1339" t="s">
        <v>9</v>
      </c>
      <c r="C1339" t="s">
        <v>7</v>
      </c>
      <c r="D1339" s="1">
        <v>45606</v>
      </c>
      <c r="E1339">
        <v>49</v>
      </c>
      <c r="F1339">
        <v>0</v>
      </c>
      <c r="G1339">
        <f>IF(Gym_Expansion_Data[[#This Row],[Churned]]=0,1,0)</f>
        <v>1</v>
      </c>
      <c r="H1339" t="str">
        <f>IF(Gym_Expansion_Data[[#This Row],[Active Member]]=1,Gym_Expansion_Data[[#This Row],[Tier]],"Inactive")</f>
        <v>Basic</v>
      </c>
    </row>
    <row r="1340" spans="1:8" x14ac:dyDescent="0.2">
      <c r="A1340">
        <v>2339</v>
      </c>
      <c r="B1340" t="s">
        <v>11</v>
      </c>
      <c r="C1340" t="s">
        <v>8</v>
      </c>
      <c r="D1340" s="1">
        <v>45640</v>
      </c>
      <c r="E1340">
        <v>129</v>
      </c>
      <c r="F1340">
        <v>0</v>
      </c>
      <c r="G1340">
        <f>IF(Gym_Expansion_Data[[#This Row],[Churned]]=0,1,0)</f>
        <v>1</v>
      </c>
      <c r="H1340" t="str">
        <f>IF(Gym_Expansion_Data[[#This Row],[Active Member]]=1,Gym_Expansion_Data[[#This Row],[Tier]],"Inactive")</f>
        <v>Elite</v>
      </c>
    </row>
    <row r="1341" spans="1:8" x14ac:dyDescent="0.2">
      <c r="A1341">
        <v>2340</v>
      </c>
      <c r="B1341" t="s">
        <v>11</v>
      </c>
      <c r="C1341" t="s">
        <v>8</v>
      </c>
      <c r="D1341" s="1">
        <v>45432</v>
      </c>
      <c r="E1341">
        <v>129</v>
      </c>
      <c r="F1341">
        <v>1</v>
      </c>
      <c r="G1341">
        <f>IF(Gym_Expansion_Data[[#This Row],[Churned]]=0,1,0)</f>
        <v>0</v>
      </c>
      <c r="H1341" t="str">
        <f>IF(Gym_Expansion_Data[[#This Row],[Active Member]]=1,Gym_Expansion_Data[[#This Row],[Tier]],"Inactive")</f>
        <v>Inactive</v>
      </c>
    </row>
    <row r="1342" spans="1:8" x14ac:dyDescent="0.2">
      <c r="A1342">
        <v>2341</v>
      </c>
      <c r="B1342" t="s">
        <v>10</v>
      </c>
      <c r="C1342" t="s">
        <v>12</v>
      </c>
      <c r="D1342" s="1">
        <v>45505</v>
      </c>
      <c r="E1342">
        <v>89</v>
      </c>
      <c r="F1342">
        <v>0</v>
      </c>
      <c r="G1342">
        <f>IF(Gym_Expansion_Data[[#This Row],[Churned]]=0,1,0)</f>
        <v>1</v>
      </c>
      <c r="H1342" t="str">
        <f>IF(Gym_Expansion_Data[[#This Row],[Active Member]]=1,Gym_Expansion_Data[[#This Row],[Tier]],"Inactive")</f>
        <v>Premium</v>
      </c>
    </row>
    <row r="1343" spans="1:8" x14ac:dyDescent="0.2">
      <c r="A1343">
        <v>2342</v>
      </c>
      <c r="B1343" t="s">
        <v>9</v>
      </c>
      <c r="C1343" t="s">
        <v>7</v>
      </c>
      <c r="D1343" s="1">
        <v>45626</v>
      </c>
      <c r="E1343">
        <v>49</v>
      </c>
      <c r="F1343">
        <v>0</v>
      </c>
      <c r="G1343">
        <f>IF(Gym_Expansion_Data[[#This Row],[Churned]]=0,1,0)</f>
        <v>1</v>
      </c>
      <c r="H1343" t="str">
        <f>IF(Gym_Expansion_Data[[#This Row],[Active Member]]=1,Gym_Expansion_Data[[#This Row],[Tier]],"Inactive")</f>
        <v>Basic</v>
      </c>
    </row>
    <row r="1344" spans="1:8" x14ac:dyDescent="0.2">
      <c r="A1344">
        <v>2343</v>
      </c>
      <c r="B1344" t="s">
        <v>10</v>
      </c>
      <c r="C1344" t="s">
        <v>12</v>
      </c>
      <c r="D1344" s="1">
        <v>45837</v>
      </c>
      <c r="E1344">
        <v>89</v>
      </c>
      <c r="F1344">
        <v>0</v>
      </c>
      <c r="G1344">
        <f>IF(Gym_Expansion_Data[[#This Row],[Churned]]=0,1,0)</f>
        <v>1</v>
      </c>
      <c r="H1344" t="str">
        <f>IF(Gym_Expansion_Data[[#This Row],[Active Member]]=1,Gym_Expansion_Data[[#This Row],[Tier]],"Inactive")</f>
        <v>Premium</v>
      </c>
    </row>
    <row r="1345" spans="1:8" x14ac:dyDescent="0.2">
      <c r="A1345">
        <v>2344</v>
      </c>
      <c r="B1345" t="s">
        <v>11</v>
      </c>
      <c r="C1345" t="s">
        <v>12</v>
      </c>
      <c r="D1345" s="1">
        <v>45346</v>
      </c>
      <c r="E1345">
        <v>89</v>
      </c>
      <c r="F1345">
        <v>0</v>
      </c>
      <c r="G1345">
        <f>IF(Gym_Expansion_Data[[#This Row],[Churned]]=0,1,0)</f>
        <v>1</v>
      </c>
      <c r="H1345" t="str">
        <f>IF(Gym_Expansion_Data[[#This Row],[Active Member]]=1,Gym_Expansion_Data[[#This Row],[Tier]],"Inactive")</f>
        <v>Premium</v>
      </c>
    </row>
    <row r="1346" spans="1:8" x14ac:dyDescent="0.2">
      <c r="A1346">
        <v>2345</v>
      </c>
      <c r="B1346" t="s">
        <v>11</v>
      </c>
      <c r="C1346" t="s">
        <v>7</v>
      </c>
      <c r="D1346" s="1">
        <v>45691</v>
      </c>
      <c r="E1346">
        <v>49</v>
      </c>
      <c r="F1346">
        <v>0</v>
      </c>
      <c r="G1346">
        <f>IF(Gym_Expansion_Data[[#This Row],[Churned]]=0,1,0)</f>
        <v>1</v>
      </c>
      <c r="H1346" t="str">
        <f>IF(Gym_Expansion_Data[[#This Row],[Active Member]]=1,Gym_Expansion_Data[[#This Row],[Tier]],"Inactive")</f>
        <v>Basic</v>
      </c>
    </row>
    <row r="1347" spans="1:8" x14ac:dyDescent="0.2">
      <c r="A1347">
        <v>2346</v>
      </c>
      <c r="B1347" t="s">
        <v>6</v>
      </c>
      <c r="C1347" t="s">
        <v>7</v>
      </c>
      <c r="D1347" s="1">
        <v>45808</v>
      </c>
      <c r="E1347">
        <v>49</v>
      </c>
      <c r="F1347">
        <v>1</v>
      </c>
      <c r="G1347">
        <f>IF(Gym_Expansion_Data[[#This Row],[Churned]]=0,1,0)</f>
        <v>0</v>
      </c>
      <c r="H1347" t="str">
        <f>IF(Gym_Expansion_Data[[#This Row],[Active Member]]=1,Gym_Expansion_Data[[#This Row],[Tier]],"Inactive")</f>
        <v>Inactive</v>
      </c>
    </row>
    <row r="1348" spans="1:8" x14ac:dyDescent="0.2">
      <c r="A1348">
        <v>2347</v>
      </c>
      <c r="B1348" t="s">
        <v>9</v>
      </c>
      <c r="C1348" t="s">
        <v>7</v>
      </c>
      <c r="D1348" s="1">
        <v>45562</v>
      </c>
      <c r="E1348">
        <v>49</v>
      </c>
      <c r="F1348">
        <v>0</v>
      </c>
      <c r="G1348">
        <f>IF(Gym_Expansion_Data[[#This Row],[Churned]]=0,1,0)</f>
        <v>1</v>
      </c>
      <c r="H1348" t="str">
        <f>IF(Gym_Expansion_Data[[#This Row],[Active Member]]=1,Gym_Expansion_Data[[#This Row],[Tier]],"Inactive")</f>
        <v>Basic</v>
      </c>
    </row>
    <row r="1349" spans="1:8" x14ac:dyDescent="0.2">
      <c r="A1349">
        <v>2348</v>
      </c>
      <c r="B1349" t="s">
        <v>9</v>
      </c>
      <c r="C1349" t="s">
        <v>12</v>
      </c>
      <c r="D1349" s="1">
        <v>45907</v>
      </c>
      <c r="E1349">
        <v>89</v>
      </c>
      <c r="F1349">
        <v>0</v>
      </c>
      <c r="G1349">
        <f>IF(Gym_Expansion_Data[[#This Row],[Churned]]=0,1,0)</f>
        <v>1</v>
      </c>
      <c r="H1349" t="str">
        <f>IF(Gym_Expansion_Data[[#This Row],[Active Member]]=1,Gym_Expansion_Data[[#This Row],[Tier]],"Inactive")</f>
        <v>Premium</v>
      </c>
    </row>
    <row r="1350" spans="1:8" x14ac:dyDescent="0.2">
      <c r="A1350">
        <v>2349</v>
      </c>
      <c r="B1350" t="s">
        <v>10</v>
      </c>
      <c r="C1350" t="s">
        <v>7</v>
      </c>
      <c r="D1350" s="1">
        <v>45422</v>
      </c>
      <c r="E1350">
        <v>49</v>
      </c>
      <c r="F1350">
        <v>0</v>
      </c>
      <c r="G1350">
        <f>IF(Gym_Expansion_Data[[#This Row],[Churned]]=0,1,0)</f>
        <v>1</v>
      </c>
      <c r="H1350" t="str">
        <f>IF(Gym_Expansion_Data[[#This Row],[Active Member]]=1,Gym_Expansion_Data[[#This Row],[Tier]],"Inactive")</f>
        <v>Basic</v>
      </c>
    </row>
    <row r="1351" spans="1:8" x14ac:dyDescent="0.2">
      <c r="A1351">
        <v>2350</v>
      </c>
      <c r="B1351" t="s">
        <v>11</v>
      </c>
      <c r="C1351" t="s">
        <v>8</v>
      </c>
      <c r="D1351" s="1">
        <v>45716</v>
      </c>
      <c r="E1351">
        <v>129</v>
      </c>
      <c r="F1351">
        <v>0</v>
      </c>
      <c r="G1351">
        <f>IF(Gym_Expansion_Data[[#This Row],[Churned]]=0,1,0)</f>
        <v>1</v>
      </c>
      <c r="H1351" t="str">
        <f>IF(Gym_Expansion_Data[[#This Row],[Active Member]]=1,Gym_Expansion_Data[[#This Row],[Tier]],"Inactive")</f>
        <v>Elite</v>
      </c>
    </row>
    <row r="1352" spans="1:8" x14ac:dyDescent="0.2">
      <c r="A1352">
        <v>2351</v>
      </c>
      <c r="B1352" t="s">
        <v>9</v>
      </c>
      <c r="C1352" t="s">
        <v>12</v>
      </c>
      <c r="D1352" s="1">
        <v>45865</v>
      </c>
      <c r="E1352">
        <v>89</v>
      </c>
      <c r="F1352">
        <v>0</v>
      </c>
      <c r="G1352">
        <f>IF(Gym_Expansion_Data[[#This Row],[Churned]]=0,1,0)</f>
        <v>1</v>
      </c>
      <c r="H1352" t="str">
        <f>IF(Gym_Expansion_Data[[#This Row],[Active Member]]=1,Gym_Expansion_Data[[#This Row],[Tier]],"Inactive")</f>
        <v>Premium</v>
      </c>
    </row>
    <row r="1353" spans="1:8" x14ac:dyDescent="0.2">
      <c r="A1353">
        <v>2352</v>
      </c>
      <c r="B1353" t="s">
        <v>10</v>
      </c>
      <c r="C1353" t="s">
        <v>12</v>
      </c>
      <c r="D1353" s="1">
        <v>45377</v>
      </c>
      <c r="E1353">
        <v>89</v>
      </c>
      <c r="F1353">
        <v>0</v>
      </c>
      <c r="G1353">
        <f>IF(Gym_Expansion_Data[[#This Row],[Churned]]=0,1,0)</f>
        <v>1</v>
      </c>
      <c r="H1353" t="str">
        <f>IF(Gym_Expansion_Data[[#This Row],[Active Member]]=1,Gym_Expansion_Data[[#This Row],[Tier]],"Inactive")</f>
        <v>Premium</v>
      </c>
    </row>
    <row r="1354" spans="1:8" x14ac:dyDescent="0.2">
      <c r="A1354">
        <v>2353</v>
      </c>
      <c r="B1354" t="s">
        <v>9</v>
      </c>
      <c r="C1354" t="s">
        <v>7</v>
      </c>
      <c r="D1354" s="1">
        <v>45292</v>
      </c>
      <c r="E1354">
        <v>49</v>
      </c>
      <c r="F1354">
        <v>1</v>
      </c>
      <c r="G1354">
        <f>IF(Gym_Expansion_Data[[#This Row],[Churned]]=0,1,0)</f>
        <v>0</v>
      </c>
      <c r="H1354" t="str">
        <f>IF(Gym_Expansion_Data[[#This Row],[Active Member]]=1,Gym_Expansion_Data[[#This Row],[Tier]],"Inactive")</f>
        <v>Inactive</v>
      </c>
    </row>
    <row r="1355" spans="1:8" x14ac:dyDescent="0.2">
      <c r="A1355">
        <v>2354</v>
      </c>
      <c r="B1355" t="s">
        <v>9</v>
      </c>
      <c r="C1355" t="s">
        <v>7</v>
      </c>
      <c r="D1355" s="1">
        <v>45676</v>
      </c>
      <c r="E1355">
        <v>49</v>
      </c>
      <c r="F1355">
        <v>0</v>
      </c>
      <c r="G1355">
        <f>IF(Gym_Expansion_Data[[#This Row],[Churned]]=0,1,0)</f>
        <v>1</v>
      </c>
      <c r="H1355" t="str">
        <f>IF(Gym_Expansion_Data[[#This Row],[Active Member]]=1,Gym_Expansion_Data[[#This Row],[Tier]],"Inactive")</f>
        <v>Basic</v>
      </c>
    </row>
    <row r="1356" spans="1:8" x14ac:dyDescent="0.2">
      <c r="A1356">
        <v>2355</v>
      </c>
      <c r="B1356" t="s">
        <v>10</v>
      </c>
      <c r="C1356" t="s">
        <v>12</v>
      </c>
      <c r="D1356" s="1">
        <v>45852</v>
      </c>
      <c r="E1356">
        <v>89</v>
      </c>
      <c r="F1356">
        <v>0</v>
      </c>
      <c r="G1356">
        <f>IF(Gym_Expansion_Data[[#This Row],[Churned]]=0,1,0)</f>
        <v>1</v>
      </c>
      <c r="H1356" t="str">
        <f>IF(Gym_Expansion_Data[[#This Row],[Active Member]]=1,Gym_Expansion_Data[[#This Row],[Tier]],"Inactive")</f>
        <v>Premium</v>
      </c>
    </row>
    <row r="1357" spans="1:8" x14ac:dyDescent="0.2">
      <c r="A1357">
        <v>2356</v>
      </c>
      <c r="B1357" t="s">
        <v>9</v>
      </c>
      <c r="C1357" t="s">
        <v>8</v>
      </c>
      <c r="D1357" s="1">
        <v>45463</v>
      </c>
      <c r="E1357">
        <v>129</v>
      </c>
      <c r="F1357">
        <v>1</v>
      </c>
      <c r="G1357">
        <f>IF(Gym_Expansion_Data[[#This Row],[Churned]]=0,1,0)</f>
        <v>0</v>
      </c>
      <c r="H1357" t="str">
        <f>IF(Gym_Expansion_Data[[#This Row],[Active Member]]=1,Gym_Expansion_Data[[#This Row],[Tier]],"Inactive")</f>
        <v>Inactive</v>
      </c>
    </row>
    <row r="1358" spans="1:8" x14ac:dyDescent="0.2">
      <c r="A1358">
        <v>2357</v>
      </c>
      <c r="B1358" t="s">
        <v>9</v>
      </c>
      <c r="C1358" t="s">
        <v>7</v>
      </c>
      <c r="D1358" s="1">
        <v>45593</v>
      </c>
      <c r="E1358">
        <v>49</v>
      </c>
      <c r="F1358">
        <v>1</v>
      </c>
      <c r="G1358">
        <f>IF(Gym_Expansion_Data[[#This Row],[Churned]]=0,1,0)</f>
        <v>0</v>
      </c>
      <c r="H1358" t="str">
        <f>IF(Gym_Expansion_Data[[#This Row],[Active Member]]=1,Gym_Expansion_Data[[#This Row],[Tier]],"Inactive")</f>
        <v>Inactive</v>
      </c>
    </row>
    <row r="1359" spans="1:8" x14ac:dyDescent="0.2">
      <c r="A1359">
        <v>2358</v>
      </c>
      <c r="B1359" t="s">
        <v>11</v>
      </c>
      <c r="C1359" t="s">
        <v>7</v>
      </c>
      <c r="D1359" s="1">
        <v>45721</v>
      </c>
      <c r="E1359">
        <v>49</v>
      </c>
      <c r="F1359">
        <v>1</v>
      </c>
      <c r="G1359">
        <f>IF(Gym_Expansion_Data[[#This Row],[Churned]]=0,1,0)</f>
        <v>0</v>
      </c>
      <c r="H1359" t="str">
        <f>IF(Gym_Expansion_Data[[#This Row],[Active Member]]=1,Gym_Expansion_Data[[#This Row],[Tier]],"Inactive")</f>
        <v>Inactive</v>
      </c>
    </row>
    <row r="1360" spans="1:8" x14ac:dyDescent="0.2">
      <c r="A1360">
        <v>2359</v>
      </c>
      <c r="B1360" t="s">
        <v>11</v>
      </c>
      <c r="C1360" t="s">
        <v>12</v>
      </c>
      <c r="D1360" s="1">
        <v>45301</v>
      </c>
      <c r="E1360">
        <v>89</v>
      </c>
      <c r="F1360">
        <v>0</v>
      </c>
      <c r="G1360">
        <f>IF(Gym_Expansion_Data[[#This Row],[Churned]]=0,1,0)</f>
        <v>1</v>
      </c>
      <c r="H1360" t="str">
        <f>IF(Gym_Expansion_Data[[#This Row],[Active Member]]=1,Gym_Expansion_Data[[#This Row],[Tier]],"Inactive")</f>
        <v>Premium</v>
      </c>
    </row>
    <row r="1361" spans="1:8" x14ac:dyDescent="0.2">
      <c r="A1361">
        <v>2360</v>
      </c>
      <c r="B1361" t="s">
        <v>9</v>
      </c>
      <c r="C1361" t="s">
        <v>12</v>
      </c>
      <c r="D1361" s="1">
        <v>45951</v>
      </c>
      <c r="E1361">
        <v>89</v>
      </c>
      <c r="F1361">
        <v>0</v>
      </c>
      <c r="G1361">
        <f>IF(Gym_Expansion_Data[[#This Row],[Churned]]=0,1,0)</f>
        <v>1</v>
      </c>
      <c r="H1361" t="str">
        <f>IF(Gym_Expansion_Data[[#This Row],[Active Member]]=1,Gym_Expansion_Data[[#This Row],[Tier]],"Inactive")</f>
        <v>Premium</v>
      </c>
    </row>
    <row r="1362" spans="1:8" x14ac:dyDescent="0.2">
      <c r="A1362">
        <v>2361</v>
      </c>
      <c r="B1362" t="s">
        <v>11</v>
      </c>
      <c r="C1362" t="s">
        <v>7</v>
      </c>
      <c r="D1362" s="1">
        <v>45948</v>
      </c>
      <c r="E1362">
        <v>49</v>
      </c>
      <c r="F1362">
        <v>0</v>
      </c>
      <c r="G1362">
        <f>IF(Gym_Expansion_Data[[#This Row],[Churned]]=0,1,0)</f>
        <v>1</v>
      </c>
      <c r="H1362" t="str">
        <f>IF(Gym_Expansion_Data[[#This Row],[Active Member]]=1,Gym_Expansion_Data[[#This Row],[Tier]],"Inactive")</f>
        <v>Basic</v>
      </c>
    </row>
    <row r="1363" spans="1:8" x14ac:dyDescent="0.2">
      <c r="A1363">
        <v>2362</v>
      </c>
      <c r="B1363" t="s">
        <v>6</v>
      </c>
      <c r="C1363" t="s">
        <v>8</v>
      </c>
      <c r="D1363" s="1">
        <v>45922</v>
      </c>
      <c r="E1363">
        <v>129</v>
      </c>
      <c r="F1363">
        <v>0</v>
      </c>
      <c r="G1363">
        <f>IF(Gym_Expansion_Data[[#This Row],[Churned]]=0,1,0)</f>
        <v>1</v>
      </c>
      <c r="H1363" t="str">
        <f>IF(Gym_Expansion_Data[[#This Row],[Active Member]]=1,Gym_Expansion_Data[[#This Row],[Tier]],"Inactive")</f>
        <v>Elite</v>
      </c>
    </row>
    <row r="1364" spans="1:8" x14ac:dyDescent="0.2">
      <c r="A1364">
        <v>2363</v>
      </c>
      <c r="B1364" t="s">
        <v>9</v>
      </c>
      <c r="C1364" t="s">
        <v>7</v>
      </c>
      <c r="D1364" s="1">
        <v>45570</v>
      </c>
      <c r="E1364">
        <v>49</v>
      </c>
      <c r="F1364">
        <v>0</v>
      </c>
      <c r="G1364">
        <f>IF(Gym_Expansion_Data[[#This Row],[Churned]]=0,1,0)</f>
        <v>1</v>
      </c>
      <c r="H1364" t="str">
        <f>IF(Gym_Expansion_Data[[#This Row],[Active Member]]=1,Gym_Expansion_Data[[#This Row],[Tier]],"Inactive")</f>
        <v>Basic</v>
      </c>
    </row>
    <row r="1365" spans="1:8" x14ac:dyDescent="0.2">
      <c r="A1365">
        <v>2364</v>
      </c>
      <c r="B1365" t="s">
        <v>11</v>
      </c>
      <c r="C1365" t="s">
        <v>12</v>
      </c>
      <c r="D1365" s="1">
        <v>45588</v>
      </c>
      <c r="E1365">
        <v>89</v>
      </c>
      <c r="F1365">
        <v>0</v>
      </c>
      <c r="G1365">
        <f>IF(Gym_Expansion_Data[[#This Row],[Churned]]=0,1,0)</f>
        <v>1</v>
      </c>
      <c r="H1365" t="str">
        <f>IF(Gym_Expansion_Data[[#This Row],[Active Member]]=1,Gym_Expansion_Data[[#This Row],[Tier]],"Inactive")</f>
        <v>Premium</v>
      </c>
    </row>
    <row r="1366" spans="1:8" x14ac:dyDescent="0.2">
      <c r="A1366">
        <v>2365</v>
      </c>
      <c r="B1366" t="s">
        <v>6</v>
      </c>
      <c r="C1366" t="s">
        <v>7</v>
      </c>
      <c r="D1366" s="1">
        <v>45665</v>
      </c>
      <c r="E1366">
        <v>49</v>
      </c>
      <c r="F1366">
        <v>0</v>
      </c>
      <c r="G1366">
        <f>IF(Gym_Expansion_Data[[#This Row],[Churned]]=0,1,0)</f>
        <v>1</v>
      </c>
      <c r="H1366" t="str">
        <f>IF(Gym_Expansion_Data[[#This Row],[Active Member]]=1,Gym_Expansion_Data[[#This Row],[Tier]],"Inactive")</f>
        <v>Basic</v>
      </c>
    </row>
    <row r="1367" spans="1:8" x14ac:dyDescent="0.2">
      <c r="A1367">
        <v>2366</v>
      </c>
      <c r="B1367" t="s">
        <v>11</v>
      </c>
      <c r="C1367" t="s">
        <v>7</v>
      </c>
      <c r="D1367" s="1">
        <v>45979</v>
      </c>
      <c r="E1367">
        <v>49</v>
      </c>
      <c r="F1367">
        <v>0</v>
      </c>
      <c r="G1367">
        <f>IF(Gym_Expansion_Data[[#This Row],[Churned]]=0,1,0)</f>
        <v>1</v>
      </c>
      <c r="H1367" t="str">
        <f>IF(Gym_Expansion_Data[[#This Row],[Active Member]]=1,Gym_Expansion_Data[[#This Row],[Tier]],"Inactive")</f>
        <v>Basic</v>
      </c>
    </row>
    <row r="1368" spans="1:8" x14ac:dyDescent="0.2">
      <c r="A1368">
        <v>2367</v>
      </c>
      <c r="B1368" t="s">
        <v>9</v>
      </c>
      <c r="C1368" t="s">
        <v>7</v>
      </c>
      <c r="D1368" s="1">
        <v>45406</v>
      </c>
      <c r="E1368">
        <v>49</v>
      </c>
      <c r="F1368">
        <v>0</v>
      </c>
      <c r="G1368">
        <f>IF(Gym_Expansion_Data[[#This Row],[Churned]]=0,1,0)</f>
        <v>1</v>
      </c>
      <c r="H1368" t="str">
        <f>IF(Gym_Expansion_Data[[#This Row],[Active Member]]=1,Gym_Expansion_Data[[#This Row],[Tier]],"Inactive")</f>
        <v>Basic</v>
      </c>
    </row>
    <row r="1369" spans="1:8" x14ac:dyDescent="0.2">
      <c r="A1369">
        <v>2368</v>
      </c>
      <c r="B1369" t="s">
        <v>9</v>
      </c>
      <c r="C1369" t="s">
        <v>12</v>
      </c>
      <c r="D1369" s="1">
        <v>45911</v>
      </c>
      <c r="E1369">
        <v>89</v>
      </c>
      <c r="F1369">
        <v>0</v>
      </c>
      <c r="G1369">
        <f>IF(Gym_Expansion_Data[[#This Row],[Churned]]=0,1,0)</f>
        <v>1</v>
      </c>
      <c r="H1369" t="str">
        <f>IF(Gym_Expansion_Data[[#This Row],[Active Member]]=1,Gym_Expansion_Data[[#This Row],[Tier]],"Inactive")</f>
        <v>Premium</v>
      </c>
    </row>
    <row r="1370" spans="1:8" x14ac:dyDescent="0.2">
      <c r="A1370">
        <v>2369</v>
      </c>
      <c r="B1370" t="s">
        <v>6</v>
      </c>
      <c r="C1370" t="s">
        <v>7</v>
      </c>
      <c r="D1370" s="1">
        <v>45928</v>
      </c>
      <c r="E1370">
        <v>49</v>
      </c>
      <c r="F1370">
        <v>0</v>
      </c>
      <c r="G1370">
        <f>IF(Gym_Expansion_Data[[#This Row],[Churned]]=0,1,0)</f>
        <v>1</v>
      </c>
      <c r="H1370" t="str">
        <f>IF(Gym_Expansion_Data[[#This Row],[Active Member]]=1,Gym_Expansion_Data[[#This Row],[Tier]],"Inactive")</f>
        <v>Basic</v>
      </c>
    </row>
    <row r="1371" spans="1:8" x14ac:dyDescent="0.2">
      <c r="A1371">
        <v>2370</v>
      </c>
      <c r="B1371" t="s">
        <v>9</v>
      </c>
      <c r="C1371" t="s">
        <v>7</v>
      </c>
      <c r="D1371" s="1">
        <v>45521</v>
      </c>
      <c r="E1371">
        <v>49</v>
      </c>
      <c r="F1371">
        <v>0</v>
      </c>
      <c r="G1371">
        <f>IF(Gym_Expansion_Data[[#This Row],[Churned]]=0,1,0)</f>
        <v>1</v>
      </c>
      <c r="H1371" t="str">
        <f>IF(Gym_Expansion_Data[[#This Row],[Active Member]]=1,Gym_Expansion_Data[[#This Row],[Tier]],"Inactive")</f>
        <v>Basic</v>
      </c>
    </row>
    <row r="1372" spans="1:8" x14ac:dyDescent="0.2">
      <c r="A1372">
        <v>2371</v>
      </c>
      <c r="B1372" t="s">
        <v>9</v>
      </c>
      <c r="C1372" t="s">
        <v>12</v>
      </c>
      <c r="D1372" s="1">
        <v>45474</v>
      </c>
      <c r="E1372">
        <v>89</v>
      </c>
      <c r="F1372">
        <v>0</v>
      </c>
      <c r="G1372">
        <f>IF(Gym_Expansion_Data[[#This Row],[Churned]]=0,1,0)</f>
        <v>1</v>
      </c>
      <c r="H1372" t="str">
        <f>IF(Gym_Expansion_Data[[#This Row],[Active Member]]=1,Gym_Expansion_Data[[#This Row],[Tier]],"Inactive")</f>
        <v>Premium</v>
      </c>
    </row>
    <row r="1373" spans="1:8" x14ac:dyDescent="0.2">
      <c r="A1373">
        <v>2372</v>
      </c>
      <c r="B1373" t="s">
        <v>10</v>
      </c>
      <c r="C1373" t="s">
        <v>7</v>
      </c>
      <c r="D1373" s="1">
        <v>45611</v>
      </c>
      <c r="E1373">
        <v>49</v>
      </c>
      <c r="F1373">
        <v>0</v>
      </c>
      <c r="G1373">
        <f>IF(Gym_Expansion_Data[[#This Row],[Churned]]=0,1,0)</f>
        <v>1</v>
      </c>
      <c r="H1373" t="str">
        <f>IF(Gym_Expansion_Data[[#This Row],[Active Member]]=1,Gym_Expansion_Data[[#This Row],[Tier]],"Inactive")</f>
        <v>Basic</v>
      </c>
    </row>
    <row r="1374" spans="1:8" x14ac:dyDescent="0.2">
      <c r="A1374">
        <v>2373</v>
      </c>
      <c r="B1374" t="s">
        <v>9</v>
      </c>
      <c r="C1374" t="s">
        <v>7</v>
      </c>
      <c r="D1374" s="1">
        <v>45368</v>
      </c>
      <c r="E1374">
        <v>49</v>
      </c>
      <c r="F1374">
        <v>0</v>
      </c>
      <c r="G1374">
        <f>IF(Gym_Expansion_Data[[#This Row],[Churned]]=0,1,0)</f>
        <v>1</v>
      </c>
      <c r="H1374" t="str">
        <f>IF(Gym_Expansion_Data[[#This Row],[Active Member]]=1,Gym_Expansion_Data[[#This Row],[Tier]],"Inactive")</f>
        <v>Basic</v>
      </c>
    </row>
    <row r="1375" spans="1:8" x14ac:dyDescent="0.2">
      <c r="A1375">
        <v>2374</v>
      </c>
      <c r="B1375" t="s">
        <v>11</v>
      </c>
      <c r="C1375" t="s">
        <v>8</v>
      </c>
      <c r="D1375" s="1">
        <v>45449</v>
      </c>
      <c r="E1375">
        <v>129</v>
      </c>
      <c r="F1375">
        <v>1</v>
      </c>
      <c r="G1375">
        <f>IF(Gym_Expansion_Data[[#This Row],[Churned]]=0,1,0)</f>
        <v>0</v>
      </c>
      <c r="H1375" t="str">
        <f>IF(Gym_Expansion_Data[[#This Row],[Active Member]]=1,Gym_Expansion_Data[[#This Row],[Tier]],"Inactive")</f>
        <v>Inactive</v>
      </c>
    </row>
    <row r="1376" spans="1:8" x14ac:dyDescent="0.2">
      <c r="A1376">
        <v>2375</v>
      </c>
      <c r="B1376" t="s">
        <v>11</v>
      </c>
      <c r="C1376" t="s">
        <v>7</v>
      </c>
      <c r="D1376" s="1">
        <v>45523</v>
      </c>
      <c r="E1376">
        <v>49</v>
      </c>
      <c r="F1376">
        <v>0</v>
      </c>
      <c r="G1376">
        <f>IF(Gym_Expansion_Data[[#This Row],[Churned]]=0,1,0)</f>
        <v>1</v>
      </c>
      <c r="H1376" t="str">
        <f>IF(Gym_Expansion_Data[[#This Row],[Active Member]]=1,Gym_Expansion_Data[[#This Row],[Tier]],"Inactive")</f>
        <v>Basic</v>
      </c>
    </row>
    <row r="1377" spans="1:8" x14ac:dyDescent="0.2">
      <c r="A1377">
        <v>2376</v>
      </c>
      <c r="B1377" t="s">
        <v>9</v>
      </c>
      <c r="C1377" t="s">
        <v>8</v>
      </c>
      <c r="D1377" s="1">
        <v>45387</v>
      </c>
      <c r="E1377">
        <v>129</v>
      </c>
      <c r="F1377">
        <v>0</v>
      </c>
      <c r="G1377">
        <f>IF(Gym_Expansion_Data[[#This Row],[Churned]]=0,1,0)</f>
        <v>1</v>
      </c>
      <c r="H1377" t="str">
        <f>IF(Gym_Expansion_Data[[#This Row],[Active Member]]=1,Gym_Expansion_Data[[#This Row],[Tier]],"Inactive")</f>
        <v>Elite</v>
      </c>
    </row>
    <row r="1378" spans="1:8" x14ac:dyDescent="0.2">
      <c r="A1378">
        <v>2377</v>
      </c>
      <c r="B1378" t="s">
        <v>11</v>
      </c>
      <c r="C1378" t="s">
        <v>12</v>
      </c>
      <c r="D1378" s="1">
        <v>45633</v>
      </c>
      <c r="E1378">
        <v>89</v>
      </c>
      <c r="F1378">
        <v>0</v>
      </c>
      <c r="G1378">
        <f>IF(Gym_Expansion_Data[[#This Row],[Churned]]=0,1,0)</f>
        <v>1</v>
      </c>
      <c r="H1378" t="str">
        <f>IF(Gym_Expansion_Data[[#This Row],[Active Member]]=1,Gym_Expansion_Data[[#This Row],[Tier]],"Inactive")</f>
        <v>Premium</v>
      </c>
    </row>
    <row r="1379" spans="1:8" x14ac:dyDescent="0.2">
      <c r="A1379">
        <v>2378</v>
      </c>
      <c r="B1379" t="s">
        <v>9</v>
      </c>
      <c r="C1379" t="s">
        <v>12</v>
      </c>
      <c r="D1379" s="1">
        <v>45936</v>
      </c>
      <c r="E1379">
        <v>89</v>
      </c>
      <c r="F1379">
        <v>0</v>
      </c>
      <c r="G1379">
        <f>IF(Gym_Expansion_Data[[#This Row],[Churned]]=0,1,0)</f>
        <v>1</v>
      </c>
      <c r="H1379" t="str">
        <f>IF(Gym_Expansion_Data[[#This Row],[Active Member]]=1,Gym_Expansion_Data[[#This Row],[Tier]],"Inactive")</f>
        <v>Premium</v>
      </c>
    </row>
    <row r="1380" spans="1:8" x14ac:dyDescent="0.2">
      <c r="A1380">
        <v>2379</v>
      </c>
      <c r="B1380" t="s">
        <v>11</v>
      </c>
      <c r="C1380" t="s">
        <v>7</v>
      </c>
      <c r="D1380" s="1">
        <v>45950</v>
      </c>
      <c r="E1380">
        <v>49</v>
      </c>
      <c r="F1380">
        <v>0</v>
      </c>
      <c r="G1380">
        <f>IF(Gym_Expansion_Data[[#This Row],[Churned]]=0,1,0)</f>
        <v>1</v>
      </c>
      <c r="H1380" t="str">
        <f>IF(Gym_Expansion_Data[[#This Row],[Active Member]]=1,Gym_Expansion_Data[[#This Row],[Tier]],"Inactive")</f>
        <v>Basic</v>
      </c>
    </row>
    <row r="1381" spans="1:8" x14ac:dyDescent="0.2">
      <c r="A1381">
        <v>2380</v>
      </c>
      <c r="B1381" t="s">
        <v>6</v>
      </c>
      <c r="C1381" t="s">
        <v>7</v>
      </c>
      <c r="D1381" s="1">
        <v>45359</v>
      </c>
      <c r="E1381">
        <v>49</v>
      </c>
      <c r="F1381">
        <v>0</v>
      </c>
      <c r="G1381">
        <f>IF(Gym_Expansion_Data[[#This Row],[Churned]]=0,1,0)</f>
        <v>1</v>
      </c>
      <c r="H1381" t="str">
        <f>IF(Gym_Expansion_Data[[#This Row],[Active Member]]=1,Gym_Expansion_Data[[#This Row],[Tier]],"Inactive")</f>
        <v>Basic</v>
      </c>
    </row>
    <row r="1382" spans="1:8" x14ac:dyDescent="0.2">
      <c r="A1382">
        <v>2381</v>
      </c>
      <c r="B1382" t="s">
        <v>9</v>
      </c>
      <c r="C1382" t="s">
        <v>7</v>
      </c>
      <c r="D1382" s="1">
        <v>45754</v>
      </c>
      <c r="E1382">
        <v>49</v>
      </c>
      <c r="F1382">
        <v>0</v>
      </c>
      <c r="G1382">
        <f>IF(Gym_Expansion_Data[[#This Row],[Churned]]=0,1,0)</f>
        <v>1</v>
      </c>
      <c r="H1382" t="str">
        <f>IF(Gym_Expansion_Data[[#This Row],[Active Member]]=1,Gym_Expansion_Data[[#This Row],[Tier]],"Inactive")</f>
        <v>Basic</v>
      </c>
    </row>
    <row r="1383" spans="1:8" x14ac:dyDescent="0.2">
      <c r="A1383">
        <v>2382</v>
      </c>
      <c r="B1383" t="s">
        <v>6</v>
      </c>
      <c r="C1383" t="s">
        <v>8</v>
      </c>
      <c r="D1383" s="1">
        <v>45926</v>
      </c>
      <c r="E1383">
        <v>129</v>
      </c>
      <c r="F1383">
        <v>0</v>
      </c>
      <c r="G1383">
        <f>IF(Gym_Expansion_Data[[#This Row],[Churned]]=0,1,0)</f>
        <v>1</v>
      </c>
      <c r="H1383" t="str">
        <f>IF(Gym_Expansion_Data[[#This Row],[Active Member]]=1,Gym_Expansion_Data[[#This Row],[Tier]],"Inactive")</f>
        <v>Elite</v>
      </c>
    </row>
    <row r="1384" spans="1:8" x14ac:dyDescent="0.2">
      <c r="A1384">
        <v>2383</v>
      </c>
      <c r="B1384" t="s">
        <v>9</v>
      </c>
      <c r="C1384" t="s">
        <v>7</v>
      </c>
      <c r="D1384" s="1">
        <v>45394</v>
      </c>
      <c r="E1384">
        <v>49</v>
      </c>
      <c r="F1384">
        <v>0</v>
      </c>
      <c r="G1384">
        <f>IF(Gym_Expansion_Data[[#This Row],[Churned]]=0,1,0)</f>
        <v>1</v>
      </c>
      <c r="H1384" t="str">
        <f>IF(Gym_Expansion_Data[[#This Row],[Active Member]]=1,Gym_Expansion_Data[[#This Row],[Tier]],"Inactive")</f>
        <v>Basic</v>
      </c>
    </row>
    <row r="1385" spans="1:8" x14ac:dyDescent="0.2">
      <c r="A1385">
        <v>2384</v>
      </c>
      <c r="B1385" t="s">
        <v>9</v>
      </c>
      <c r="C1385" t="s">
        <v>8</v>
      </c>
      <c r="D1385" s="1">
        <v>45566</v>
      </c>
      <c r="E1385">
        <v>129</v>
      </c>
      <c r="F1385">
        <v>0</v>
      </c>
      <c r="G1385">
        <f>IF(Gym_Expansion_Data[[#This Row],[Churned]]=0,1,0)</f>
        <v>1</v>
      </c>
      <c r="H1385" t="str">
        <f>IF(Gym_Expansion_Data[[#This Row],[Active Member]]=1,Gym_Expansion_Data[[#This Row],[Tier]],"Inactive")</f>
        <v>Elite</v>
      </c>
    </row>
    <row r="1386" spans="1:8" x14ac:dyDescent="0.2">
      <c r="A1386">
        <v>2385</v>
      </c>
      <c r="B1386" t="s">
        <v>10</v>
      </c>
      <c r="C1386" t="s">
        <v>7</v>
      </c>
      <c r="D1386" s="1">
        <v>45342</v>
      </c>
      <c r="E1386">
        <v>49</v>
      </c>
      <c r="F1386">
        <v>0</v>
      </c>
      <c r="G1386">
        <f>IF(Gym_Expansion_Data[[#This Row],[Churned]]=0,1,0)</f>
        <v>1</v>
      </c>
      <c r="H1386" t="str">
        <f>IF(Gym_Expansion_Data[[#This Row],[Active Member]]=1,Gym_Expansion_Data[[#This Row],[Tier]],"Inactive")</f>
        <v>Basic</v>
      </c>
    </row>
    <row r="1387" spans="1:8" x14ac:dyDescent="0.2">
      <c r="A1387">
        <v>2386</v>
      </c>
      <c r="B1387" t="s">
        <v>9</v>
      </c>
      <c r="C1387" t="s">
        <v>7</v>
      </c>
      <c r="D1387" s="1">
        <v>45907</v>
      </c>
      <c r="E1387">
        <v>49</v>
      </c>
      <c r="F1387">
        <v>0</v>
      </c>
      <c r="G1387">
        <f>IF(Gym_Expansion_Data[[#This Row],[Churned]]=0,1,0)</f>
        <v>1</v>
      </c>
      <c r="H1387" t="str">
        <f>IF(Gym_Expansion_Data[[#This Row],[Active Member]]=1,Gym_Expansion_Data[[#This Row],[Tier]],"Inactive")</f>
        <v>Basic</v>
      </c>
    </row>
    <row r="1388" spans="1:8" x14ac:dyDescent="0.2">
      <c r="A1388">
        <v>2387</v>
      </c>
      <c r="B1388" t="s">
        <v>9</v>
      </c>
      <c r="C1388" t="s">
        <v>7</v>
      </c>
      <c r="D1388" s="1">
        <v>45526</v>
      </c>
      <c r="E1388">
        <v>49</v>
      </c>
      <c r="F1388">
        <v>0</v>
      </c>
      <c r="G1388">
        <f>IF(Gym_Expansion_Data[[#This Row],[Churned]]=0,1,0)</f>
        <v>1</v>
      </c>
      <c r="H1388" t="str">
        <f>IF(Gym_Expansion_Data[[#This Row],[Active Member]]=1,Gym_Expansion_Data[[#This Row],[Tier]],"Inactive")</f>
        <v>Basic</v>
      </c>
    </row>
    <row r="1389" spans="1:8" x14ac:dyDescent="0.2">
      <c r="A1389">
        <v>2388</v>
      </c>
      <c r="B1389" t="s">
        <v>11</v>
      </c>
      <c r="C1389" t="s">
        <v>8</v>
      </c>
      <c r="D1389" s="1">
        <v>45881</v>
      </c>
      <c r="E1389">
        <v>129</v>
      </c>
      <c r="F1389">
        <v>0</v>
      </c>
      <c r="G1389">
        <f>IF(Gym_Expansion_Data[[#This Row],[Churned]]=0,1,0)</f>
        <v>1</v>
      </c>
      <c r="H1389" t="str">
        <f>IF(Gym_Expansion_Data[[#This Row],[Active Member]]=1,Gym_Expansion_Data[[#This Row],[Tier]],"Inactive")</f>
        <v>Elite</v>
      </c>
    </row>
    <row r="1390" spans="1:8" x14ac:dyDescent="0.2">
      <c r="A1390">
        <v>2389</v>
      </c>
      <c r="B1390" t="s">
        <v>9</v>
      </c>
      <c r="C1390" t="s">
        <v>7</v>
      </c>
      <c r="D1390" s="1">
        <v>45461</v>
      </c>
      <c r="E1390">
        <v>49</v>
      </c>
      <c r="F1390">
        <v>1</v>
      </c>
      <c r="G1390">
        <f>IF(Gym_Expansion_Data[[#This Row],[Churned]]=0,1,0)</f>
        <v>0</v>
      </c>
      <c r="H1390" t="str">
        <f>IF(Gym_Expansion_Data[[#This Row],[Active Member]]=1,Gym_Expansion_Data[[#This Row],[Tier]],"Inactive")</f>
        <v>Inactive</v>
      </c>
    </row>
    <row r="1391" spans="1:8" x14ac:dyDescent="0.2">
      <c r="A1391">
        <v>2390</v>
      </c>
      <c r="B1391" t="s">
        <v>11</v>
      </c>
      <c r="C1391" t="s">
        <v>12</v>
      </c>
      <c r="D1391" s="1">
        <v>45508</v>
      </c>
      <c r="E1391">
        <v>89</v>
      </c>
      <c r="F1391">
        <v>0</v>
      </c>
      <c r="G1391">
        <f>IF(Gym_Expansion_Data[[#This Row],[Churned]]=0,1,0)</f>
        <v>1</v>
      </c>
      <c r="H1391" t="str">
        <f>IF(Gym_Expansion_Data[[#This Row],[Active Member]]=1,Gym_Expansion_Data[[#This Row],[Tier]],"Inactive")</f>
        <v>Premium</v>
      </c>
    </row>
    <row r="1392" spans="1:8" x14ac:dyDescent="0.2">
      <c r="A1392">
        <v>2391</v>
      </c>
      <c r="B1392" t="s">
        <v>9</v>
      </c>
      <c r="C1392" t="s">
        <v>7</v>
      </c>
      <c r="D1392" s="1">
        <v>45909</v>
      </c>
      <c r="E1392">
        <v>49</v>
      </c>
      <c r="F1392">
        <v>0</v>
      </c>
      <c r="G1392">
        <f>IF(Gym_Expansion_Data[[#This Row],[Churned]]=0,1,0)</f>
        <v>1</v>
      </c>
      <c r="H1392" t="str">
        <f>IF(Gym_Expansion_Data[[#This Row],[Active Member]]=1,Gym_Expansion_Data[[#This Row],[Tier]],"Inactive")</f>
        <v>Basic</v>
      </c>
    </row>
    <row r="1393" spans="1:8" x14ac:dyDescent="0.2">
      <c r="A1393">
        <v>2392</v>
      </c>
      <c r="B1393" t="s">
        <v>6</v>
      </c>
      <c r="C1393" t="s">
        <v>12</v>
      </c>
      <c r="D1393" s="1">
        <v>45904</v>
      </c>
      <c r="E1393">
        <v>89</v>
      </c>
      <c r="F1393">
        <v>0</v>
      </c>
      <c r="G1393">
        <f>IF(Gym_Expansion_Data[[#This Row],[Churned]]=0,1,0)</f>
        <v>1</v>
      </c>
      <c r="H1393" t="str">
        <f>IF(Gym_Expansion_Data[[#This Row],[Active Member]]=1,Gym_Expansion_Data[[#This Row],[Tier]],"Inactive")</f>
        <v>Premium</v>
      </c>
    </row>
    <row r="1394" spans="1:8" x14ac:dyDescent="0.2">
      <c r="A1394">
        <v>2393</v>
      </c>
      <c r="B1394" t="s">
        <v>9</v>
      </c>
      <c r="C1394" t="s">
        <v>7</v>
      </c>
      <c r="D1394" s="1">
        <v>45857</v>
      </c>
      <c r="E1394">
        <v>49</v>
      </c>
      <c r="F1394">
        <v>1</v>
      </c>
      <c r="G1394">
        <f>IF(Gym_Expansion_Data[[#This Row],[Churned]]=0,1,0)</f>
        <v>0</v>
      </c>
      <c r="H1394" t="str">
        <f>IF(Gym_Expansion_Data[[#This Row],[Active Member]]=1,Gym_Expansion_Data[[#This Row],[Tier]],"Inactive")</f>
        <v>Inactive</v>
      </c>
    </row>
    <row r="1395" spans="1:8" x14ac:dyDescent="0.2">
      <c r="A1395">
        <v>2394</v>
      </c>
      <c r="B1395" t="s">
        <v>11</v>
      </c>
      <c r="C1395" t="s">
        <v>12</v>
      </c>
      <c r="D1395" s="1">
        <v>45535</v>
      </c>
      <c r="E1395">
        <v>89</v>
      </c>
      <c r="F1395">
        <v>0</v>
      </c>
      <c r="G1395">
        <f>IF(Gym_Expansion_Data[[#This Row],[Churned]]=0,1,0)</f>
        <v>1</v>
      </c>
      <c r="H1395" t="str">
        <f>IF(Gym_Expansion_Data[[#This Row],[Active Member]]=1,Gym_Expansion_Data[[#This Row],[Tier]],"Inactive")</f>
        <v>Premium</v>
      </c>
    </row>
    <row r="1396" spans="1:8" x14ac:dyDescent="0.2">
      <c r="A1396">
        <v>2395</v>
      </c>
      <c r="B1396" t="s">
        <v>9</v>
      </c>
      <c r="C1396" t="s">
        <v>7</v>
      </c>
      <c r="D1396" s="1">
        <v>45825</v>
      </c>
      <c r="E1396">
        <v>49</v>
      </c>
      <c r="F1396">
        <v>1</v>
      </c>
      <c r="G1396">
        <f>IF(Gym_Expansion_Data[[#This Row],[Churned]]=0,1,0)</f>
        <v>0</v>
      </c>
      <c r="H1396" t="str">
        <f>IF(Gym_Expansion_Data[[#This Row],[Active Member]]=1,Gym_Expansion_Data[[#This Row],[Tier]],"Inactive")</f>
        <v>Inactive</v>
      </c>
    </row>
    <row r="1397" spans="1:8" x14ac:dyDescent="0.2">
      <c r="A1397">
        <v>2396</v>
      </c>
      <c r="B1397" t="s">
        <v>11</v>
      </c>
      <c r="C1397" t="s">
        <v>12</v>
      </c>
      <c r="D1397" s="1">
        <v>45930</v>
      </c>
      <c r="E1397">
        <v>89</v>
      </c>
      <c r="F1397">
        <v>0</v>
      </c>
      <c r="G1397">
        <f>IF(Gym_Expansion_Data[[#This Row],[Churned]]=0,1,0)</f>
        <v>1</v>
      </c>
      <c r="H1397" t="str">
        <f>IF(Gym_Expansion_Data[[#This Row],[Active Member]]=1,Gym_Expansion_Data[[#This Row],[Tier]],"Inactive")</f>
        <v>Premium</v>
      </c>
    </row>
    <row r="1398" spans="1:8" x14ac:dyDescent="0.2">
      <c r="A1398">
        <v>2397</v>
      </c>
      <c r="B1398" t="s">
        <v>11</v>
      </c>
      <c r="C1398" t="s">
        <v>8</v>
      </c>
      <c r="D1398" s="1">
        <v>45295</v>
      </c>
      <c r="E1398">
        <v>129</v>
      </c>
      <c r="F1398">
        <v>0</v>
      </c>
      <c r="G1398">
        <f>IF(Gym_Expansion_Data[[#This Row],[Churned]]=0,1,0)</f>
        <v>1</v>
      </c>
      <c r="H1398" t="str">
        <f>IF(Gym_Expansion_Data[[#This Row],[Active Member]]=1,Gym_Expansion_Data[[#This Row],[Tier]],"Inactive")</f>
        <v>Elite</v>
      </c>
    </row>
    <row r="1399" spans="1:8" x14ac:dyDescent="0.2">
      <c r="A1399">
        <v>2398</v>
      </c>
      <c r="B1399" t="s">
        <v>9</v>
      </c>
      <c r="C1399" t="s">
        <v>12</v>
      </c>
      <c r="D1399" s="1">
        <v>45428</v>
      </c>
      <c r="E1399">
        <v>89</v>
      </c>
      <c r="F1399">
        <v>0</v>
      </c>
      <c r="G1399">
        <f>IF(Gym_Expansion_Data[[#This Row],[Churned]]=0,1,0)</f>
        <v>1</v>
      </c>
      <c r="H1399" t="str">
        <f>IF(Gym_Expansion_Data[[#This Row],[Active Member]]=1,Gym_Expansion_Data[[#This Row],[Tier]],"Inactive")</f>
        <v>Premium</v>
      </c>
    </row>
    <row r="1400" spans="1:8" x14ac:dyDescent="0.2">
      <c r="A1400">
        <v>2399</v>
      </c>
      <c r="B1400" t="s">
        <v>11</v>
      </c>
      <c r="C1400" t="s">
        <v>7</v>
      </c>
      <c r="D1400" s="1">
        <v>45547</v>
      </c>
      <c r="E1400">
        <v>49</v>
      </c>
      <c r="F1400">
        <v>0</v>
      </c>
      <c r="G1400">
        <f>IF(Gym_Expansion_Data[[#This Row],[Churned]]=0,1,0)</f>
        <v>1</v>
      </c>
      <c r="H1400" t="str">
        <f>IF(Gym_Expansion_Data[[#This Row],[Active Member]]=1,Gym_Expansion_Data[[#This Row],[Tier]],"Inactive")</f>
        <v>Basic</v>
      </c>
    </row>
    <row r="1401" spans="1:8" x14ac:dyDescent="0.2">
      <c r="A1401">
        <v>2400</v>
      </c>
      <c r="B1401" t="s">
        <v>11</v>
      </c>
      <c r="C1401" t="s">
        <v>8</v>
      </c>
      <c r="D1401" s="1">
        <v>45500</v>
      </c>
      <c r="E1401">
        <v>129</v>
      </c>
      <c r="F1401">
        <v>0</v>
      </c>
      <c r="G1401">
        <f>IF(Gym_Expansion_Data[[#This Row],[Churned]]=0,1,0)</f>
        <v>1</v>
      </c>
      <c r="H1401" t="str">
        <f>IF(Gym_Expansion_Data[[#This Row],[Active Member]]=1,Gym_Expansion_Data[[#This Row],[Tier]],"Inactive")</f>
        <v>Elite</v>
      </c>
    </row>
    <row r="1402" spans="1:8" x14ac:dyDescent="0.2">
      <c r="A1402">
        <v>2401</v>
      </c>
      <c r="B1402" t="s">
        <v>10</v>
      </c>
      <c r="C1402" t="s">
        <v>12</v>
      </c>
      <c r="D1402" s="1">
        <v>45925</v>
      </c>
      <c r="E1402">
        <v>89</v>
      </c>
      <c r="F1402">
        <v>1</v>
      </c>
      <c r="G1402">
        <f>IF(Gym_Expansion_Data[[#This Row],[Churned]]=0,1,0)</f>
        <v>0</v>
      </c>
      <c r="H1402" t="str">
        <f>IF(Gym_Expansion_Data[[#This Row],[Active Member]]=1,Gym_Expansion_Data[[#This Row],[Tier]],"Inactive")</f>
        <v>Inactive</v>
      </c>
    </row>
    <row r="1403" spans="1:8" x14ac:dyDescent="0.2">
      <c r="A1403">
        <v>2402</v>
      </c>
      <c r="B1403" t="s">
        <v>9</v>
      </c>
      <c r="C1403" t="s">
        <v>7</v>
      </c>
      <c r="D1403" s="1">
        <v>45767</v>
      </c>
      <c r="E1403">
        <v>49</v>
      </c>
      <c r="F1403">
        <v>0</v>
      </c>
      <c r="G1403">
        <f>IF(Gym_Expansion_Data[[#This Row],[Churned]]=0,1,0)</f>
        <v>1</v>
      </c>
      <c r="H1403" t="str">
        <f>IF(Gym_Expansion_Data[[#This Row],[Active Member]]=1,Gym_Expansion_Data[[#This Row],[Tier]],"Inactive")</f>
        <v>Basic</v>
      </c>
    </row>
    <row r="1404" spans="1:8" x14ac:dyDescent="0.2">
      <c r="A1404">
        <v>2403</v>
      </c>
      <c r="B1404" t="s">
        <v>10</v>
      </c>
      <c r="C1404" t="s">
        <v>7</v>
      </c>
      <c r="D1404" s="1">
        <v>45413</v>
      </c>
      <c r="E1404">
        <v>49</v>
      </c>
      <c r="F1404">
        <v>0</v>
      </c>
      <c r="G1404">
        <f>IF(Gym_Expansion_Data[[#This Row],[Churned]]=0,1,0)</f>
        <v>1</v>
      </c>
      <c r="H1404" t="str">
        <f>IF(Gym_Expansion_Data[[#This Row],[Active Member]]=1,Gym_Expansion_Data[[#This Row],[Tier]],"Inactive")</f>
        <v>Basic</v>
      </c>
    </row>
    <row r="1405" spans="1:8" x14ac:dyDescent="0.2">
      <c r="A1405">
        <v>2404</v>
      </c>
      <c r="B1405" t="s">
        <v>9</v>
      </c>
      <c r="C1405" t="s">
        <v>12</v>
      </c>
      <c r="D1405" s="1">
        <v>45495</v>
      </c>
      <c r="E1405">
        <v>89</v>
      </c>
      <c r="F1405">
        <v>0</v>
      </c>
      <c r="G1405">
        <f>IF(Gym_Expansion_Data[[#This Row],[Churned]]=0,1,0)</f>
        <v>1</v>
      </c>
      <c r="H1405" t="str">
        <f>IF(Gym_Expansion_Data[[#This Row],[Active Member]]=1,Gym_Expansion_Data[[#This Row],[Tier]],"Inactive")</f>
        <v>Premium</v>
      </c>
    </row>
    <row r="1406" spans="1:8" x14ac:dyDescent="0.2">
      <c r="A1406">
        <v>2405</v>
      </c>
      <c r="B1406" t="s">
        <v>9</v>
      </c>
      <c r="C1406" t="s">
        <v>12</v>
      </c>
      <c r="D1406" s="1">
        <v>45619</v>
      </c>
      <c r="E1406">
        <v>89</v>
      </c>
      <c r="F1406">
        <v>0</v>
      </c>
      <c r="G1406">
        <f>IF(Gym_Expansion_Data[[#This Row],[Churned]]=0,1,0)</f>
        <v>1</v>
      </c>
      <c r="H1406" t="str">
        <f>IF(Gym_Expansion_Data[[#This Row],[Active Member]]=1,Gym_Expansion_Data[[#This Row],[Tier]],"Inactive")</f>
        <v>Premium</v>
      </c>
    </row>
    <row r="1407" spans="1:8" x14ac:dyDescent="0.2">
      <c r="A1407">
        <v>2406</v>
      </c>
      <c r="B1407" t="s">
        <v>9</v>
      </c>
      <c r="C1407" t="s">
        <v>12</v>
      </c>
      <c r="D1407" s="1">
        <v>45438</v>
      </c>
      <c r="E1407">
        <v>89</v>
      </c>
      <c r="F1407">
        <v>1</v>
      </c>
      <c r="G1407">
        <f>IF(Gym_Expansion_Data[[#This Row],[Churned]]=0,1,0)</f>
        <v>0</v>
      </c>
      <c r="H1407" t="str">
        <f>IF(Gym_Expansion_Data[[#This Row],[Active Member]]=1,Gym_Expansion_Data[[#This Row],[Tier]],"Inactive")</f>
        <v>Inactive</v>
      </c>
    </row>
    <row r="1408" spans="1:8" x14ac:dyDescent="0.2">
      <c r="A1408">
        <v>2407</v>
      </c>
      <c r="B1408" t="s">
        <v>11</v>
      </c>
      <c r="C1408" t="s">
        <v>7</v>
      </c>
      <c r="D1408" s="1">
        <v>45297</v>
      </c>
      <c r="E1408">
        <v>49</v>
      </c>
      <c r="F1408">
        <v>0</v>
      </c>
      <c r="G1408">
        <f>IF(Gym_Expansion_Data[[#This Row],[Churned]]=0,1,0)</f>
        <v>1</v>
      </c>
      <c r="H1408" t="str">
        <f>IF(Gym_Expansion_Data[[#This Row],[Active Member]]=1,Gym_Expansion_Data[[#This Row],[Tier]],"Inactive")</f>
        <v>Basic</v>
      </c>
    </row>
    <row r="1409" spans="1:8" x14ac:dyDescent="0.2">
      <c r="A1409">
        <v>2408</v>
      </c>
      <c r="B1409" t="s">
        <v>10</v>
      </c>
      <c r="C1409" t="s">
        <v>12</v>
      </c>
      <c r="D1409" s="1">
        <v>45715</v>
      </c>
      <c r="E1409">
        <v>89</v>
      </c>
      <c r="F1409">
        <v>0</v>
      </c>
      <c r="G1409">
        <f>IF(Gym_Expansion_Data[[#This Row],[Churned]]=0,1,0)</f>
        <v>1</v>
      </c>
      <c r="H1409" t="str">
        <f>IF(Gym_Expansion_Data[[#This Row],[Active Member]]=1,Gym_Expansion_Data[[#This Row],[Tier]],"Inactive")</f>
        <v>Premium</v>
      </c>
    </row>
    <row r="1410" spans="1:8" x14ac:dyDescent="0.2">
      <c r="A1410">
        <v>2409</v>
      </c>
      <c r="B1410" t="s">
        <v>9</v>
      </c>
      <c r="C1410" t="s">
        <v>12</v>
      </c>
      <c r="D1410" s="1">
        <v>45347</v>
      </c>
      <c r="E1410">
        <v>89</v>
      </c>
      <c r="F1410">
        <v>0</v>
      </c>
      <c r="G1410">
        <f>IF(Gym_Expansion_Data[[#This Row],[Churned]]=0,1,0)</f>
        <v>1</v>
      </c>
      <c r="H1410" t="str">
        <f>IF(Gym_Expansion_Data[[#This Row],[Active Member]]=1,Gym_Expansion_Data[[#This Row],[Tier]],"Inactive")</f>
        <v>Premium</v>
      </c>
    </row>
    <row r="1411" spans="1:8" x14ac:dyDescent="0.2">
      <c r="A1411">
        <v>2410</v>
      </c>
      <c r="B1411" t="s">
        <v>11</v>
      </c>
      <c r="C1411" t="s">
        <v>7</v>
      </c>
      <c r="D1411" s="1">
        <v>45551</v>
      </c>
      <c r="E1411">
        <v>49</v>
      </c>
      <c r="F1411">
        <v>0</v>
      </c>
      <c r="G1411">
        <f>IF(Gym_Expansion_Data[[#This Row],[Churned]]=0,1,0)</f>
        <v>1</v>
      </c>
      <c r="H1411" t="str">
        <f>IF(Gym_Expansion_Data[[#This Row],[Active Member]]=1,Gym_Expansion_Data[[#This Row],[Tier]],"Inactive")</f>
        <v>Basic</v>
      </c>
    </row>
    <row r="1412" spans="1:8" x14ac:dyDescent="0.2">
      <c r="A1412">
        <v>2411</v>
      </c>
      <c r="B1412" t="s">
        <v>9</v>
      </c>
      <c r="C1412" t="s">
        <v>7</v>
      </c>
      <c r="D1412" s="1">
        <v>45410</v>
      </c>
      <c r="E1412">
        <v>49</v>
      </c>
      <c r="F1412">
        <v>0</v>
      </c>
      <c r="G1412">
        <f>IF(Gym_Expansion_Data[[#This Row],[Churned]]=0,1,0)</f>
        <v>1</v>
      </c>
      <c r="H1412" t="str">
        <f>IF(Gym_Expansion_Data[[#This Row],[Active Member]]=1,Gym_Expansion_Data[[#This Row],[Tier]],"Inactive")</f>
        <v>Basic</v>
      </c>
    </row>
    <row r="1413" spans="1:8" x14ac:dyDescent="0.2">
      <c r="A1413">
        <v>2412</v>
      </c>
      <c r="B1413" t="s">
        <v>9</v>
      </c>
      <c r="C1413" t="s">
        <v>12</v>
      </c>
      <c r="D1413" s="1">
        <v>45832</v>
      </c>
      <c r="E1413">
        <v>89</v>
      </c>
      <c r="F1413">
        <v>0</v>
      </c>
      <c r="G1413">
        <f>IF(Gym_Expansion_Data[[#This Row],[Churned]]=0,1,0)</f>
        <v>1</v>
      </c>
      <c r="H1413" t="str">
        <f>IF(Gym_Expansion_Data[[#This Row],[Active Member]]=1,Gym_Expansion_Data[[#This Row],[Tier]],"Inactive")</f>
        <v>Premium</v>
      </c>
    </row>
    <row r="1414" spans="1:8" x14ac:dyDescent="0.2">
      <c r="A1414">
        <v>2413</v>
      </c>
      <c r="B1414" t="s">
        <v>9</v>
      </c>
      <c r="C1414" t="s">
        <v>12</v>
      </c>
      <c r="D1414" s="1">
        <v>45716</v>
      </c>
      <c r="E1414">
        <v>89</v>
      </c>
      <c r="F1414">
        <v>0</v>
      </c>
      <c r="G1414">
        <f>IF(Gym_Expansion_Data[[#This Row],[Churned]]=0,1,0)</f>
        <v>1</v>
      </c>
      <c r="H1414" t="str">
        <f>IF(Gym_Expansion_Data[[#This Row],[Active Member]]=1,Gym_Expansion_Data[[#This Row],[Tier]],"Inactive")</f>
        <v>Premium</v>
      </c>
    </row>
    <row r="1415" spans="1:8" x14ac:dyDescent="0.2">
      <c r="A1415">
        <v>2414</v>
      </c>
      <c r="B1415" t="s">
        <v>9</v>
      </c>
      <c r="C1415" t="s">
        <v>7</v>
      </c>
      <c r="D1415" s="1">
        <v>45684</v>
      </c>
      <c r="E1415">
        <v>49</v>
      </c>
      <c r="F1415">
        <v>0</v>
      </c>
      <c r="G1415">
        <f>IF(Gym_Expansion_Data[[#This Row],[Churned]]=0,1,0)</f>
        <v>1</v>
      </c>
      <c r="H1415" t="str">
        <f>IF(Gym_Expansion_Data[[#This Row],[Active Member]]=1,Gym_Expansion_Data[[#This Row],[Tier]],"Inactive")</f>
        <v>Basic</v>
      </c>
    </row>
    <row r="1416" spans="1:8" x14ac:dyDescent="0.2">
      <c r="A1416">
        <v>2415</v>
      </c>
      <c r="B1416" t="s">
        <v>9</v>
      </c>
      <c r="C1416" t="s">
        <v>12</v>
      </c>
      <c r="D1416" s="1">
        <v>45780</v>
      </c>
      <c r="E1416">
        <v>89</v>
      </c>
      <c r="F1416">
        <v>0</v>
      </c>
      <c r="G1416">
        <f>IF(Gym_Expansion_Data[[#This Row],[Churned]]=0,1,0)</f>
        <v>1</v>
      </c>
      <c r="H1416" t="str">
        <f>IF(Gym_Expansion_Data[[#This Row],[Active Member]]=1,Gym_Expansion_Data[[#This Row],[Tier]],"Inactive")</f>
        <v>Premium</v>
      </c>
    </row>
    <row r="1417" spans="1:8" x14ac:dyDescent="0.2">
      <c r="A1417">
        <v>2416</v>
      </c>
      <c r="B1417" t="s">
        <v>11</v>
      </c>
      <c r="C1417" t="s">
        <v>12</v>
      </c>
      <c r="D1417" s="1">
        <v>45698</v>
      </c>
      <c r="E1417">
        <v>89</v>
      </c>
      <c r="F1417">
        <v>0</v>
      </c>
      <c r="G1417">
        <f>IF(Gym_Expansion_Data[[#This Row],[Churned]]=0,1,0)</f>
        <v>1</v>
      </c>
      <c r="H1417" t="str">
        <f>IF(Gym_Expansion_Data[[#This Row],[Active Member]]=1,Gym_Expansion_Data[[#This Row],[Tier]],"Inactive")</f>
        <v>Premium</v>
      </c>
    </row>
    <row r="1418" spans="1:8" x14ac:dyDescent="0.2">
      <c r="A1418">
        <v>2417</v>
      </c>
      <c r="B1418" t="s">
        <v>10</v>
      </c>
      <c r="C1418" t="s">
        <v>8</v>
      </c>
      <c r="D1418" s="1">
        <v>45786</v>
      </c>
      <c r="E1418">
        <v>129</v>
      </c>
      <c r="F1418">
        <v>0</v>
      </c>
      <c r="G1418">
        <f>IF(Gym_Expansion_Data[[#This Row],[Churned]]=0,1,0)</f>
        <v>1</v>
      </c>
      <c r="H1418" t="str">
        <f>IF(Gym_Expansion_Data[[#This Row],[Active Member]]=1,Gym_Expansion_Data[[#This Row],[Tier]],"Inactive")</f>
        <v>Elite</v>
      </c>
    </row>
    <row r="1419" spans="1:8" x14ac:dyDescent="0.2">
      <c r="A1419">
        <v>2418</v>
      </c>
      <c r="B1419" t="s">
        <v>9</v>
      </c>
      <c r="C1419" t="s">
        <v>12</v>
      </c>
      <c r="D1419" s="1">
        <v>45424</v>
      </c>
      <c r="E1419">
        <v>89</v>
      </c>
      <c r="F1419">
        <v>0</v>
      </c>
      <c r="G1419">
        <f>IF(Gym_Expansion_Data[[#This Row],[Churned]]=0,1,0)</f>
        <v>1</v>
      </c>
      <c r="H1419" t="str">
        <f>IF(Gym_Expansion_Data[[#This Row],[Active Member]]=1,Gym_Expansion_Data[[#This Row],[Tier]],"Inactive")</f>
        <v>Premium</v>
      </c>
    </row>
    <row r="1420" spans="1:8" x14ac:dyDescent="0.2">
      <c r="A1420">
        <v>2419</v>
      </c>
      <c r="B1420" t="s">
        <v>11</v>
      </c>
      <c r="C1420" t="s">
        <v>7</v>
      </c>
      <c r="D1420" s="1">
        <v>45477</v>
      </c>
      <c r="E1420">
        <v>49</v>
      </c>
      <c r="F1420">
        <v>1</v>
      </c>
      <c r="G1420">
        <f>IF(Gym_Expansion_Data[[#This Row],[Churned]]=0,1,0)</f>
        <v>0</v>
      </c>
      <c r="H1420" t="str">
        <f>IF(Gym_Expansion_Data[[#This Row],[Active Member]]=1,Gym_Expansion_Data[[#This Row],[Tier]],"Inactive")</f>
        <v>Inactive</v>
      </c>
    </row>
    <row r="1421" spans="1:8" x14ac:dyDescent="0.2">
      <c r="A1421">
        <v>2420</v>
      </c>
      <c r="B1421" t="s">
        <v>6</v>
      </c>
      <c r="C1421" t="s">
        <v>7</v>
      </c>
      <c r="D1421" s="1">
        <v>45952</v>
      </c>
      <c r="E1421">
        <v>49</v>
      </c>
      <c r="F1421">
        <v>0</v>
      </c>
      <c r="G1421">
        <f>IF(Gym_Expansion_Data[[#This Row],[Churned]]=0,1,0)</f>
        <v>1</v>
      </c>
      <c r="H1421" t="str">
        <f>IF(Gym_Expansion_Data[[#This Row],[Active Member]]=1,Gym_Expansion_Data[[#This Row],[Tier]],"Inactive")</f>
        <v>Basic</v>
      </c>
    </row>
    <row r="1422" spans="1:8" x14ac:dyDescent="0.2">
      <c r="A1422">
        <v>2421</v>
      </c>
      <c r="B1422" t="s">
        <v>11</v>
      </c>
      <c r="C1422" t="s">
        <v>12</v>
      </c>
      <c r="D1422" s="1">
        <v>45388</v>
      </c>
      <c r="E1422">
        <v>89</v>
      </c>
      <c r="F1422">
        <v>0</v>
      </c>
      <c r="G1422">
        <f>IF(Gym_Expansion_Data[[#This Row],[Churned]]=0,1,0)</f>
        <v>1</v>
      </c>
      <c r="H1422" t="str">
        <f>IF(Gym_Expansion_Data[[#This Row],[Active Member]]=1,Gym_Expansion_Data[[#This Row],[Tier]],"Inactive")</f>
        <v>Premium</v>
      </c>
    </row>
    <row r="1423" spans="1:8" x14ac:dyDescent="0.2">
      <c r="A1423">
        <v>2422</v>
      </c>
      <c r="B1423" t="s">
        <v>11</v>
      </c>
      <c r="C1423" t="s">
        <v>12</v>
      </c>
      <c r="D1423" s="1">
        <v>45574</v>
      </c>
      <c r="E1423">
        <v>89</v>
      </c>
      <c r="F1423">
        <v>0</v>
      </c>
      <c r="G1423">
        <f>IF(Gym_Expansion_Data[[#This Row],[Churned]]=0,1,0)</f>
        <v>1</v>
      </c>
      <c r="H1423" t="str">
        <f>IF(Gym_Expansion_Data[[#This Row],[Active Member]]=1,Gym_Expansion_Data[[#This Row],[Tier]],"Inactive")</f>
        <v>Premium</v>
      </c>
    </row>
    <row r="1424" spans="1:8" x14ac:dyDescent="0.2">
      <c r="A1424">
        <v>2423</v>
      </c>
      <c r="B1424" t="s">
        <v>6</v>
      </c>
      <c r="C1424" t="s">
        <v>12</v>
      </c>
      <c r="D1424" s="1">
        <v>45650</v>
      </c>
      <c r="E1424">
        <v>89</v>
      </c>
      <c r="F1424">
        <v>0</v>
      </c>
      <c r="G1424">
        <f>IF(Gym_Expansion_Data[[#This Row],[Churned]]=0,1,0)</f>
        <v>1</v>
      </c>
      <c r="H1424" t="str">
        <f>IF(Gym_Expansion_Data[[#This Row],[Active Member]]=1,Gym_Expansion_Data[[#This Row],[Tier]],"Inactive")</f>
        <v>Premium</v>
      </c>
    </row>
    <row r="1425" spans="1:8" x14ac:dyDescent="0.2">
      <c r="A1425">
        <v>2424</v>
      </c>
      <c r="B1425" t="s">
        <v>10</v>
      </c>
      <c r="C1425" t="s">
        <v>12</v>
      </c>
      <c r="D1425" s="1">
        <v>45590</v>
      </c>
      <c r="E1425">
        <v>89</v>
      </c>
      <c r="F1425">
        <v>0</v>
      </c>
      <c r="G1425">
        <f>IF(Gym_Expansion_Data[[#This Row],[Churned]]=0,1,0)</f>
        <v>1</v>
      </c>
      <c r="H1425" t="str">
        <f>IF(Gym_Expansion_Data[[#This Row],[Active Member]]=1,Gym_Expansion_Data[[#This Row],[Tier]],"Inactive")</f>
        <v>Premium</v>
      </c>
    </row>
    <row r="1426" spans="1:8" x14ac:dyDescent="0.2">
      <c r="A1426">
        <v>2425</v>
      </c>
      <c r="B1426" t="s">
        <v>11</v>
      </c>
      <c r="C1426" t="s">
        <v>7</v>
      </c>
      <c r="D1426" s="1">
        <v>45381</v>
      </c>
      <c r="E1426">
        <v>49</v>
      </c>
      <c r="F1426">
        <v>0</v>
      </c>
      <c r="G1426">
        <f>IF(Gym_Expansion_Data[[#This Row],[Churned]]=0,1,0)</f>
        <v>1</v>
      </c>
      <c r="H1426" t="str">
        <f>IF(Gym_Expansion_Data[[#This Row],[Active Member]]=1,Gym_Expansion_Data[[#This Row],[Tier]],"Inactive")</f>
        <v>Basic</v>
      </c>
    </row>
    <row r="1427" spans="1:8" x14ac:dyDescent="0.2">
      <c r="A1427">
        <v>2426</v>
      </c>
      <c r="B1427" t="s">
        <v>6</v>
      </c>
      <c r="C1427" t="s">
        <v>7</v>
      </c>
      <c r="D1427" s="1">
        <v>45390</v>
      </c>
      <c r="E1427">
        <v>49</v>
      </c>
      <c r="F1427">
        <v>0</v>
      </c>
      <c r="G1427">
        <f>IF(Gym_Expansion_Data[[#This Row],[Churned]]=0,1,0)</f>
        <v>1</v>
      </c>
      <c r="H1427" t="str">
        <f>IF(Gym_Expansion_Data[[#This Row],[Active Member]]=1,Gym_Expansion_Data[[#This Row],[Tier]],"Inactive")</f>
        <v>Basic</v>
      </c>
    </row>
    <row r="1428" spans="1:8" x14ac:dyDescent="0.2">
      <c r="A1428">
        <v>2427</v>
      </c>
      <c r="B1428" t="s">
        <v>9</v>
      </c>
      <c r="C1428" t="s">
        <v>7</v>
      </c>
      <c r="D1428" s="1">
        <v>45744</v>
      </c>
      <c r="E1428">
        <v>49</v>
      </c>
      <c r="F1428">
        <v>0</v>
      </c>
      <c r="G1428">
        <f>IF(Gym_Expansion_Data[[#This Row],[Churned]]=0,1,0)</f>
        <v>1</v>
      </c>
      <c r="H1428" t="str">
        <f>IF(Gym_Expansion_Data[[#This Row],[Active Member]]=1,Gym_Expansion_Data[[#This Row],[Tier]],"Inactive")</f>
        <v>Basic</v>
      </c>
    </row>
    <row r="1429" spans="1:8" x14ac:dyDescent="0.2">
      <c r="A1429">
        <v>2428</v>
      </c>
      <c r="B1429" t="s">
        <v>9</v>
      </c>
      <c r="C1429" t="s">
        <v>7</v>
      </c>
      <c r="D1429" s="1">
        <v>45807</v>
      </c>
      <c r="E1429">
        <v>49</v>
      </c>
      <c r="F1429">
        <v>1</v>
      </c>
      <c r="G1429">
        <f>IF(Gym_Expansion_Data[[#This Row],[Churned]]=0,1,0)</f>
        <v>0</v>
      </c>
      <c r="H1429" t="str">
        <f>IF(Gym_Expansion_Data[[#This Row],[Active Member]]=1,Gym_Expansion_Data[[#This Row],[Tier]],"Inactive")</f>
        <v>Inactive</v>
      </c>
    </row>
    <row r="1430" spans="1:8" x14ac:dyDescent="0.2">
      <c r="A1430">
        <v>2429</v>
      </c>
      <c r="B1430" t="s">
        <v>10</v>
      </c>
      <c r="C1430" t="s">
        <v>7</v>
      </c>
      <c r="D1430" s="1">
        <v>45420</v>
      </c>
      <c r="E1430">
        <v>49</v>
      </c>
      <c r="F1430">
        <v>0</v>
      </c>
      <c r="G1430">
        <f>IF(Gym_Expansion_Data[[#This Row],[Churned]]=0,1,0)</f>
        <v>1</v>
      </c>
      <c r="H1430" t="str">
        <f>IF(Gym_Expansion_Data[[#This Row],[Active Member]]=1,Gym_Expansion_Data[[#This Row],[Tier]],"Inactive")</f>
        <v>Basic</v>
      </c>
    </row>
    <row r="1431" spans="1:8" x14ac:dyDescent="0.2">
      <c r="A1431">
        <v>2430</v>
      </c>
      <c r="B1431" t="s">
        <v>6</v>
      </c>
      <c r="C1431" t="s">
        <v>8</v>
      </c>
      <c r="D1431" s="1">
        <v>45495</v>
      </c>
      <c r="E1431">
        <v>129</v>
      </c>
      <c r="F1431">
        <v>0</v>
      </c>
      <c r="G1431">
        <f>IF(Gym_Expansion_Data[[#This Row],[Churned]]=0,1,0)</f>
        <v>1</v>
      </c>
      <c r="H1431" t="str">
        <f>IF(Gym_Expansion_Data[[#This Row],[Active Member]]=1,Gym_Expansion_Data[[#This Row],[Tier]],"Inactive")</f>
        <v>Elite</v>
      </c>
    </row>
    <row r="1432" spans="1:8" x14ac:dyDescent="0.2">
      <c r="A1432">
        <v>2431</v>
      </c>
      <c r="B1432" t="s">
        <v>9</v>
      </c>
      <c r="C1432" t="s">
        <v>8</v>
      </c>
      <c r="D1432" s="1">
        <v>45892</v>
      </c>
      <c r="E1432">
        <v>129</v>
      </c>
      <c r="F1432">
        <v>0</v>
      </c>
      <c r="G1432">
        <f>IF(Gym_Expansion_Data[[#This Row],[Churned]]=0,1,0)</f>
        <v>1</v>
      </c>
      <c r="H1432" t="str">
        <f>IF(Gym_Expansion_Data[[#This Row],[Active Member]]=1,Gym_Expansion_Data[[#This Row],[Tier]],"Inactive")</f>
        <v>Elite</v>
      </c>
    </row>
    <row r="1433" spans="1:8" x14ac:dyDescent="0.2">
      <c r="A1433">
        <v>2432</v>
      </c>
      <c r="B1433" t="s">
        <v>6</v>
      </c>
      <c r="C1433" t="s">
        <v>12</v>
      </c>
      <c r="D1433" s="1">
        <v>45681</v>
      </c>
      <c r="E1433">
        <v>89</v>
      </c>
      <c r="F1433">
        <v>0</v>
      </c>
      <c r="G1433">
        <f>IF(Gym_Expansion_Data[[#This Row],[Churned]]=0,1,0)</f>
        <v>1</v>
      </c>
      <c r="H1433" t="str">
        <f>IF(Gym_Expansion_Data[[#This Row],[Active Member]]=1,Gym_Expansion_Data[[#This Row],[Tier]],"Inactive")</f>
        <v>Premium</v>
      </c>
    </row>
    <row r="1434" spans="1:8" x14ac:dyDescent="0.2">
      <c r="A1434">
        <v>2433</v>
      </c>
      <c r="B1434" t="s">
        <v>6</v>
      </c>
      <c r="C1434" t="s">
        <v>12</v>
      </c>
      <c r="D1434" s="1">
        <v>45771</v>
      </c>
      <c r="E1434">
        <v>89</v>
      </c>
      <c r="F1434">
        <v>1</v>
      </c>
      <c r="G1434">
        <f>IF(Gym_Expansion_Data[[#This Row],[Churned]]=0,1,0)</f>
        <v>0</v>
      </c>
      <c r="H1434" t="str">
        <f>IF(Gym_Expansion_Data[[#This Row],[Active Member]]=1,Gym_Expansion_Data[[#This Row],[Tier]],"Inactive")</f>
        <v>Inactive</v>
      </c>
    </row>
    <row r="1435" spans="1:8" x14ac:dyDescent="0.2">
      <c r="A1435">
        <v>2434</v>
      </c>
      <c r="B1435" t="s">
        <v>6</v>
      </c>
      <c r="C1435" t="s">
        <v>7</v>
      </c>
      <c r="D1435" s="1">
        <v>45659</v>
      </c>
      <c r="E1435">
        <v>49</v>
      </c>
      <c r="F1435">
        <v>0</v>
      </c>
      <c r="G1435">
        <f>IF(Gym_Expansion_Data[[#This Row],[Churned]]=0,1,0)</f>
        <v>1</v>
      </c>
      <c r="H1435" t="str">
        <f>IF(Gym_Expansion_Data[[#This Row],[Active Member]]=1,Gym_Expansion_Data[[#This Row],[Tier]],"Inactive")</f>
        <v>Basic</v>
      </c>
    </row>
    <row r="1436" spans="1:8" x14ac:dyDescent="0.2">
      <c r="A1436">
        <v>2435</v>
      </c>
      <c r="B1436" t="s">
        <v>11</v>
      </c>
      <c r="C1436" t="s">
        <v>12</v>
      </c>
      <c r="D1436" s="1">
        <v>45870</v>
      </c>
      <c r="E1436">
        <v>89</v>
      </c>
      <c r="F1436">
        <v>0</v>
      </c>
      <c r="G1436">
        <f>IF(Gym_Expansion_Data[[#This Row],[Churned]]=0,1,0)</f>
        <v>1</v>
      </c>
      <c r="H1436" t="str">
        <f>IF(Gym_Expansion_Data[[#This Row],[Active Member]]=1,Gym_Expansion_Data[[#This Row],[Tier]],"Inactive")</f>
        <v>Premium</v>
      </c>
    </row>
    <row r="1437" spans="1:8" x14ac:dyDescent="0.2">
      <c r="A1437">
        <v>2436</v>
      </c>
      <c r="B1437" t="s">
        <v>10</v>
      </c>
      <c r="C1437" t="s">
        <v>7</v>
      </c>
      <c r="D1437" s="1">
        <v>45776</v>
      </c>
      <c r="E1437">
        <v>49</v>
      </c>
      <c r="F1437">
        <v>0</v>
      </c>
      <c r="G1437">
        <f>IF(Gym_Expansion_Data[[#This Row],[Churned]]=0,1,0)</f>
        <v>1</v>
      </c>
      <c r="H1437" t="str">
        <f>IF(Gym_Expansion_Data[[#This Row],[Active Member]]=1,Gym_Expansion_Data[[#This Row],[Tier]],"Inactive")</f>
        <v>Basic</v>
      </c>
    </row>
    <row r="1438" spans="1:8" x14ac:dyDescent="0.2">
      <c r="A1438">
        <v>2437</v>
      </c>
      <c r="B1438" t="s">
        <v>9</v>
      </c>
      <c r="C1438" t="s">
        <v>8</v>
      </c>
      <c r="D1438" s="1">
        <v>45935</v>
      </c>
      <c r="E1438">
        <v>129</v>
      </c>
      <c r="F1438">
        <v>1</v>
      </c>
      <c r="G1438">
        <f>IF(Gym_Expansion_Data[[#This Row],[Churned]]=0,1,0)</f>
        <v>0</v>
      </c>
      <c r="H1438" t="str">
        <f>IF(Gym_Expansion_Data[[#This Row],[Active Member]]=1,Gym_Expansion_Data[[#This Row],[Tier]],"Inactive")</f>
        <v>Inactive</v>
      </c>
    </row>
    <row r="1439" spans="1:8" x14ac:dyDescent="0.2">
      <c r="A1439">
        <v>2438</v>
      </c>
      <c r="B1439" t="s">
        <v>6</v>
      </c>
      <c r="C1439" t="s">
        <v>12</v>
      </c>
      <c r="D1439" s="1">
        <v>45895</v>
      </c>
      <c r="E1439">
        <v>89</v>
      </c>
      <c r="F1439">
        <v>0</v>
      </c>
      <c r="G1439">
        <f>IF(Gym_Expansion_Data[[#This Row],[Churned]]=0,1,0)</f>
        <v>1</v>
      </c>
      <c r="H1439" t="str">
        <f>IF(Gym_Expansion_Data[[#This Row],[Active Member]]=1,Gym_Expansion_Data[[#This Row],[Tier]],"Inactive")</f>
        <v>Premium</v>
      </c>
    </row>
    <row r="1440" spans="1:8" x14ac:dyDescent="0.2">
      <c r="A1440">
        <v>2439</v>
      </c>
      <c r="B1440" t="s">
        <v>9</v>
      </c>
      <c r="C1440" t="s">
        <v>12</v>
      </c>
      <c r="D1440" s="1">
        <v>45649</v>
      </c>
      <c r="E1440">
        <v>89</v>
      </c>
      <c r="F1440">
        <v>0</v>
      </c>
      <c r="G1440">
        <f>IF(Gym_Expansion_Data[[#This Row],[Churned]]=0,1,0)</f>
        <v>1</v>
      </c>
      <c r="H1440" t="str">
        <f>IF(Gym_Expansion_Data[[#This Row],[Active Member]]=1,Gym_Expansion_Data[[#This Row],[Tier]],"Inactive")</f>
        <v>Premium</v>
      </c>
    </row>
    <row r="1441" spans="1:8" x14ac:dyDescent="0.2">
      <c r="A1441">
        <v>2440</v>
      </c>
      <c r="B1441" t="s">
        <v>9</v>
      </c>
      <c r="C1441" t="s">
        <v>12</v>
      </c>
      <c r="D1441" s="1">
        <v>45438</v>
      </c>
      <c r="E1441">
        <v>89</v>
      </c>
      <c r="F1441">
        <v>0</v>
      </c>
      <c r="G1441">
        <f>IF(Gym_Expansion_Data[[#This Row],[Churned]]=0,1,0)</f>
        <v>1</v>
      </c>
      <c r="H1441" t="str">
        <f>IF(Gym_Expansion_Data[[#This Row],[Active Member]]=1,Gym_Expansion_Data[[#This Row],[Tier]],"Inactive")</f>
        <v>Premium</v>
      </c>
    </row>
    <row r="1442" spans="1:8" x14ac:dyDescent="0.2">
      <c r="A1442">
        <v>2441</v>
      </c>
      <c r="B1442" t="s">
        <v>10</v>
      </c>
      <c r="C1442" t="s">
        <v>12</v>
      </c>
      <c r="D1442" s="1">
        <v>45432</v>
      </c>
      <c r="E1442">
        <v>89</v>
      </c>
      <c r="F1442">
        <v>0</v>
      </c>
      <c r="G1442">
        <f>IF(Gym_Expansion_Data[[#This Row],[Churned]]=0,1,0)</f>
        <v>1</v>
      </c>
      <c r="H1442" t="str">
        <f>IF(Gym_Expansion_Data[[#This Row],[Active Member]]=1,Gym_Expansion_Data[[#This Row],[Tier]],"Inactive")</f>
        <v>Premium</v>
      </c>
    </row>
    <row r="1443" spans="1:8" x14ac:dyDescent="0.2">
      <c r="A1443">
        <v>2442</v>
      </c>
      <c r="B1443" t="s">
        <v>9</v>
      </c>
      <c r="C1443" t="s">
        <v>12</v>
      </c>
      <c r="D1443" s="1">
        <v>45396</v>
      </c>
      <c r="E1443">
        <v>89</v>
      </c>
      <c r="F1443">
        <v>0</v>
      </c>
      <c r="G1443">
        <f>IF(Gym_Expansion_Data[[#This Row],[Churned]]=0,1,0)</f>
        <v>1</v>
      </c>
      <c r="H1443" t="str">
        <f>IF(Gym_Expansion_Data[[#This Row],[Active Member]]=1,Gym_Expansion_Data[[#This Row],[Tier]],"Inactive")</f>
        <v>Premium</v>
      </c>
    </row>
    <row r="1444" spans="1:8" x14ac:dyDescent="0.2">
      <c r="A1444">
        <v>2443</v>
      </c>
      <c r="B1444" t="s">
        <v>6</v>
      </c>
      <c r="C1444" t="s">
        <v>12</v>
      </c>
      <c r="D1444" s="1">
        <v>45907</v>
      </c>
      <c r="E1444">
        <v>89</v>
      </c>
      <c r="F1444">
        <v>0</v>
      </c>
      <c r="G1444">
        <f>IF(Gym_Expansion_Data[[#This Row],[Churned]]=0,1,0)</f>
        <v>1</v>
      </c>
      <c r="H1444" t="str">
        <f>IF(Gym_Expansion_Data[[#This Row],[Active Member]]=1,Gym_Expansion_Data[[#This Row],[Tier]],"Inactive")</f>
        <v>Premium</v>
      </c>
    </row>
    <row r="1445" spans="1:8" x14ac:dyDescent="0.2">
      <c r="A1445">
        <v>2444</v>
      </c>
      <c r="B1445" t="s">
        <v>11</v>
      </c>
      <c r="C1445" t="s">
        <v>7</v>
      </c>
      <c r="D1445" s="1">
        <v>45958</v>
      </c>
      <c r="E1445">
        <v>49</v>
      </c>
      <c r="F1445">
        <v>0</v>
      </c>
      <c r="G1445">
        <f>IF(Gym_Expansion_Data[[#This Row],[Churned]]=0,1,0)</f>
        <v>1</v>
      </c>
      <c r="H1445" t="str">
        <f>IF(Gym_Expansion_Data[[#This Row],[Active Member]]=1,Gym_Expansion_Data[[#This Row],[Tier]],"Inactive")</f>
        <v>Basic</v>
      </c>
    </row>
    <row r="1446" spans="1:8" x14ac:dyDescent="0.2">
      <c r="A1446">
        <v>2445</v>
      </c>
      <c r="B1446" t="s">
        <v>11</v>
      </c>
      <c r="C1446" t="s">
        <v>8</v>
      </c>
      <c r="D1446" s="1">
        <v>45473</v>
      </c>
      <c r="E1446">
        <v>129</v>
      </c>
      <c r="F1446">
        <v>0</v>
      </c>
      <c r="G1446">
        <f>IF(Gym_Expansion_Data[[#This Row],[Churned]]=0,1,0)</f>
        <v>1</v>
      </c>
      <c r="H1446" t="str">
        <f>IF(Gym_Expansion_Data[[#This Row],[Active Member]]=1,Gym_Expansion_Data[[#This Row],[Tier]],"Inactive")</f>
        <v>Elite</v>
      </c>
    </row>
    <row r="1447" spans="1:8" x14ac:dyDescent="0.2">
      <c r="A1447">
        <v>2446</v>
      </c>
      <c r="B1447" t="s">
        <v>10</v>
      </c>
      <c r="C1447" t="s">
        <v>7</v>
      </c>
      <c r="D1447" s="1">
        <v>45810</v>
      </c>
      <c r="E1447">
        <v>49</v>
      </c>
      <c r="F1447">
        <v>0</v>
      </c>
      <c r="G1447">
        <f>IF(Gym_Expansion_Data[[#This Row],[Churned]]=0,1,0)</f>
        <v>1</v>
      </c>
      <c r="H1447" t="str">
        <f>IF(Gym_Expansion_Data[[#This Row],[Active Member]]=1,Gym_Expansion_Data[[#This Row],[Tier]],"Inactive")</f>
        <v>Basic</v>
      </c>
    </row>
    <row r="1448" spans="1:8" x14ac:dyDescent="0.2">
      <c r="A1448">
        <v>2447</v>
      </c>
      <c r="B1448" t="s">
        <v>10</v>
      </c>
      <c r="C1448" t="s">
        <v>8</v>
      </c>
      <c r="D1448" s="1">
        <v>45292</v>
      </c>
      <c r="E1448">
        <v>129</v>
      </c>
      <c r="F1448">
        <v>1</v>
      </c>
      <c r="G1448">
        <f>IF(Gym_Expansion_Data[[#This Row],[Churned]]=0,1,0)</f>
        <v>0</v>
      </c>
      <c r="H1448" t="str">
        <f>IF(Gym_Expansion_Data[[#This Row],[Active Member]]=1,Gym_Expansion_Data[[#This Row],[Tier]],"Inactive")</f>
        <v>Inactive</v>
      </c>
    </row>
    <row r="1449" spans="1:8" x14ac:dyDescent="0.2">
      <c r="A1449">
        <v>2448</v>
      </c>
      <c r="B1449" t="s">
        <v>6</v>
      </c>
      <c r="C1449" t="s">
        <v>7</v>
      </c>
      <c r="D1449" s="1">
        <v>45386</v>
      </c>
      <c r="E1449">
        <v>49</v>
      </c>
      <c r="F1449">
        <v>0</v>
      </c>
      <c r="G1449">
        <f>IF(Gym_Expansion_Data[[#This Row],[Churned]]=0,1,0)</f>
        <v>1</v>
      </c>
      <c r="H1449" t="str">
        <f>IF(Gym_Expansion_Data[[#This Row],[Active Member]]=1,Gym_Expansion_Data[[#This Row],[Tier]],"Inactive")</f>
        <v>Basic</v>
      </c>
    </row>
    <row r="1450" spans="1:8" x14ac:dyDescent="0.2">
      <c r="A1450">
        <v>2449</v>
      </c>
      <c r="B1450" t="s">
        <v>10</v>
      </c>
      <c r="C1450" t="s">
        <v>12</v>
      </c>
      <c r="D1450" s="1">
        <v>45668</v>
      </c>
      <c r="E1450">
        <v>89</v>
      </c>
      <c r="F1450">
        <v>0</v>
      </c>
      <c r="G1450">
        <f>IF(Gym_Expansion_Data[[#This Row],[Churned]]=0,1,0)</f>
        <v>1</v>
      </c>
      <c r="H1450" t="str">
        <f>IF(Gym_Expansion_Data[[#This Row],[Active Member]]=1,Gym_Expansion_Data[[#This Row],[Tier]],"Inactive")</f>
        <v>Premium</v>
      </c>
    </row>
    <row r="1451" spans="1:8" x14ac:dyDescent="0.2">
      <c r="A1451">
        <v>2450</v>
      </c>
      <c r="B1451" t="s">
        <v>6</v>
      </c>
      <c r="C1451" t="s">
        <v>12</v>
      </c>
      <c r="D1451" s="1">
        <v>45549</v>
      </c>
      <c r="E1451">
        <v>89</v>
      </c>
      <c r="F1451">
        <v>0</v>
      </c>
      <c r="G1451">
        <f>IF(Gym_Expansion_Data[[#This Row],[Churned]]=0,1,0)</f>
        <v>1</v>
      </c>
      <c r="H1451" t="str">
        <f>IF(Gym_Expansion_Data[[#This Row],[Active Member]]=1,Gym_Expansion_Data[[#This Row],[Tier]],"Inactive")</f>
        <v>Premium</v>
      </c>
    </row>
    <row r="1452" spans="1:8" x14ac:dyDescent="0.2">
      <c r="A1452">
        <v>2451</v>
      </c>
      <c r="B1452" t="s">
        <v>6</v>
      </c>
      <c r="C1452" t="s">
        <v>7</v>
      </c>
      <c r="D1452" s="1">
        <v>45318</v>
      </c>
      <c r="E1452">
        <v>49</v>
      </c>
      <c r="F1452">
        <v>0</v>
      </c>
      <c r="G1452">
        <f>IF(Gym_Expansion_Data[[#This Row],[Churned]]=0,1,0)</f>
        <v>1</v>
      </c>
      <c r="H1452" t="str">
        <f>IF(Gym_Expansion_Data[[#This Row],[Active Member]]=1,Gym_Expansion_Data[[#This Row],[Tier]],"Inactive")</f>
        <v>Basic</v>
      </c>
    </row>
    <row r="1453" spans="1:8" x14ac:dyDescent="0.2">
      <c r="A1453">
        <v>2452</v>
      </c>
      <c r="B1453" t="s">
        <v>11</v>
      </c>
      <c r="C1453" t="s">
        <v>8</v>
      </c>
      <c r="D1453" s="1">
        <v>45316</v>
      </c>
      <c r="E1453">
        <v>129</v>
      </c>
      <c r="F1453">
        <v>1</v>
      </c>
      <c r="G1453">
        <f>IF(Gym_Expansion_Data[[#This Row],[Churned]]=0,1,0)</f>
        <v>0</v>
      </c>
      <c r="H1453" t="str">
        <f>IF(Gym_Expansion_Data[[#This Row],[Active Member]]=1,Gym_Expansion_Data[[#This Row],[Tier]],"Inactive")</f>
        <v>Inactive</v>
      </c>
    </row>
    <row r="1454" spans="1:8" x14ac:dyDescent="0.2">
      <c r="A1454">
        <v>2453</v>
      </c>
      <c r="B1454" t="s">
        <v>10</v>
      </c>
      <c r="C1454" t="s">
        <v>12</v>
      </c>
      <c r="D1454" s="1">
        <v>45344</v>
      </c>
      <c r="E1454">
        <v>89</v>
      </c>
      <c r="F1454">
        <v>0</v>
      </c>
      <c r="G1454">
        <f>IF(Gym_Expansion_Data[[#This Row],[Churned]]=0,1,0)</f>
        <v>1</v>
      </c>
      <c r="H1454" t="str">
        <f>IF(Gym_Expansion_Data[[#This Row],[Active Member]]=1,Gym_Expansion_Data[[#This Row],[Tier]],"Inactive")</f>
        <v>Premium</v>
      </c>
    </row>
    <row r="1455" spans="1:8" x14ac:dyDescent="0.2">
      <c r="A1455">
        <v>2454</v>
      </c>
      <c r="B1455" t="s">
        <v>11</v>
      </c>
      <c r="C1455" t="s">
        <v>7</v>
      </c>
      <c r="D1455" s="1">
        <v>45550</v>
      </c>
      <c r="E1455">
        <v>49</v>
      </c>
      <c r="F1455">
        <v>0</v>
      </c>
      <c r="G1455">
        <f>IF(Gym_Expansion_Data[[#This Row],[Churned]]=0,1,0)</f>
        <v>1</v>
      </c>
      <c r="H1455" t="str">
        <f>IF(Gym_Expansion_Data[[#This Row],[Active Member]]=1,Gym_Expansion_Data[[#This Row],[Tier]],"Inactive")</f>
        <v>Basic</v>
      </c>
    </row>
    <row r="1456" spans="1:8" x14ac:dyDescent="0.2">
      <c r="A1456">
        <v>2455</v>
      </c>
      <c r="B1456" t="s">
        <v>9</v>
      </c>
      <c r="C1456" t="s">
        <v>12</v>
      </c>
      <c r="D1456" s="1">
        <v>45748</v>
      </c>
      <c r="E1456">
        <v>89</v>
      </c>
      <c r="F1456">
        <v>0</v>
      </c>
      <c r="G1456">
        <f>IF(Gym_Expansion_Data[[#This Row],[Churned]]=0,1,0)</f>
        <v>1</v>
      </c>
      <c r="H1456" t="str">
        <f>IF(Gym_Expansion_Data[[#This Row],[Active Member]]=1,Gym_Expansion_Data[[#This Row],[Tier]],"Inactive")</f>
        <v>Premium</v>
      </c>
    </row>
    <row r="1457" spans="1:8" x14ac:dyDescent="0.2">
      <c r="A1457">
        <v>2456</v>
      </c>
      <c r="B1457" t="s">
        <v>6</v>
      </c>
      <c r="C1457" t="s">
        <v>12</v>
      </c>
      <c r="D1457" s="1">
        <v>45742</v>
      </c>
      <c r="E1457">
        <v>89</v>
      </c>
      <c r="F1457">
        <v>0</v>
      </c>
      <c r="G1457">
        <f>IF(Gym_Expansion_Data[[#This Row],[Churned]]=0,1,0)</f>
        <v>1</v>
      </c>
      <c r="H1457" t="str">
        <f>IF(Gym_Expansion_Data[[#This Row],[Active Member]]=1,Gym_Expansion_Data[[#This Row],[Tier]],"Inactive")</f>
        <v>Premium</v>
      </c>
    </row>
    <row r="1458" spans="1:8" x14ac:dyDescent="0.2">
      <c r="A1458">
        <v>2457</v>
      </c>
      <c r="B1458" t="s">
        <v>9</v>
      </c>
      <c r="C1458" t="s">
        <v>7</v>
      </c>
      <c r="D1458" s="1">
        <v>45293</v>
      </c>
      <c r="E1458">
        <v>49</v>
      </c>
      <c r="F1458">
        <v>0</v>
      </c>
      <c r="G1458">
        <f>IF(Gym_Expansion_Data[[#This Row],[Churned]]=0,1,0)</f>
        <v>1</v>
      </c>
      <c r="H1458" t="str">
        <f>IF(Gym_Expansion_Data[[#This Row],[Active Member]]=1,Gym_Expansion_Data[[#This Row],[Tier]],"Inactive")</f>
        <v>Basic</v>
      </c>
    </row>
    <row r="1459" spans="1:8" x14ac:dyDescent="0.2">
      <c r="A1459">
        <v>2458</v>
      </c>
      <c r="B1459" t="s">
        <v>9</v>
      </c>
      <c r="C1459" t="s">
        <v>7</v>
      </c>
      <c r="D1459" s="1">
        <v>45419</v>
      </c>
      <c r="E1459">
        <v>49</v>
      </c>
      <c r="F1459">
        <v>0</v>
      </c>
      <c r="G1459">
        <f>IF(Gym_Expansion_Data[[#This Row],[Churned]]=0,1,0)</f>
        <v>1</v>
      </c>
      <c r="H1459" t="str">
        <f>IF(Gym_Expansion_Data[[#This Row],[Active Member]]=1,Gym_Expansion_Data[[#This Row],[Tier]],"Inactive")</f>
        <v>Basic</v>
      </c>
    </row>
    <row r="1460" spans="1:8" x14ac:dyDescent="0.2">
      <c r="A1460">
        <v>2459</v>
      </c>
      <c r="B1460" t="s">
        <v>9</v>
      </c>
      <c r="C1460" t="s">
        <v>7</v>
      </c>
      <c r="D1460" s="1">
        <v>45762</v>
      </c>
      <c r="E1460">
        <v>49</v>
      </c>
      <c r="F1460">
        <v>0</v>
      </c>
      <c r="G1460">
        <f>IF(Gym_Expansion_Data[[#This Row],[Churned]]=0,1,0)</f>
        <v>1</v>
      </c>
      <c r="H1460" t="str">
        <f>IF(Gym_Expansion_Data[[#This Row],[Active Member]]=1,Gym_Expansion_Data[[#This Row],[Tier]],"Inactive")</f>
        <v>Basic</v>
      </c>
    </row>
    <row r="1461" spans="1:8" x14ac:dyDescent="0.2">
      <c r="A1461">
        <v>2460</v>
      </c>
      <c r="B1461" t="s">
        <v>9</v>
      </c>
      <c r="C1461" t="s">
        <v>7</v>
      </c>
      <c r="D1461" s="1">
        <v>45953</v>
      </c>
      <c r="E1461">
        <v>49</v>
      </c>
      <c r="F1461">
        <v>0</v>
      </c>
      <c r="G1461">
        <f>IF(Gym_Expansion_Data[[#This Row],[Churned]]=0,1,0)</f>
        <v>1</v>
      </c>
      <c r="H1461" t="str">
        <f>IF(Gym_Expansion_Data[[#This Row],[Active Member]]=1,Gym_Expansion_Data[[#This Row],[Tier]],"Inactive")</f>
        <v>Basic</v>
      </c>
    </row>
    <row r="1462" spans="1:8" x14ac:dyDescent="0.2">
      <c r="A1462">
        <v>2461</v>
      </c>
      <c r="B1462" t="s">
        <v>11</v>
      </c>
      <c r="C1462" t="s">
        <v>7</v>
      </c>
      <c r="D1462" s="1">
        <v>45385</v>
      </c>
      <c r="E1462">
        <v>49</v>
      </c>
      <c r="F1462">
        <v>0</v>
      </c>
      <c r="G1462">
        <f>IF(Gym_Expansion_Data[[#This Row],[Churned]]=0,1,0)</f>
        <v>1</v>
      </c>
      <c r="H1462" t="str">
        <f>IF(Gym_Expansion_Data[[#This Row],[Active Member]]=1,Gym_Expansion_Data[[#This Row],[Tier]],"Inactive")</f>
        <v>Basic</v>
      </c>
    </row>
    <row r="1463" spans="1:8" x14ac:dyDescent="0.2">
      <c r="A1463">
        <v>2462</v>
      </c>
      <c r="B1463" t="s">
        <v>10</v>
      </c>
      <c r="C1463" t="s">
        <v>7</v>
      </c>
      <c r="D1463" s="1">
        <v>45932</v>
      </c>
      <c r="E1463">
        <v>49</v>
      </c>
      <c r="F1463">
        <v>1</v>
      </c>
      <c r="G1463">
        <f>IF(Gym_Expansion_Data[[#This Row],[Churned]]=0,1,0)</f>
        <v>0</v>
      </c>
      <c r="H1463" t="str">
        <f>IF(Gym_Expansion_Data[[#This Row],[Active Member]]=1,Gym_Expansion_Data[[#This Row],[Tier]],"Inactive")</f>
        <v>Inactive</v>
      </c>
    </row>
    <row r="1464" spans="1:8" x14ac:dyDescent="0.2">
      <c r="A1464">
        <v>2463</v>
      </c>
      <c r="B1464" t="s">
        <v>11</v>
      </c>
      <c r="C1464" t="s">
        <v>8</v>
      </c>
      <c r="D1464" s="1">
        <v>45644</v>
      </c>
      <c r="E1464">
        <v>129</v>
      </c>
      <c r="F1464">
        <v>0</v>
      </c>
      <c r="G1464">
        <f>IF(Gym_Expansion_Data[[#This Row],[Churned]]=0,1,0)</f>
        <v>1</v>
      </c>
      <c r="H1464" t="str">
        <f>IF(Gym_Expansion_Data[[#This Row],[Active Member]]=1,Gym_Expansion_Data[[#This Row],[Tier]],"Inactive")</f>
        <v>Elite</v>
      </c>
    </row>
    <row r="1465" spans="1:8" x14ac:dyDescent="0.2">
      <c r="A1465">
        <v>2464</v>
      </c>
      <c r="B1465" t="s">
        <v>9</v>
      </c>
      <c r="C1465" t="s">
        <v>12</v>
      </c>
      <c r="D1465" s="1">
        <v>45771</v>
      </c>
      <c r="E1465">
        <v>89</v>
      </c>
      <c r="F1465">
        <v>0</v>
      </c>
      <c r="G1465">
        <f>IF(Gym_Expansion_Data[[#This Row],[Churned]]=0,1,0)</f>
        <v>1</v>
      </c>
      <c r="H1465" t="str">
        <f>IF(Gym_Expansion_Data[[#This Row],[Active Member]]=1,Gym_Expansion_Data[[#This Row],[Tier]],"Inactive")</f>
        <v>Premium</v>
      </c>
    </row>
    <row r="1466" spans="1:8" x14ac:dyDescent="0.2">
      <c r="A1466">
        <v>2465</v>
      </c>
      <c r="B1466" t="s">
        <v>10</v>
      </c>
      <c r="C1466" t="s">
        <v>12</v>
      </c>
      <c r="D1466" s="1">
        <v>45921</v>
      </c>
      <c r="E1466">
        <v>89</v>
      </c>
      <c r="F1466">
        <v>0</v>
      </c>
      <c r="G1466">
        <f>IF(Gym_Expansion_Data[[#This Row],[Churned]]=0,1,0)</f>
        <v>1</v>
      </c>
      <c r="H1466" t="str">
        <f>IF(Gym_Expansion_Data[[#This Row],[Active Member]]=1,Gym_Expansion_Data[[#This Row],[Tier]],"Inactive")</f>
        <v>Premium</v>
      </c>
    </row>
    <row r="1467" spans="1:8" x14ac:dyDescent="0.2">
      <c r="A1467">
        <v>2466</v>
      </c>
      <c r="B1467" t="s">
        <v>10</v>
      </c>
      <c r="C1467" t="s">
        <v>7</v>
      </c>
      <c r="D1467" s="1">
        <v>45770</v>
      </c>
      <c r="E1467">
        <v>49</v>
      </c>
      <c r="F1467">
        <v>0</v>
      </c>
      <c r="G1467">
        <f>IF(Gym_Expansion_Data[[#This Row],[Churned]]=0,1,0)</f>
        <v>1</v>
      </c>
      <c r="H1467" t="str">
        <f>IF(Gym_Expansion_Data[[#This Row],[Active Member]]=1,Gym_Expansion_Data[[#This Row],[Tier]],"Inactive")</f>
        <v>Basic</v>
      </c>
    </row>
    <row r="1468" spans="1:8" x14ac:dyDescent="0.2">
      <c r="A1468">
        <v>2467</v>
      </c>
      <c r="B1468" t="s">
        <v>9</v>
      </c>
      <c r="C1468" t="s">
        <v>7</v>
      </c>
      <c r="D1468" s="1">
        <v>45617</v>
      </c>
      <c r="E1468">
        <v>49</v>
      </c>
      <c r="F1468">
        <v>0</v>
      </c>
      <c r="G1468">
        <f>IF(Gym_Expansion_Data[[#This Row],[Churned]]=0,1,0)</f>
        <v>1</v>
      </c>
      <c r="H1468" t="str">
        <f>IF(Gym_Expansion_Data[[#This Row],[Active Member]]=1,Gym_Expansion_Data[[#This Row],[Tier]],"Inactive")</f>
        <v>Basic</v>
      </c>
    </row>
    <row r="1469" spans="1:8" x14ac:dyDescent="0.2">
      <c r="A1469">
        <v>2468</v>
      </c>
      <c r="B1469" t="s">
        <v>9</v>
      </c>
      <c r="C1469" t="s">
        <v>12</v>
      </c>
      <c r="D1469" s="1">
        <v>45746</v>
      </c>
      <c r="E1469">
        <v>89</v>
      </c>
      <c r="F1469">
        <v>0</v>
      </c>
      <c r="G1469">
        <f>IF(Gym_Expansion_Data[[#This Row],[Churned]]=0,1,0)</f>
        <v>1</v>
      </c>
      <c r="H1469" t="str">
        <f>IF(Gym_Expansion_Data[[#This Row],[Active Member]]=1,Gym_Expansion_Data[[#This Row],[Tier]],"Inactive")</f>
        <v>Premium</v>
      </c>
    </row>
    <row r="1470" spans="1:8" x14ac:dyDescent="0.2">
      <c r="A1470">
        <v>2469</v>
      </c>
      <c r="B1470" t="s">
        <v>11</v>
      </c>
      <c r="C1470" t="s">
        <v>12</v>
      </c>
      <c r="D1470" s="1">
        <v>45347</v>
      </c>
      <c r="E1470">
        <v>89</v>
      </c>
      <c r="F1470">
        <v>1</v>
      </c>
      <c r="G1470">
        <f>IF(Gym_Expansion_Data[[#This Row],[Churned]]=0,1,0)</f>
        <v>0</v>
      </c>
      <c r="H1470" t="str">
        <f>IF(Gym_Expansion_Data[[#This Row],[Active Member]]=1,Gym_Expansion_Data[[#This Row],[Tier]],"Inactive")</f>
        <v>Inactive</v>
      </c>
    </row>
    <row r="1471" spans="1:8" x14ac:dyDescent="0.2">
      <c r="A1471">
        <v>2470</v>
      </c>
      <c r="B1471" t="s">
        <v>9</v>
      </c>
      <c r="C1471" t="s">
        <v>7</v>
      </c>
      <c r="D1471" s="1">
        <v>45938</v>
      </c>
      <c r="E1471">
        <v>49</v>
      </c>
      <c r="F1471">
        <v>0</v>
      </c>
      <c r="G1471">
        <f>IF(Gym_Expansion_Data[[#This Row],[Churned]]=0,1,0)</f>
        <v>1</v>
      </c>
      <c r="H1471" t="str">
        <f>IF(Gym_Expansion_Data[[#This Row],[Active Member]]=1,Gym_Expansion_Data[[#This Row],[Tier]],"Inactive")</f>
        <v>Basic</v>
      </c>
    </row>
    <row r="1472" spans="1:8" x14ac:dyDescent="0.2">
      <c r="A1472">
        <v>2471</v>
      </c>
      <c r="B1472" t="s">
        <v>10</v>
      </c>
      <c r="C1472" t="s">
        <v>12</v>
      </c>
      <c r="D1472" s="1">
        <v>45749</v>
      </c>
      <c r="E1472">
        <v>89</v>
      </c>
      <c r="F1472">
        <v>1</v>
      </c>
      <c r="G1472">
        <f>IF(Gym_Expansion_Data[[#This Row],[Churned]]=0,1,0)</f>
        <v>0</v>
      </c>
      <c r="H1472" t="str">
        <f>IF(Gym_Expansion_Data[[#This Row],[Active Member]]=1,Gym_Expansion_Data[[#This Row],[Tier]],"Inactive")</f>
        <v>Inactive</v>
      </c>
    </row>
    <row r="1473" spans="1:8" x14ac:dyDescent="0.2">
      <c r="A1473">
        <v>2472</v>
      </c>
      <c r="B1473" t="s">
        <v>9</v>
      </c>
      <c r="C1473" t="s">
        <v>12</v>
      </c>
      <c r="D1473" s="1">
        <v>45631</v>
      </c>
      <c r="E1473">
        <v>89</v>
      </c>
      <c r="F1473">
        <v>0</v>
      </c>
      <c r="G1473">
        <f>IF(Gym_Expansion_Data[[#This Row],[Churned]]=0,1,0)</f>
        <v>1</v>
      </c>
      <c r="H1473" t="str">
        <f>IF(Gym_Expansion_Data[[#This Row],[Active Member]]=1,Gym_Expansion_Data[[#This Row],[Tier]],"Inactive")</f>
        <v>Premium</v>
      </c>
    </row>
    <row r="1474" spans="1:8" x14ac:dyDescent="0.2">
      <c r="A1474">
        <v>2473</v>
      </c>
      <c r="B1474" t="s">
        <v>11</v>
      </c>
      <c r="C1474" t="s">
        <v>7</v>
      </c>
      <c r="D1474" s="1">
        <v>45647</v>
      </c>
      <c r="E1474">
        <v>49</v>
      </c>
      <c r="F1474">
        <v>0</v>
      </c>
      <c r="G1474">
        <f>IF(Gym_Expansion_Data[[#This Row],[Churned]]=0,1,0)</f>
        <v>1</v>
      </c>
      <c r="H1474" t="str">
        <f>IF(Gym_Expansion_Data[[#This Row],[Active Member]]=1,Gym_Expansion_Data[[#This Row],[Tier]],"Inactive")</f>
        <v>Basic</v>
      </c>
    </row>
    <row r="1475" spans="1:8" x14ac:dyDescent="0.2">
      <c r="A1475">
        <v>2474</v>
      </c>
      <c r="B1475" t="s">
        <v>6</v>
      </c>
      <c r="C1475" t="s">
        <v>8</v>
      </c>
      <c r="D1475" s="1">
        <v>45957</v>
      </c>
      <c r="E1475">
        <v>129</v>
      </c>
      <c r="F1475">
        <v>0</v>
      </c>
      <c r="G1475">
        <f>IF(Gym_Expansion_Data[[#This Row],[Churned]]=0,1,0)</f>
        <v>1</v>
      </c>
      <c r="H1475" t="str">
        <f>IF(Gym_Expansion_Data[[#This Row],[Active Member]]=1,Gym_Expansion_Data[[#This Row],[Tier]],"Inactive")</f>
        <v>Elite</v>
      </c>
    </row>
    <row r="1476" spans="1:8" x14ac:dyDescent="0.2">
      <c r="A1476">
        <v>2475</v>
      </c>
      <c r="B1476" t="s">
        <v>9</v>
      </c>
      <c r="C1476" t="s">
        <v>7</v>
      </c>
      <c r="D1476" s="1">
        <v>45650</v>
      </c>
      <c r="E1476">
        <v>49</v>
      </c>
      <c r="F1476">
        <v>0</v>
      </c>
      <c r="G1476">
        <f>IF(Gym_Expansion_Data[[#This Row],[Churned]]=0,1,0)</f>
        <v>1</v>
      </c>
      <c r="H1476" t="str">
        <f>IF(Gym_Expansion_Data[[#This Row],[Active Member]]=1,Gym_Expansion_Data[[#This Row],[Tier]],"Inactive")</f>
        <v>Basic</v>
      </c>
    </row>
    <row r="1477" spans="1:8" x14ac:dyDescent="0.2">
      <c r="A1477">
        <v>2476</v>
      </c>
      <c r="B1477" t="s">
        <v>11</v>
      </c>
      <c r="C1477" t="s">
        <v>8</v>
      </c>
      <c r="D1477" s="1">
        <v>45541</v>
      </c>
      <c r="E1477">
        <v>129</v>
      </c>
      <c r="F1477">
        <v>0</v>
      </c>
      <c r="G1477">
        <f>IF(Gym_Expansion_Data[[#This Row],[Churned]]=0,1,0)</f>
        <v>1</v>
      </c>
      <c r="H1477" t="str">
        <f>IF(Gym_Expansion_Data[[#This Row],[Active Member]]=1,Gym_Expansion_Data[[#This Row],[Tier]],"Inactive")</f>
        <v>Elite</v>
      </c>
    </row>
    <row r="1478" spans="1:8" x14ac:dyDescent="0.2">
      <c r="A1478">
        <v>2477</v>
      </c>
      <c r="B1478" t="s">
        <v>6</v>
      </c>
      <c r="C1478" t="s">
        <v>7</v>
      </c>
      <c r="D1478" s="1">
        <v>45865</v>
      </c>
      <c r="E1478">
        <v>49</v>
      </c>
      <c r="F1478">
        <v>0</v>
      </c>
      <c r="G1478">
        <f>IF(Gym_Expansion_Data[[#This Row],[Churned]]=0,1,0)</f>
        <v>1</v>
      </c>
      <c r="H1478" t="str">
        <f>IF(Gym_Expansion_Data[[#This Row],[Active Member]]=1,Gym_Expansion_Data[[#This Row],[Tier]],"Inactive")</f>
        <v>Basic</v>
      </c>
    </row>
    <row r="1479" spans="1:8" x14ac:dyDescent="0.2">
      <c r="A1479">
        <v>2478</v>
      </c>
      <c r="B1479" t="s">
        <v>9</v>
      </c>
      <c r="C1479" t="s">
        <v>12</v>
      </c>
      <c r="D1479" s="1">
        <v>45604</v>
      </c>
      <c r="E1479">
        <v>89</v>
      </c>
      <c r="F1479">
        <v>1</v>
      </c>
      <c r="G1479">
        <f>IF(Gym_Expansion_Data[[#This Row],[Churned]]=0,1,0)</f>
        <v>0</v>
      </c>
      <c r="H1479" t="str">
        <f>IF(Gym_Expansion_Data[[#This Row],[Active Member]]=1,Gym_Expansion_Data[[#This Row],[Tier]],"Inactive")</f>
        <v>Inactive</v>
      </c>
    </row>
    <row r="1480" spans="1:8" x14ac:dyDescent="0.2">
      <c r="A1480">
        <v>2479</v>
      </c>
      <c r="B1480" t="s">
        <v>11</v>
      </c>
      <c r="C1480" t="s">
        <v>8</v>
      </c>
      <c r="D1480" s="1">
        <v>45620</v>
      </c>
      <c r="E1480">
        <v>129</v>
      </c>
      <c r="F1480">
        <v>0</v>
      </c>
      <c r="G1480">
        <f>IF(Gym_Expansion_Data[[#This Row],[Churned]]=0,1,0)</f>
        <v>1</v>
      </c>
      <c r="H1480" t="str">
        <f>IF(Gym_Expansion_Data[[#This Row],[Active Member]]=1,Gym_Expansion_Data[[#This Row],[Tier]],"Inactive")</f>
        <v>Elite</v>
      </c>
    </row>
    <row r="1481" spans="1:8" x14ac:dyDescent="0.2">
      <c r="A1481">
        <v>2480</v>
      </c>
      <c r="B1481" t="s">
        <v>10</v>
      </c>
      <c r="C1481" t="s">
        <v>12</v>
      </c>
      <c r="D1481" s="1">
        <v>45791</v>
      </c>
      <c r="E1481">
        <v>89</v>
      </c>
      <c r="F1481">
        <v>0</v>
      </c>
      <c r="G1481">
        <f>IF(Gym_Expansion_Data[[#This Row],[Churned]]=0,1,0)</f>
        <v>1</v>
      </c>
      <c r="H1481" t="str">
        <f>IF(Gym_Expansion_Data[[#This Row],[Active Member]]=1,Gym_Expansion_Data[[#This Row],[Tier]],"Inactive")</f>
        <v>Premium</v>
      </c>
    </row>
    <row r="1482" spans="1:8" x14ac:dyDescent="0.2">
      <c r="A1482">
        <v>2481</v>
      </c>
      <c r="B1482" t="s">
        <v>9</v>
      </c>
      <c r="C1482" t="s">
        <v>7</v>
      </c>
      <c r="D1482" s="1">
        <v>45773</v>
      </c>
      <c r="E1482">
        <v>49</v>
      </c>
      <c r="F1482">
        <v>0</v>
      </c>
      <c r="G1482">
        <f>IF(Gym_Expansion_Data[[#This Row],[Churned]]=0,1,0)</f>
        <v>1</v>
      </c>
      <c r="H1482" t="str">
        <f>IF(Gym_Expansion_Data[[#This Row],[Active Member]]=1,Gym_Expansion_Data[[#This Row],[Tier]],"Inactive")</f>
        <v>Basic</v>
      </c>
    </row>
    <row r="1483" spans="1:8" x14ac:dyDescent="0.2">
      <c r="A1483">
        <v>2482</v>
      </c>
      <c r="B1483" t="s">
        <v>6</v>
      </c>
      <c r="C1483" t="s">
        <v>8</v>
      </c>
      <c r="D1483" s="1">
        <v>45880</v>
      </c>
      <c r="E1483">
        <v>129</v>
      </c>
      <c r="F1483">
        <v>1</v>
      </c>
      <c r="G1483">
        <f>IF(Gym_Expansion_Data[[#This Row],[Churned]]=0,1,0)</f>
        <v>0</v>
      </c>
      <c r="H1483" t="str">
        <f>IF(Gym_Expansion_Data[[#This Row],[Active Member]]=1,Gym_Expansion_Data[[#This Row],[Tier]],"Inactive")</f>
        <v>Inactive</v>
      </c>
    </row>
    <row r="1484" spans="1:8" x14ac:dyDescent="0.2">
      <c r="A1484">
        <v>2483</v>
      </c>
      <c r="B1484" t="s">
        <v>6</v>
      </c>
      <c r="C1484" t="s">
        <v>7</v>
      </c>
      <c r="D1484" s="1">
        <v>45328</v>
      </c>
      <c r="E1484">
        <v>49</v>
      </c>
      <c r="F1484">
        <v>0</v>
      </c>
      <c r="G1484">
        <f>IF(Gym_Expansion_Data[[#This Row],[Churned]]=0,1,0)</f>
        <v>1</v>
      </c>
      <c r="H1484" t="str">
        <f>IF(Gym_Expansion_Data[[#This Row],[Active Member]]=1,Gym_Expansion_Data[[#This Row],[Tier]],"Inactive")</f>
        <v>Basic</v>
      </c>
    </row>
    <row r="1485" spans="1:8" x14ac:dyDescent="0.2">
      <c r="A1485">
        <v>2484</v>
      </c>
      <c r="B1485" t="s">
        <v>11</v>
      </c>
      <c r="C1485" t="s">
        <v>7</v>
      </c>
      <c r="D1485" s="1">
        <v>45572</v>
      </c>
      <c r="E1485">
        <v>49</v>
      </c>
      <c r="F1485">
        <v>0</v>
      </c>
      <c r="G1485">
        <f>IF(Gym_Expansion_Data[[#This Row],[Churned]]=0,1,0)</f>
        <v>1</v>
      </c>
      <c r="H1485" t="str">
        <f>IF(Gym_Expansion_Data[[#This Row],[Active Member]]=1,Gym_Expansion_Data[[#This Row],[Tier]],"Inactive")</f>
        <v>Basic</v>
      </c>
    </row>
    <row r="1486" spans="1:8" x14ac:dyDescent="0.2">
      <c r="A1486">
        <v>2485</v>
      </c>
      <c r="B1486" t="s">
        <v>9</v>
      </c>
      <c r="C1486" t="s">
        <v>12</v>
      </c>
      <c r="D1486" s="1">
        <v>45442</v>
      </c>
      <c r="E1486">
        <v>89</v>
      </c>
      <c r="F1486">
        <v>0</v>
      </c>
      <c r="G1486">
        <f>IF(Gym_Expansion_Data[[#This Row],[Churned]]=0,1,0)</f>
        <v>1</v>
      </c>
      <c r="H1486" t="str">
        <f>IF(Gym_Expansion_Data[[#This Row],[Active Member]]=1,Gym_Expansion_Data[[#This Row],[Tier]],"Inactive")</f>
        <v>Premium</v>
      </c>
    </row>
    <row r="1487" spans="1:8" x14ac:dyDescent="0.2">
      <c r="A1487">
        <v>2486</v>
      </c>
      <c r="B1487" t="s">
        <v>11</v>
      </c>
      <c r="C1487" t="s">
        <v>7</v>
      </c>
      <c r="D1487" s="1">
        <v>45505</v>
      </c>
      <c r="E1487">
        <v>49</v>
      </c>
      <c r="F1487">
        <v>0</v>
      </c>
      <c r="G1487">
        <f>IF(Gym_Expansion_Data[[#This Row],[Churned]]=0,1,0)</f>
        <v>1</v>
      </c>
      <c r="H1487" t="str">
        <f>IF(Gym_Expansion_Data[[#This Row],[Active Member]]=1,Gym_Expansion_Data[[#This Row],[Tier]],"Inactive")</f>
        <v>Basic</v>
      </c>
    </row>
    <row r="1488" spans="1:8" x14ac:dyDescent="0.2">
      <c r="A1488">
        <v>2487</v>
      </c>
      <c r="B1488" t="s">
        <v>9</v>
      </c>
      <c r="C1488" t="s">
        <v>12</v>
      </c>
      <c r="D1488" s="1">
        <v>45860</v>
      </c>
      <c r="E1488">
        <v>89</v>
      </c>
      <c r="F1488">
        <v>1</v>
      </c>
      <c r="G1488">
        <f>IF(Gym_Expansion_Data[[#This Row],[Churned]]=0,1,0)</f>
        <v>0</v>
      </c>
      <c r="H1488" t="str">
        <f>IF(Gym_Expansion_Data[[#This Row],[Active Member]]=1,Gym_Expansion_Data[[#This Row],[Tier]],"Inactive")</f>
        <v>Inactive</v>
      </c>
    </row>
    <row r="1489" spans="1:8" x14ac:dyDescent="0.2">
      <c r="A1489">
        <v>2488</v>
      </c>
      <c r="B1489" t="s">
        <v>6</v>
      </c>
      <c r="C1489" t="s">
        <v>7</v>
      </c>
      <c r="D1489" s="1">
        <v>45413</v>
      </c>
      <c r="E1489">
        <v>49</v>
      </c>
      <c r="F1489">
        <v>0</v>
      </c>
      <c r="G1489">
        <f>IF(Gym_Expansion_Data[[#This Row],[Churned]]=0,1,0)</f>
        <v>1</v>
      </c>
      <c r="H1489" t="str">
        <f>IF(Gym_Expansion_Data[[#This Row],[Active Member]]=1,Gym_Expansion_Data[[#This Row],[Tier]],"Inactive")</f>
        <v>Basic</v>
      </c>
    </row>
    <row r="1490" spans="1:8" x14ac:dyDescent="0.2">
      <c r="A1490">
        <v>2489</v>
      </c>
      <c r="B1490" t="s">
        <v>9</v>
      </c>
      <c r="C1490" t="s">
        <v>7</v>
      </c>
      <c r="D1490" s="1">
        <v>45614</v>
      </c>
      <c r="E1490">
        <v>49</v>
      </c>
      <c r="F1490">
        <v>1</v>
      </c>
      <c r="G1490">
        <f>IF(Gym_Expansion_Data[[#This Row],[Churned]]=0,1,0)</f>
        <v>0</v>
      </c>
      <c r="H1490" t="str">
        <f>IF(Gym_Expansion_Data[[#This Row],[Active Member]]=1,Gym_Expansion_Data[[#This Row],[Tier]],"Inactive")</f>
        <v>Inactive</v>
      </c>
    </row>
    <row r="1491" spans="1:8" x14ac:dyDescent="0.2">
      <c r="A1491">
        <v>2490</v>
      </c>
      <c r="B1491" t="s">
        <v>11</v>
      </c>
      <c r="C1491" t="s">
        <v>7</v>
      </c>
      <c r="D1491" s="1">
        <v>45789</v>
      </c>
      <c r="E1491">
        <v>49</v>
      </c>
      <c r="F1491">
        <v>0</v>
      </c>
      <c r="G1491">
        <f>IF(Gym_Expansion_Data[[#This Row],[Churned]]=0,1,0)</f>
        <v>1</v>
      </c>
      <c r="H1491" t="str">
        <f>IF(Gym_Expansion_Data[[#This Row],[Active Member]]=1,Gym_Expansion_Data[[#This Row],[Tier]],"Inactive")</f>
        <v>Basic</v>
      </c>
    </row>
    <row r="1492" spans="1:8" x14ac:dyDescent="0.2">
      <c r="A1492">
        <v>2491</v>
      </c>
      <c r="B1492" t="s">
        <v>10</v>
      </c>
      <c r="C1492" t="s">
        <v>7</v>
      </c>
      <c r="D1492" s="1">
        <v>45861</v>
      </c>
      <c r="E1492">
        <v>49</v>
      </c>
      <c r="F1492">
        <v>1</v>
      </c>
      <c r="G1492">
        <f>IF(Gym_Expansion_Data[[#This Row],[Churned]]=0,1,0)</f>
        <v>0</v>
      </c>
      <c r="H1492" t="str">
        <f>IF(Gym_Expansion_Data[[#This Row],[Active Member]]=1,Gym_Expansion_Data[[#This Row],[Tier]],"Inactive")</f>
        <v>Inactive</v>
      </c>
    </row>
    <row r="1493" spans="1:8" x14ac:dyDescent="0.2">
      <c r="A1493">
        <v>2492</v>
      </c>
      <c r="B1493" t="s">
        <v>9</v>
      </c>
      <c r="C1493" t="s">
        <v>8</v>
      </c>
      <c r="D1493" s="1">
        <v>45591</v>
      </c>
      <c r="E1493">
        <v>129</v>
      </c>
      <c r="F1493">
        <v>1</v>
      </c>
      <c r="G1493">
        <f>IF(Gym_Expansion_Data[[#This Row],[Churned]]=0,1,0)</f>
        <v>0</v>
      </c>
      <c r="H1493" t="str">
        <f>IF(Gym_Expansion_Data[[#This Row],[Active Member]]=1,Gym_Expansion_Data[[#This Row],[Tier]],"Inactive")</f>
        <v>Inactive</v>
      </c>
    </row>
    <row r="1494" spans="1:8" x14ac:dyDescent="0.2">
      <c r="A1494">
        <v>2493</v>
      </c>
      <c r="B1494" t="s">
        <v>9</v>
      </c>
      <c r="C1494" t="s">
        <v>12</v>
      </c>
      <c r="D1494" s="1">
        <v>45524</v>
      </c>
      <c r="E1494">
        <v>89</v>
      </c>
      <c r="F1494">
        <v>1</v>
      </c>
      <c r="G1494">
        <f>IF(Gym_Expansion_Data[[#This Row],[Churned]]=0,1,0)</f>
        <v>0</v>
      </c>
      <c r="H1494" t="str">
        <f>IF(Gym_Expansion_Data[[#This Row],[Active Member]]=1,Gym_Expansion_Data[[#This Row],[Tier]],"Inactive")</f>
        <v>Inactive</v>
      </c>
    </row>
    <row r="1495" spans="1:8" x14ac:dyDescent="0.2">
      <c r="A1495">
        <v>2494</v>
      </c>
      <c r="B1495" t="s">
        <v>11</v>
      </c>
      <c r="C1495" t="s">
        <v>7</v>
      </c>
      <c r="D1495" s="1">
        <v>45328</v>
      </c>
      <c r="E1495">
        <v>49</v>
      </c>
      <c r="F1495">
        <v>0</v>
      </c>
      <c r="G1495">
        <f>IF(Gym_Expansion_Data[[#This Row],[Churned]]=0,1,0)</f>
        <v>1</v>
      </c>
      <c r="H1495" t="str">
        <f>IF(Gym_Expansion_Data[[#This Row],[Active Member]]=1,Gym_Expansion_Data[[#This Row],[Tier]],"Inactive")</f>
        <v>Basic</v>
      </c>
    </row>
    <row r="1496" spans="1:8" x14ac:dyDescent="0.2">
      <c r="A1496">
        <v>2495</v>
      </c>
      <c r="B1496" t="s">
        <v>11</v>
      </c>
      <c r="C1496" t="s">
        <v>7</v>
      </c>
      <c r="D1496" s="1">
        <v>45580</v>
      </c>
      <c r="E1496">
        <v>49</v>
      </c>
      <c r="F1496">
        <v>0</v>
      </c>
      <c r="G1496">
        <f>IF(Gym_Expansion_Data[[#This Row],[Churned]]=0,1,0)</f>
        <v>1</v>
      </c>
      <c r="H1496" t="str">
        <f>IF(Gym_Expansion_Data[[#This Row],[Active Member]]=1,Gym_Expansion_Data[[#This Row],[Tier]],"Inactive")</f>
        <v>Basic</v>
      </c>
    </row>
    <row r="1497" spans="1:8" x14ac:dyDescent="0.2">
      <c r="A1497">
        <v>2496</v>
      </c>
      <c r="B1497" t="s">
        <v>10</v>
      </c>
      <c r="C1497" t="s">
        <v>7</v>
      </c>
      <c r="D1497" s="1">
        <v>45782</v>
      </c>
      <c r="E1497">
        <v>49</v>
      </c>
      <c r="F1497">
        <v>0</v>
      </c>
      <c r="G1497">
        <f>IF(Gym_Expansion_Data[[#This Row],[Churned]]=0,1,0)</f>
        <v>1</v>
      </c>
      <c r="H1497" t="str">
        <f>IF(Gym_Expansion_Data[[#This Row],[Active Member]]=1,Gym_Expansion_Data[[#This Row],[Tier]],"Inactive")</f>
        <v>Basic</v>
      </c>
    </row>
    <row r="1498" spans="1:8" x14ac:dyDescent="0.2">
      <c r="A1498">
        <v>2497</v>
      </c>
      <c r="B1498" t="s">
        <v>10</v>
      </c>
      <c r="C1498" t="s">
        <v>12</v>
      </c>
      <c r="D1498" s="1">
        <v>45716</v>
      </c>
      <c r="E1498">
        <v>89</v>
      </c>
      <c r="F1498">
        <v>0</v>
      </c>
      <c r="G1498">
        <f>IF(Gym_Expansion_Data[[#This Row],[Churned]]=0,1,0)</f>
        <v>1</v>
      </c>
      <c r="H1498" t="str">
        <f>IF(Gym_Expansion_Data[[#This Row],[Active Member]]=1,Gym_Expansion_Data[[#This Row],[Tier]],"Inactive")</f>
        <v>Premium</v>
      </c>
    </row>
    <row r="1499" spans="1:8" x14ac:dyDescent="0.2">
      <c r="A1499">
        <v>2498</v>
      </c>
      <c r="B1499" t="s">
        <v>10</v>
      </c>
      <c r="C1499" t="s">
        <v>12</v>
      </c>
      <c r="D1499" s="1">
        <v>45611</v>
      </c>
      <c r="E1499">
        <v>89</v>
      </c>
      <c r="F1499">
        <v>0</v>
      </c>
      <c r="G1499">
        <f>IF(Gym_Expansion_Data[[#This Row],[Churned]]=0,1,0)</f>
        <v>1</v>
      </c>
      <c r="H1499" t="str">
        <f>IF(Gym_Expansion_Data[[#This Row],[Active Member]]=1,Gym_Expansion_Data[[#This Row],[Tier]],"Inactive")</f>
        <v>Premium</v>
      </c>
    </row>
    <row r="1500" spans="1:8" x14ac:dyDescent="0.2">
      <c r="A1500">
        <v>2499</v>
      </c>
      <c r="B1500" t="s">
        <v>9</v>
      </c>
      <c r="C1500" t="s">
        <v>12</v>
      </c>
      <c r="D1500" s="1">
        <v>45898</v>
      </c>
      <c r="E1500">
        <v>89</v>
      </c>
      <c r="F1500">
        <v>0</v>
      </c>
      <c r="G1500">
        <f>IF(Gym_Expansion_Data[[#This Row],[Churned]]=0,1,0)</f>
        <v>1</v>
      </c>
      <c r="H1500" t="str">
        <f>IF(Gym_Expansion_Data[[#This Row],[Active Member]]=1,Gym_Expansion_Data[[#This Row],[Tier]],"Inactive")</f>
        <v>Premium</v>
      </c>
    </row>
    <row r="1501" spans="1:8" x14ac:dyDescent="0.2">
      <c r="A1501">
        <v>2500</v>
      </c>
      <c r="B1501" t="s">
        <v>9</v>
      </c>
      <c r="C1501" t="s">
        <v>7</v>
      </c>
      <c r="D1501" s="1">
        <v>45887</v>
      </c>
      <c r="E1501">
        <v>49</v>
      </c>
      <c r="F1501">
        <v>0</v>
      </c>
      <c r="G1501">
        <f>IF(Gym_Expansion_Data[[#This Row],[Churned]]=0,1,0)</f>
        <v>1</v>
      </c>
      <c r="H1501" t="str">
        <f>IF(Gym_Expansion_Data[[#This Row],[Active Member]]=1,Gym_Expansion_Data[[#This Row],[Tier]],"Inactive")</f>
        <v>Basic</v>
      </c>
    </row>
    <row r="1502" spans="1:8" x14ac:dyDescent="0.2">
      <c r="A1502">
        <v>2501</v>
      </c>
      <c r="B1502" t="s">
        <v>9</v>
      </c>
      <c r="C1502" t="s">
        <v>12</v>
      </c>
      <c r="D1502" s="1">
        <v>45465</v>
      </c>
      <c r="E1502">
        <v>89</v>
      </c>
      <c r="F1502">
        <v>1</v>
      </c>
      <c r="G1502">
        <f>IF(Gym_Expansion_Data[[#This Row],[Churned]]=0,1,0)</f>
        <v>0</v>
      </c>
      <c r="H1502" t="str">
        <f>IF(Gym_Expansion_Data[[#This Row],[Active Member]]=1,Gym_Expansion_Data[[#This Row],[Tier]],"Inactive")</f>
        <v>Inactive</v>
      </c>
    </row>
    <row r="1503" spans="1:8" x14ac:dyDescent="0.2">
      <c r="A1503">
        <v>2502</v>
      </c>
      <c r="B1503" t="s">
        <v>6</v>
      </c>
      <c r="C1503" t="s">
        <v>8</v>
      </c>
      <c r="D1503" s="1">
        <v>45619</v>
      </c>
      <c r="E1503">
        <v>129</v>
      </c>
      <c r="F1503">
        <v>0</v>
      </c>
      <c r="G1503">
        <f>IF(Gym_Expansion_Data[[#This Row],[Churned]]=0,1,0)</f>
        <v>1</v>
      </c>
      <c r="H1503" t="str">
        <f>IF(Gym_Expansion_Data[[#This Row],[Active Member]]=1,Gym_Expansion_Data[[#This Row],[Tier]],"Inactive")</f>
        <v>Elite</v>
      </c>
    </row>
    <row r="1504" spans="1:8" x14ac:dyDescent="0.2">
      <c r="A1504">
        <v>2503</v>
      </c>
      <c r="B1504" t="s">
        <v>9</v>
      </c>
      <c r="C1504" t="s">
        <v>7</v>
      </c>
      <c r="D1504" s="1">
        <v>45928</v>
      </c>
      <c r="E1504">
        <v>49</v>
      </c>
      <c r="F1504">
        <v>0</v>
      </c>
      <c r="G1504">
        <f>IF(Gym_Expansion_Data[[#This Row],[Churned]]=0,1,0)</f>
        <v>1</v>
      </c>
      <c r="H1504" t="str">
        <f>IF(Gym_Expansion_Data[[#This Row],[Active Member]]=1,Gym_Expansion_Data[[#This Row],[Tier]],"Inactive")</f>
        <v>Basic</v>
      </c>
    </row>
    <row r="1505" spans="1:8" x14ac:dyDescent="0.2">
      <c r="A1505">
        <v>2504</v>
      </c>
      <c r="B1505" t="s">
        <v>6</v>
      </c>
      <c r="C1505" t="s">
        <v>8</v>
      </c>
      <c r="D1505" s="1">
        <v>45661</v>
      </c>
      <c r="E1505">
        <v>129</v>
      </c>
      <c r="F1505">
        <v>0</v>
      </c>
      <c r="G1505">
        <f>IF(Gym_Expansion_Data[[#This Row],[Churned]]=0,1,0)</f>
        <v>1</v>
      </c>
      <c r="H1505" t="str">
        <f>IF(Gym_Expansion_Data[[#This Row],[Active Member]]=1,Gym_Expansion_Data[[#This Row],[Tier]],"Inactive")</f>
        <v>Elite</v>
      </c>
    </row>
    <row r="1506" spans="1:8" x14ac:dyDescent="0.2">
      <c r="A1506">
        <v>2505</v>
      </c>
      <c r="B1506" t="s">
        <v>11</v>
      </c>
      <c r="C1506" t="s">
        <v>7</v>
      </c>
      <c r="D1506" s="1">
        <v>45527</v>
      </c>
      <c r="E1506">
        <v>49</v>
      </c>
      <c r="F1506">
        <v>0</v>
      </c>
      <c r="G1506">
        <f>IF(Gym_Expansion_Data[[#This Row],[Churned]]=0,1,0)</f>
        <v>1</v>
      </c>
      <c r="H1506" t="str">
        <f>IF(Gym_Expansion_Data[[#This Row],[Active Member]]=1,Gym_Expansion_Data[[#This Row],[Tier]],"Inactive")</f>
        <v>Basic</v>
      </c>
    </row>
    <row r="1507" spans="1:8" x14ac:dyDescent="0.2">
      <c r="A1507">
        <v>2506</v>
      </c>
      <c r="B1507" t="s">
        <v>10</v>
      </c>
      <c r="C1507" t="s">
        <v>7</v>
      </c>
      <c r="D1507" s="1">
        <v>45468</v>
      </c>
      <c r="E1507">
        <v>49</v>
      </c>
      <c r="F1507">
        <v>0</v>
      </c>
      <c r="G1507">
        <f>IF(Gym_Expansion_Data[[#This Row],[Churned]]=0,1,0)</f>
        <v>1</v>
      </c>
      <c r="H1507" t="str">
        <f>IF(Gym_Expansion_Data[[#This Row],[Active Member]]=1,Gym_Expansion_Data[[#This Row],[Tier]],"Inactive")</f>
        <v>Basic</v>
      </c>
    </row>
    <row r="1508" spans="1:8" x14ac:dyDescent="0.2">
      <c r="A1508">
        <v>2507</v>
      </c>
      <c r="B1508" t="s">
        <v>11</v>
      </c>
      <c r="C1508" t="s">
        <v>7</v>
      </c>
      <c r="D1508" s="1">
        <v>45751</v>
      </c>
      <c r="E1508">
        <v>49</v>
      </c>
      <c r="F1508">
        <v>0</v>
      </c>
      <c r="G1508">
        <f>IF(Gym_Expansion_Data[[#This Row],[Churned]]=0,1,0)</f>
        <v>1</v>
      </c>
      <c r="H1508" t="str">
        <f>IF(Gym_Expansion_Data[[#This Row],[Active Member]]=1,Gym_Expansion_Data[[#This Row],[Tier]],"Inactive")</f>
        <v>Basic</v>
      </c>
    </row>
    <row r="1509" spans="1:8" x14ac:dyDescent="0.2">
      <c r="A1509">
        <v>2508</v>
      </c>
      <c r="B1509" t="s">
        <v>9</v>
      </c>
      <c r="C1509" t="s">
        <v>7</v>
      </c>
      <c r="D1509" s="1">
        <v>45305</v>
      </c>
      <c r="E1509">
        <v>49</v>
      </c>
      <c r="F1509">
        <v>0</v>
      </c>
      <c r="G1509">
        <f>IF(Gym_Expansion_Data[[#This Row],[Churned]]=0,1,0)</f>
        <v>1</v>
      </c>
      <c r="H1509" t="str">
        <f>IF(Gym_Expansion_Data[[#This Row],[Active Member]]=1,Gym_Expansion_Data[[#This Row],[Tier]],"Inactive")</f>
        <v>Basic</v>
      </c>
    </row>
    <row r="1510" spans="1:8" x14ac:dyDescent="0.2">
      <c r="A1510">
        <v>2509</v>
      </c>
      <c r="B1510" t="s">
        <v>9</v>
      </c>
      <c r="C1510" t="s">
        <v>7</v>
      </c>
      <c r="D1510" s="1">
        <v>45486</v>
      </c>
      <c r="E1510">
        <v>49</v>
      </c>
      <c r="F1510">
        <v>0</v>
      </c>
      <c r="G1510">
        <f>IF(Gym_Expansion_Data[[#This Row],[Churned]]=0,1,0)</f>
        <v>1</v>
      </c>
      <c r="H1510" t="str">
        <f>IF(Gym_Expansion_Data[[#This Row],[Active Member]]=1,Gym_Expansion_Data[[#This Row],[Tier]],"Inactive")</f>
        <v>Basic</v>
      </c>
    </row>
    <row r="1511" spans="1:8" x14ac:dyDescent="0.2">
      <c r="A1511">
        <v>2510</v>
      </c>
      <c r="B1511" t="s">
        <v>11</v>
      </c>
      <c r="C1511" t="s">
        <v>8</v>
      </c>
      <c r="D1511" s="1">
        <v>45663</v>
      </c>
      <c r="E1511">
        <v>129</v>
      </c>
      <c r="F1511">
        <v>1</v>
      </c>
      <c r="G1511">
        <f>IF(Gym_Expansion_Data[[#This Row],[Churned]]=0,1,0)</f>
        <v>0</v>
      </c>
      <c r="H1511" t="str">
        <f>IF(Gym_Expansion_Data[[#This Row],[Active Member]]=1,Gym_Expansion_Data[[#This Row],[Tier]],"Inactive")</f>
        <v>Inactive</v>
      </c>
    </row>
    <row r="1512" spans="1:8" x14ac:dyDescent="0.2">
      <c r="A1512">
        <v>2511</v>
      </c>
      <c r="B1512" t="s">
        <v>10</v>
      </c>
      <c r="C1512" t="s">
        <v>12</v>
      </c>
      <c r="D1512" s="1">
        <v>45587</v>
      </c>
      <c r="E1512">
        <v>89</v>
      </c>
      <c r="F1512">
        <v>0</v>
      </c>
      <c r="G1512">
        <f>IF(Gym_Expansion_Data[[#This Row],[Churned]]=0,1,0)</f>
        <v>1</v>
      </c>
      <c r="H1512" t="str">
        <f>IF(Gym_Expansion_Data[[#This Row],[Active Member]]=1,Gym_Expansion_Data[[#This Row],[Tier]],"Inactive")</f>
        <v>Premium</v>
      </c>
    </row>
    <row r="1513" spans="1:8" x14ac:dyDescent="0.2">
      <c r="A1513">
        <v>2512</v>
      </c>
      <c r="B1513" t="s">
        <v>9</v>
      </c>
      <c r="C1513" t="s">
        <v>7</v>
      </c>
      <c r="D1513" s="1">
        <v>45294</v>
      </c>
      <c r="E1513">
        <v>49</v>
      </c>
      <c r="F1513">
        <v>0</v>
      </c>
      <c r="G1513">
        <f>IF(Gym_Expansion_Data[[#This Row],[Churned]]=0,1,0)</f>
        <v>1</v>
      </c>
      <c r="H1513" t="str">
        <f>IF(Gym_Expansion_Data[[#This Row],[Active Member]]=1,Gym_Expansion_Data[[#This Row],[Tier]],"Inactive")</f>
        <v>Basic</v>
      </c>
    </row>
    <row r="1514" spans="1:8" x14ac:dyDescent="0.2">
      <c r="A1514">
        <v>2513</v>
      </c>
      <c r="B1514" t="s">
        <v>10</v>
      </c>
      <c r="C1514" t="s">
        <v>7</v>
      </c>
      <c r="D1514" s="1">
        <v>45387</v>
      </c>
      <c r="E1514">
        <v>49</v>
      </c>
      <c r="F1514">
        <v>1</v>
      </c>
      <c r="G1514">
        <f>IF(Gym_Expansion_Data[[#This Row],[Churned]]=0,1,0)</f>
        <v>0</v>
      </c>
      <c r="H1514" t="str">
        <f>IF(Gym_Expansion_Data[[#This Row],[Active Member]]=1,Gym_Expansion_Data[[#This Row],[Tier]],"Inactive")</f>
        <v>Inactive</v>
      </c>
    </row>
    <row r="1515" spans="1:8" x14ac:dyDescent="0.2">
      <c r="A1515">
        <v>2514</v>
      </c>
      <c r="B1515" t="s">
        <v>9</v>
      </c>
      <c r="C1515" t="s">
        <v>7</v>
      </c>
      <c r="D1515" s="1">
        <v>45430</v>
      </c>
      <c r="E1515">
        <v>49</v>
      </c>
      <c r="F1515">
        <v>1</v>
      </c>
      <c r="G1515">
        <f>IF(Gym_Expansion_Data[[#This Row],[Churned]]=0,1,0)</f>
        <v>0</v>
      </c>
      <c r="H1515" t="str">
        <f>IF(Gym_Expansion_Data[[#This Row],[Active Member]]=1,Gym_Expansion_Data[[#This Row],[Tier]],"Inactive")</f>
        <v>Inactive</v>
      </c>
    </row>
    <row r="1516" spans="1:8" x14ac:dyDescent="0.2">
      <c r="A1516">
        <v>2515</v>
      </c>
      <c r="B1516" t="s">
        <v>6</v>
      </c>
      <c r="C1516" t="s">
        <v>7</v>
      </c>
      <c r="D1516" s="1">
        <v>45515</v>
      </c>
      <c r="E1516">
        <v>49</v>
      </c>
      <c r="F1516">
        <v>1</v>
      </c>
      <c r="G1516">
        <f>IF(Gym_Expansion_Data[[#This Row],[Churned]]=0,1,0)</f>
        <v>0</v>
      </c>
      <c r="H1516" t="str">
        <f>IF(Gym_Expansion_Data[[#This Row],[Active Member]]=1,Gym_Expansion_Data[[#This Row],[Tier]],"Inactive")</f>
        <v>Inactive</v>
      </c>
    </row>
    <row r="1517" spans="1:8" x14ac:dyDescent="0.2">
      <c r="A1517">
        <v>2516</v>
      </c>
      <c r="B1517" t="s">
        <v>9</v>
      </c>
      <c r="C1517" t="s">
        <v>12</v>
      </c>
      <c r="D1517" s="1">
        <v>45462</v>
      </c>
      <c r="E1517">
        <v>89</v>
      </c>
      <c r="F1517">
        <v>0</v>
      </c>
      <c r="G1517">
        <f>IF(Gym_Expansion_Data[[#This Row],[Churned]]=0,1,0)</f>
        <v>1</v>
      </c>
      <c r="H1517" t="str">
        <f>IF(Gym_Expansion_Data[[#This Row],[Active Member]]=1,Gym_Expansion_Data[[#This Row],[Tier]],"Inactive")</f>
        <v>Premium</v>
      </c>
    </row>
    <row r="1518" spans="1:8" x14ac:dyDescent="0.2">
      <c r="A1518">
        <v>2517</v>
      </c>
      <c r="B1518" t="s">
        <v>11</v>
      </c>
      <c r="C1518" t="s">
        <v>7</v>
      </c>
      <c r="D1518" s="1">
        <v>45523</v>
      </c>
      <c r="E1518">
        <v>49</v>
      </c>
      <c r="F1518">
        <v>0</v>
      </c>
      <c r="G1518">
        <f>IF(Gym_Expansion_Data[[#This Row],[Churned]]=0,1,0)</f>
        <v>1</v>
      </c>
      <c r="H1518" t="str">
        <f>IF(Gym_Expansion_Data[[#This Row],[Active Member]]=1,Gym_Expansion_Data[[#This Row],[Tier]],"Inactive")</f>
        <v>Basic</v>
      </c>
    </row>
    <row r="1519" spans="1:8" x14ac:dyDescent="0.2">
      <c r="A1519">
        <v>2518</v>
      </c>
      <c r="B1519" t="s">
        <v>9</v>
      </c>
      <c r="C1519" t="s">
        <v>8</v>
      </c>
      <c r="D1519" s="1">
        <v>45642</v>
      </c>
      <c r="E1519">
        <v>129</v>
      </c>
      <c r="F1519">
        <v>0</v>
      </c>
      <c r="G1519">
        <f>IF(Gym_Expansion_Data[[#This Row],[Churned]]=0,1,0)</f>
        <v>1</v>
      </c>
      <c r="H1519" t="str">
        <f>IF(Gym_Expansion_Data[[#This Row],[Active Member]]=1,Gym_Expansion_Data[[#This Row],[Tier]],"Inactive")</f>
        <v>Elite</v>
      </c>
    </row>
    <row r="1520" spans="1:8" x14ac:dyDescent="0.2">
      <c r="A1520">
        <v>2519</v>
      </c>
      <c r="B1520" t="s">
        <v>11</v>
      </c>
      <c r="C1520" t="s">
        <v>12</v>
      </c>
      <c r="D1520" s="1">
        <v>45839</v>
      </c>
      <c r="E1520">
        <v>89</v>
      </c>
      <c r="F1520">
        <v>0</v>
      </c>
      <c r="G1520">
        <f>IF(Gym_Expansion_Data[[#This Row],[Churned]]=0,1,0)</f>
        <v>1</v>
      </c>
      <c r="H1520" t="str">
        <f>IF(Gym_Expansion_Data[[#This Row],[Active Member]]=1,Gym_Expansion_Data[[#This Row],[Tier]],"Inactive")</f>
        <v>Premium</v>
      </c>
    </row>
    <row r="1521" spans="1:8" x14ac:dyDescent="0.2">
      <c r="A1521">
        <v>2520</v>
      </c>
      <c r="B1521" t="s">
        <v>6</v>
      </c>
      <c r="C1521" t="s">
        <v>12</v>
      </c>
      <c r="D1521" s="1">
        <v>45679</v>
      </c>
      <c r="E1521">
        <v>89</v>
      </c>
      <c r="F1521">
        <v>1</v>
      </c>
      <c r="G1521">
        <f>IF(Gym_Expansion_Data[[#This Row],[Churned]]=0,1,0)</f>
        <v>0</v>
      </c>
      <c r="H1521" t="str">
        <f>IF(Gym_Expansion_Data[[#This Row],[Active Member]]=1,Gym_Expansion_Data[[#This Row],[Tier]],"Inactive")</f>
        <v>Inactive</v>
      </c>
    </row>
    <row r="1522" spans="1:8" x14ac:dyDescent="0.2">
      <c r="A1522">
        <v>2521</v>
      </c>
      <c r="B1522" t="s">
        <v>10</v>
      </c>
      <c r="C1522" t="s">
        <v>7</v>
      </c>
      <c r="D1522" s="1">
        <v>45549</v>
      </c>
      <c r="E1522">
        <v>49</v>
      </c>
      <c r="F1522">
        <v>0</v>
      </c>
      <c r="G1522">
        <f>IF(Gym_Expansion_Data[[#This Row],[Churned]]=0,1,0)</f>
        <v>1</v>
      </c>
      <c r="H1522" t="str">
        <f>IF(Gym_Expansion_Data[[#This Row],[Active Member]]=1,Gym_Expansion_Data[[#This Row],[Tier]],"Inactive")</f>
        <v>Basic</v>
      </c>
    </row>
    <row r="1523" spans="1:8" x14ac:dyDescent="0.2">
      <c r="A1523">
        <v>2522</v>
      </c>
      <c r="B1523" t="s">
        <v>11</v>
      </c>
      <c r="C1523" t="s">
        <v>12</v>
      </c>
      <c r="D1523" s="1">
        <v>45701</v>
      </c>
      <c r="E1523">
        <v>89</v>
      </c>
      <c r="F1523">
        <v>0</v>
      </c>
      <c r="G1523">
        <f>IF(Gym_Expansion_Data[[#This Row],[Churned]]=0,1,0)</f>
        <v>1</v>
      </c>
      <c r="H1523" t="str">
        <f>IF(Gym_Expansion_Data[[#This Row],[Active Member]]=1,Gym_Expansion_Data[[#This Row],[Tier]],"Inactive")</f>
        <v>Premium</v>
      </c>
    </row>
    <row r="1524" spans="1:8" x14ac:dyDescent="0.2">
      <c r="A1524">
        <v>2523</v>
      </c>
      <c r="B1524" t="s">
        <v>11</v>
      </c>
      <c r="C1524" t="s">
        <v>12</v>
      </c>
      <c r="D1524" s="1">
        <v>45720</v>
      </c>
      <c r="E1524">
        <v>89</v>
      </c>
      <c r="F1524">
        <v>0</v>
      </c>
      <c r="G1524">
        <f>IF(Gym_Expansion_Data[[#This Row],[Churned]]=0,1,0)</f>
        <v>1</v>
      </c>
      <c r="H1524" t="str">
        <f>IF(Gym_Expansion_Data[[#This Row],[Active Member]]=1,Gym_Expansion_Data[[#This Row],[Tier]],"Inactive")</f>
        <v>Premium</v>
      </c>
    </row>
    <row r="1525" spans="1:8" x14ac:dyDescent="0.2">
      <c r="A1525">
        <v>2524</v>
      </c>
      <c r="B1525" t="s">
        <v>10</v>
      </c>
      <c r="C1525" t="s">
        <v>7</v>
      </c>
      <c r="D1525" s="1">
        <v>45612</v>
      </c>
      <c r="E1525">
        <v>49</v>
      </c>
      <c r="F1525">
        <v>1</v>
      </c>
      <c r="G1525">
        <f>IF(Gym_Expansion_Data[[#This Row],[Churned]]=0,1,0)</f>
        <v>0</v>
      </c>
      <c r="H1525" t="str">
        <f>IF(Gym_Expansion_Data[[#This Row],[Active Member]]=1,Gym_Expansion_Data[[#This Row],[Tier]],"Inactive")</f>
        <v>Inactive</v>
      </c>
    </row>
    <row r="1526" spans="1:8" x14ac:dyDescent="0.2">
      <c r="A1526">
        <v>2525</v>
      </c>
      <c r="B1526" t="s">
        <v>11</v>
      </c>
      <c r="C1526" t="s">
        <v>12</v>
      </c>
      <c r="D1526" s="1">
        <v>45469</v>
      </c>
      <c r="E1526">
        <v>89</v>
      </c>
      <c r="F1526">
        <v>0</v>
      </c>
      <c r="G1526">
        <f>IF(Gym_Expansion_Data[[#This Row],[Churned]]=0,1,0)</f>
        <v>1</v>
      </c>
      <c r="H1526" t="str">
        <f>IF(Gym_Expansion_Data[[#This Row],[Active Member]]=1,Gym_Expansion_Data[[#This Row],[Tier]],"Inactive")</f>
        <v>Premium</v>
      </c>
    </row>
    <row r="1527" spans="1:8" x14ac:dyDescent="0.2">
      <c r="A1527">
        <v>2526</v>
      </c>
      <c r="B1527" t="s">
        <v>9</v>
      </c>
      <c r="C1527" t="s">
        <v>7</v>
      </c>
      <c r="D1527" s="1">
        <v>45455</v>
      </c>
      <c r="E1527">
        <v>49</v>
      </c>
      <c r="F1527">
        <v>0</v>
      </c>
      <c r="G1527">
        <f>IF(Gym_Expansion_Data[[#This Row],[Churned]]=0,1,0)</f>
        <v>1</v>
      </c>
      <c r="H1527" t="str">
        <f>IF(Gym_Expansion_Data[[#This Row],[Active Member]]=1,Gym_Expansion_Data[[#This Row],[Tier]],"Inactive")</f>
        <v>Basic</v>
      </c>
    </row>
    <row r="1528" spans="1:8" x14ac:dyDescent="0.2">
      <c r="A1528">
        <v>2527</v>
      </c>
      <c r="B1528" t="s">
        <v>11</v>
      </c>
      <c r="C1528" t="s">
        <v>7</v>
      </c>
      <c r="D1528" s="1">
        <v>45645</v>
      </c>
      <c r="E1528">
        <v>49</v>
      </c>
      <c r="F1528">
        <v>1</v>
      </c>
      <c r="G1528">
        <f>IF(Gym_Expansion_Data[[#This Row],[Churned]]=0,1,0)</f>
        <v>0</v>
      </c>
      <c r="H1528" t="str">
        <f>IF(Gym_Expansion_Data[[#This Row],[Active Member]]=1,Gym_Expansion_Data[[#This Row],[Tier]],"Inactive")</f>
        <v>Inactive</v>
      </c>
    </row>
    <row r="1529" spans="1:8" x14ac:dyDescent="0.2">
      <c r="A1529">
        <v>2528</v>
      </c>
      <c r="B1529" t="s">
        <v>10</v>
      </c>
      <c r="C1529" t="s">
        <v>12</v>
      </c>
      <c r="D1529" s="1">
        <v>45557</v>
      </c>
      <c r="E1529">
        <v>89</v>
      </c>
      <c r="F1529">
        <v>0</v>
      </c>
      <c r="G1529">
        <f>IF(Gym_Expansion_Data[[#This Row],[Churned]]=0,1,0)</f>
        <v>1</v>
      </c>
      <c r="H1529" t="str">
        <f>IF(Gym_Expansion_Data[[#This Row],[Active Member]]=1,Gym_Expansion_Data[[#This Row],[Tier]],"Inactive")</f>
        <v>Premium</v>
      </c>
    </row>
    <row r="1530" spans="1:8" x14ac:dyDescent="0.2">
      <c r="A1530">
        <v>2529</v>
      </c>
      <c r="B1530" t="s">
        <v>10</v>
      </c>
      <c r="C1530" t="s">
        <v>7</v>
      </c>
      <c r="D1530" s="1">
        <v>45509</v>
      </c>
      <c r="E1530">
        <v>49</v>
      </c>
      <c r="F1530">
        <v>0</v>
      </c>
      <c r="G1530">
        <f>IF(Gym_Expansion_Data[[#This Row],[Churned]]=0,1,0)</f>
        <v>1</v>
      </c>
      <c r="H1530" t="str">
        <f>IF(Gym_Expansion_Data[[#This Row],[Active Member]]=1,Gym_Expansion_Data[[#This Row],[Tier]],"Inactive")</f>
        <v>Basic</v>
      </c>
    </row>
    <row r="1531" spans="1:8" x14ac:dyDescent="0.2">
      <c r="A1531">
        <v>2530</v>
      </c>
      <c r="B1531" t="s">
        <v>6</v>
      </c>
      <c r="C1531" t="s">
        <v>7</v>
      </c>
      <c r="D1531" s="1">
        <v>45992</v>
      </c>
      <c r="E1531">
        <v>49</v>
      </c>
      <c r="F1531">
        <v>0</v>
      </c>
      <c r="G1531">
        <f>IF(Gym_Expansion_Data[[#This Row],[Churned]]=0,1,0)</f>
        <v>1</v>
      </c>
      <c r="H1531" t="str">
        <f>IF(Gym_Expansion_Data[[#This Row],[Active Member]]=1,Gym_Expansion_Data[[#This Row],[Tier]],"Inactive")</f>
        <v>Basic</v>
      </c>
    </row>
    <row r="1532" spans="1:8" x14ac:dyDescent="0.2">
      <c r="A1532">
        <v>2531</v>
      </c>
      <c r="B1532" t="s">
        <v>9</v>
      </c>
      <c r="C1532" t="s">
        <v>8</v>
      </c>
      <c r="D1532" s="1">
        <v>45369</v>
      </c>
      <c r="E1532">
        <v>129</v>
      </c>
      <c r="F1532">
        <v>0</v>
      </c>
      <c r="G1532">
        <f>IF(Gym_Expansion_Data[[#This Row],[Churned]]=0,1,0)</f>
        <v>1</v>
      </c>
      <c r="H1532" t="str">
        <f>IF(Gym_Expansion_Data[[#This Row],[Active Member]]=1,Gym_Expansion_Data[[#This Row],[Tier]],"Inactive")</f>
        <v>Elite</v>
      </c>
    </row>
    <row r="1533" spans="1:8" x14ac:dyDescent="0.2">
      <c r="A1533">
        <v>2532</v>
      </c>
      <c r="B1533" t="s">
        <v>6</v>
      </c>
      <c r="C1533" t="s">
        <v>8</v>
      </c>
      <c r="D1533" s="1">
        <v>45699</v>
      </c>
      <c r="E1533">
        <v>129</v>
      </c>
      <c r="F1533">
        <v>0</v>
      </c>
      <c r="G1533">
        <f>IF(Gym_Expansion_Data[[#This Row],[Churned]]=0,1,0)</f>
        <v>1</v>
      </c>
      <c r="H1533" t="str">
        <f>IF(Gym_Expansion_Data[[#This Row],[Active Member]]=1,Gym_Expansion_Data[[#This Row],[Tier]],"Inactive")</f>
        <v>Elite</v>
      </c>
    </row>
    <row r="1534" spans="1:8" x14ac:dyDescent="0.2">
      <c r="A1534">
        <v>2533</v>
      </c>
      <c r="B1534" t="s">
        <v>9</v>
      </c>
      <c r="C1534" t="s">
        <v>8</v>
      </c>
      <c r="D1534" s="1">
        <v>45474</v>
      </c>
      <c r="E1534">
        <v>129</v>
      </c>
      <c r="F1534">
        <v>0</v>
      </c>
      <c r="G1534">
        <f>IF(Gym_Expansion_Data[[#This Row],[Churned]]=0,1,0)</f>
        <v>1</v>
      </c>
      <c r="H1534" t="str">
        <f>IF(Gym_Expansion_Data[[#This Row],[Active Member]]=1,Gym_Expansion_Data[[#This Row],[Tier]],"Inactive")</f>
        <v>Elite</v>
      </c>
    </row>
    <row r="1535" spans="1:8" x14ac:dyDescent="0.2">
      <c r="A1535">
        <v>2534</v>
      </c>
      <c r="B1535" t="s">
        <v>10</v>
      </c>
      <c r="C1535" t="s">
        <v>8</v>
      </c>
      <c r="D1535" s="1">
        <v>45681</v>
      </c>
      <c r="E1535">
        <v>129</v>
      </c>
      <c r="F1535">
        <v>0</v>
      </c>
      <c r="G1535">
        <f>IF(Gym_Expansion_Data[[#This Row],[Churned]]=0,1,0)</f>
        <v>1</v>
      </c>
      <c r="H1535" t="str">
        <f>IF(Gym_Expansion_Data[[#This Row],[Active Member]]=1,Gym_Expansion_Data[[#This Row],[Tier]],"Inactive")</f>
        <v>Elite</v>
      </c>
    </row>
    <row r="1536" spans="1:8" x14ac:dyDescent="0.2">
      <c r="A1536">
        <v>2535</v>
      </c>
      <c r="B1536" t="s">
        <v>9</v>
      </c>
      <c r="C1536" t="s">
        <v>8</v>
      </c>
      <c r="D1536" s="1">
        <v>45335</v>
      </c>
      <c r="E1536">
        <v>129</v>
      </c>
      <c r="F1536">
        <v>0</v>
      </c>
      <c r="G1536">
        <f>IF(Gym_Expansion_Data[[#This Row],[Churned]]=0,1,0)</f>
        <v>1</v>
      </c>
      <c r="H1536" t="str">
        <f>IF(Gym_Expansion_Data[[#This Row],[Active Member]]=1,Gym_Expansion_Data[[#This Row],[Tier]],"Inactive")</f>
        <v>Elite</v>
      </c>
    </row>
    <row r="1537" spans="1:8" x14ac:dyDescent="0.2">
      <c r="A1537">
        <v>2536</v>
      </c>
      <c r="B1537" t="s">
        <v>6</v>
      </c>
      <c r="C1537" t="s">
        <v>12</v>
      </c>
      <c r="D1537" s="1">
        <v>45589</v>
      </c>
      <c r="E1537">
        <v>89</v>
      </c>
      <c r="F1537">
        <v>0</v>
      </c>
      <c r="G1537">
        <f>IF(Gym_Expansion_Data[[#This Row],[Churned]]=0,1,0)</f>
        <v>1</v>
      </c>
      <c r="H1537" t="str">
        <f>IF(Gym_Expansion_Data[[#This Row],[Active Member]]=1,Gym_Expansion_Data[[#This Row],[Tier]],"Inactive")</f>
        <v>Premium</v>
      </c>
    </row>
    <row r="1538" spans="1:8" x14ac:dyDescent="0.2">
      <c r="A1538">
        <v>2537</v>
      </c>
      <c r="B1538" t="s">
        <v>9</v>
      </c>
      <c r="C1538" t="s">
        <v>12</v>
      </c>
      <c r="D1538" s="1">
        <v>45921</v>
      </c>
      <c r="E1538">
        <v>89</v>
      </c>
      <c r="F1538">
        <v>0</v>
      </c>
      <c r="G1538">
        <f>IF(Gym_Expansion_Data[[#This Row],[Churned]]=0,1,0)</f>
        <v>1</v>
      </c>
      <c r="H1538" t="str">
        <f>IF(Gym_Expansion_Data[[#This Row],[Active Member]]=1,Gym_Expansion_Data[[#This Row],[Tier]],"Inactive")</f>
        <v>Premium</v>
      </c>
    </row>
    <row r="1539" spans="1:8" x14ac:dyDescent="0.2">
      <c r="A1539">
        <v>2538</v>
      </c>
      <c r="B1539" t="s">
        <v>9</v>
      </c>
      <c r="C1539" t="s">
        <v>7</v>
      </c>
      <c r="D1539" s="1">
        <v>45555</v>
      </c>
      <c r="E1539">
        <v>49</v>
      </c>
      <c r="F1539">
        <v>0</v>
      </c>
      <c r="G1539">
        <f>IF(Gym_Expansion_Data[[#This Row],[Churned]]=0,1,0)</f>
        <v>1</v>
      </c>
      <c r="H1539" t="str">
        <f>IF(Gym_Expansion_Data[[#This Row],[Active Member]]=1,Gym_Expansion_Data[[#This Row],[Tier]],"Inactive")</f>
        <v>Basic</v>
      </c>
    </row>
    <row r="1540" spans="1:8" x14ac:dyDescent="0.2">
      <c r="A1540">
        <v>2539</v>
      </c>
      <c r="B1540" t="s">
        <v>10</v>
      </c>
      <c r="C1540" t="s">
        <v>7</v>
      </c>
      <c r="D1540" s="1">
        <v>45589</v>
      </c>
      <c r="E1540">
        <v>49</v>
      </c>
      <c r="F1540">
        <v>0</v>
      </c>
      <c r="G1540">
        <f>IF(Gym_Expansion_Data[[#This Row],[Churned]]=0,1,0)</f>
        <v>1</v>
      </c>
      <c r="H1540" t="str">
        <f>IF(Gym_Expansion_Data[[#This Row],[Active Member]]=1,Gym_Expansion_Data[[#This Row],[Tier]],"Inactive")</f>
        <v>Basic</v>
      </c>
    </row>
    <row r="1541" spans="1:8" x14ac:dyDescent="0.2">
      <c r="A1541">
        <v>2540</v>
      </c>
      <c r="B1541" t="s">
        <v>10</v>
      </c>
      <c r="C1541" t="s">
        <v>12</v>
      </c>
      <c r="D1541" s="1">
        <v>45317</v>
      </c>
      <c r="E1541">
        <v>89</v>
      </c>
      <c r="F1541">
        <v>0</v>
      </c>
      <c r="G1541">
        <f>IF(Gym_Expansion_Data[[#This Row],[Churned]]=0,1,0)</f>
        <v>1</v>
      </c>
      <c r="H1541" t="str">
        <f>IF(Gym_Expansion_Data[[#This Row],[Active Member]]=1,Gym_Expansion_Data[[#This Row],[Tier]],"Inactive")</f>
        <v>Premium</v>
      </c>
    </row>
    <row r="1542" spans="1:8" x14ac:dyDescent="0.2">
      <c r="A1542">
        <v>2541</v>
      </c>
      <c r="B1542" t="s">
        <v>6</v>
      </c>
      <c r="C1542" t="s">
        <v>12</v>
      </c>
      <c r="D1542" s="1">
        <v>45444</v>
      </c>
      <c r="E1542">
        <v>89</v>
      </c>
      <c r="F1542">
        <v>0</v>
      </c>
      <c r="G1542">
        <f>IF(Gym_Expansion_Data[[#This Row],[Churned]]=0,1,0)</f>
        <v>1</v>
      </c>
      <c r="H1542" t="str">
        <f>IF(Gym_Expansion_Data[[#This Row],[Active Member]]=1,Gym_Expansion_Data[[#This Row],[Tier]],"Inactive")</f>
        <v>Premium</v>
      </c>
    </row>
    <row r="1543" spans="1:8" x14ac:dyDescent="0.2">
      <c r="A1543">
        <v>2542</v>
      </c>
      <c r="B1543" t="s">
        <v>10</v>
      </c>
      <c r="C1543" t="s">
        <v>7</v>
      </c>
      <c r="D1543" s="1">
        <v>45862</v>
      </c>
      <c r="E1543">
        <v>49</v>
      </c>
      <c r="F1543">
        <v>0</v>
      </c>
      <c r="G1543">
        <f>IF(Gym_Expansion_Data[[#This Row],[Churned]]=0,1,0)</f>
        <v>1</v>
      </c>
      <c r="H1543" t="str">
        <f>IF(Gym_Expansion_Data[[#This Row],[Active Member]]=1,Gym_Expansion_Data[[#This Row],[Tier]],"Inactive")</f>
        <v>Basic</v>
      </c>
    </row>
    <row r="1544" spans="1:8" x14ac:dyDescent="0.2">
      <c r="A1544">
        <v>2543</v>
      </c>
      <c r="B1544" t="s">
        <v>9</v>
      </c>
      <c r="C1544" t="s">
        <v>7</v>
      </c>
      <c r="D1544" s="1">
        <v>45494</v>
      </c>
      <c r="E1544">
        <v>49</v>
      </c>
      <c r="F1544">
        <v>0</v>
      </c>
      <c r="G1544">
        <f>IF(Gym_Expansion_Data[[#This Row],[Churned]]=0,1,0)</f>
        <v>1</v>
      </c>
      <c r="H1544" t="str">
        <f>IF(Gym_Expansion_Data[[#This Row],[Active Member]]=1,Gym_Expansion_Data[[#This Row],[Tier]],"Inactive")</f>
        <v>Basic</v>
      </c>
    </row>
    <row r="1545" spans="1:8" x14ac:dyDescent="0.2">
      <c r="A1545">
        <v>2544</v>
      </c>
      <c r="B1545" t="s">
        <v>9</v>
      </c>
      <c r="C1545" t="s">
        <v>7</v>
      </c>
      <c r="D1545" s="1">
        <v>45887</v>
      </c>
      <c r="E1545">
        <v>49</v>
      </c>
      <c r="F1545">
        <v>0</v>
      </c>
      <c r="G1545">
        <f>IF(Gym_Expansion_Data[[#This Row],[Churned]]=0,1,0)</f>
        <v>1</v>
      </c>
      <c r="H1545" t="str">
        <f>IF(Gym_Expansion_Data[[#This Row],[Active Member]]=1,Gym_Expansion_Data[[#This Row],[Tier]],"Inactive")</f>
        <v>Basic</v>
      </c>
    </row>
    <row r="1546" spans="1:8" x14ac:dyDescent="0.2">
      <c r="A1546">
        <v>2545</v>
      </c>
      <c r="B1546" t="s">
        <v>11</v>
      </c>
      <c r="C1546" t="s">
        <v>7</v>
      </c>
      <c r="D1546" s="1">
        <v>45541</v>
      </c>
      <c r="E1546">
        <v>49</v>
      </c>
      <c r="F1546">
        <v>1</v>
      </c>
      <c r="G1546">
        <f>IF(Gym_Expansion_Data[[#This Row],[Churned]]=0,1,0)</f>
        <v>0</v>
      </c>
      <c r="H1546" t="str">
        <f>IF(Gym_Expansion_Data[[#This Row],[Active Member]]=1,Gym_Expansion_Data[[#This Row],[Tier]],"Inactive")</f>
        <v>Inactive</v>
      </c>
    </row>
    <row r="1547" spans="1:8" x14ac:dyDescent="0.2">
      <c r="A1547">
        <v>2546</v>
      </c>
      <c r="B1547" t="s">
        <v>6</v>
      </c>
      <c r="C1547" t="s">
        <v>12</v>
      </c>
      <c r="D1547" s="1">
        <v>45773</v>
      </c>
      <c r="E1547">
        <v>89</v>
      </c>
      <c r="F1547">
        <v>1</v>
      </c>
      <c r="G1547">
        <f>IF(Gym_Expansion_Data[[#This Row],[Churned]]=0,1,0)</f>
        <v>0</v>
      </c>
      <c r="H1547" t="str">
        <f>IF(Gym_Expansion_Data[[#This Row],[Active Member]]=1,Gym_Expansion_Data[[#This Row],[Tier]],"Inactive")</f>
        <v>Inactive</v>
      </c>
    </row>
    <row r="1548" spans="1:8" x14ac:dyDescent="0.2">
      <c r="A1548">
        <v>2547</v>
      </c>
      <c r="B1548" t="s">
        <v>9</v>
      </c>
      <c r="C1548" t="s">
        <v>8</v>
      </c>
      <c r="D1548" s="1">
        <v>45784</v>
      </c>
      <c r="E1548">
        <v>129</v>
      </c>
      <c r="F1548">
        <v>0</v>
      </c>
      <c r="G1548">
        <f>IF(Gym_Expansion_Data[[#This Row],[Churned]]=0,1,0)</f>
        <v>1</v>
      </c>
      <c r="H1548" t="str">
        <f>IF(Gym_Expansion_Data[[#This Row],[Active Member]]=1,Gym_Expansion_Data[[#This Row],[Tier]],"Inactive")</f>
        <v>Elite</v>
      </c>
    </row>
    <row r="1549" spans="1:8" x14ac:dyDescent="0.2">
      <c r="A1549">
        <v>2548</v>
      </c>
      <c r="B1549" t="s">
        <v>10</v>
      </c>
      <c r="C1549" t="s">
        <v>7</v>
      </c>
      <c r="D1549" s="1">
        <v>45905</v>
      </c>
      <c r="E1549">
        <v>49</v>
      </c>
      <c r="F1549">
        <v>0</v>
      </c>
      <c r="G1549">
        <f>IF(Gym_Expansion_Data[[#This Row],[Churned]]=0,1,0)</f>
        <v>1</v>
      </c>
      <c r="H1549" t="str">
        <f>IF(Gym_Expansion_Data[[#This Row],[Active Member]]=1,Gym_Expansion_Data[[#This Row],[Tier]],"Inactive")</f>
        <v>Basic</v>
      </c>
    </row>
    <row r="1550" spans="1:8" x14ac:dyDescent="0.2">
      <c r="A1550">
        <v>2549</v>
      </c>
      <c r="B1550" t="s">
        <v>6</v>
      </c>
      <c r="C1550" t="s">
        <v>12</v>
      </c>
      <c r="D1550" s="1">
        <v>45878</v>
      </c>
      <c r="E1550">
        <v>89</v>
      </c>
      <c r="F1550">
        <v>0</v>
      </c>
      <c r="G1550">
        <f>IF(Gym_Expansion_Data[[#This Row],[Churned]]=0,1,0)</f>
        <v>1</v>
      </c>
      <c r="H1550" t="str">
        <f>IF(Gym_Expansion_Data[[#This Row],[Active Member]]=1,Gym_Expansion_Data[[#This Row],[Tier]],"Inactive")</f>
        <v>Premium</v>
      </c>
    </row>
    <row r="1551" spans="1:8" x14ac:dyDescent="0.2">
      <c r="A1551">
        <v>2550</v>
      </c>
      <c r="B1551" t="s">
        <v>10</v>
      </c>
      <c r="C1551" t="s">
        <v>12</v>
      </c>
      <c r="D1551" s="1">
        <v>45308</v>
      </c>
      <c r="E1551">
        <v>89</v>
      </c>
      <c r="F1551">
        <v>0</v>
      </c>
      <c r="G1551">
        <f>IF(Gym_Expansion_Data[[#This Row],[Churned]]=0,1,0)</f>
        <v>1</v>
      </c>
      <c r="H1551" t="str">
        <f>IF(Gym_Expansion_Data[[#This Row],[Active Member]]=1,Gym_Expansion_Data[[#This Row],[Tier]],"Inactive")</f>
        <v>Premium</v>
      </c>
    </row>
    <row r="1552" spans="1:8" x14ac:dyDescent="0.2">
      <c r="A1552">
        <v>2551</v>
      </c>
      <c r="B1552" t="s">
        <v>11</v>
      </c>
      <c r="C1552" t="s">
        <v>8</v>
      </c>
      <c r="D1552" s="1">
        <v>45780</v>
      </c>
      <c r="E1552">
        <v>129</v>
      </c>
      <c r="F1552">
        <v>0</v>
      </c>
      <c r="G1552">
        <f>IF(Gym_Expansion_Data[[#This Row],[Churned]]=0,1,0)</f>
        <v>1</v>
      </c>
      <c r="H1552" t="str">
        <f>IF(Gym_Expansion_Data[[#This Row],[Active Member]]=1,Gym_Expansion_Data[[#This Row],[Tier]],"Inactive")</f>
        <v>Elite</v>
      </c>
    </row>
    <row r="1553" spans="1:8" x14ac:dyDescent="0.2">
      <c r="A1553">
        <v>2552</v>
      </c>
      <c r="B1553" t="s">
        <v>6</v>
      </c>
      <c r="C1553" t="s">
        <v>7</v>
      </c>
      <c r="D1553" s="1">
        <v>45592</v>
      </c>
      <c r="E1553">
        <v>49</v>
      </c>
      <c r="F1553">
        <v>0</v>
      </c>
      <c r="G1553">
        <f>IF(Gym_Expansion_Data[[#This Row],[Churned]]=0,1,0)</f>
        <v>1</v>
      </c>
      <c r="H1553" t="str">
        <f>IF(Gym_Expansion_Data[[#This Row],[Active Member]]=1,Gym_Expansion_Data[[#This Row],[Tier]],"Inactive")</f>
        <v>Basic</v>
      </c>
    </row>
    <row r="1554" spans="1:8" x14ac:dyDescent="0.2">
      <c r="A1554">
        <v>2553</v>
      </c>
      <c r="B1554" t="s">
        <v>11</v>
      </c>
      <c r="C1554" t="s">
        <v>8</v>
      </c>
      <c r="D1554" s="1">
        <v>45501</v>
      </c>
      <c r="E1554">
        <v>129</v>
      </c>
      <c r="F1554">
        <v>0</v>
      </c>
      <c r="G1554">
        <f>IF(Gym_Expansion_Data[[#This Row],[Churned]]=0,1,0)</f>
        <v>1</v>
      </c>
      <c r="H1554" t="str">
        <f>IF(Gym_Expansion_Data[[#This Row],[Active Member]]=1,Gym_Expansion_Data[[#This Row],[Tier]],"Inactive")</f>
        <v>Elite</v>
      </c>
    </row>
    <row r="1555" spans="1:8" x14ac:dyDescent="0.2">
      <c r="A1555">
        <v>2554</v>
      </c>
      <c r="B1555" t="s">
        <v>11</v>
      </c>
      <c r="C1555" t="s">
        <v>12</v>
      </c>
      <c r="D1555" s="1">
        <v>45863</v>
      </c>
      <c r="E1555">
        <v>89</v>
      </c>
      <c r="F1555">
        <v>0</v>
      </c>
      <c r="G1555">
        <f>IF(Gym_Expansion_Data[[#This Row],[Churned]]=0,1,0)</f>
        <v>1</v>
      </c>
      <c r="H1555" t="str">
        <f>IF(Gym_Expansion_Data[[#This Row],[Active Member]]=1,Gym_Expansion_Data[[#This Row],[Tier]],"Inactive")</f>
        <v>Premium</v>
      </c>
    </row>
    <row r="1556" spans="1:8" x14ac:dyDescent="0.2">
      <c r="A1556">
        <v>2555</v>
      </c>
      <c r="B1556" t="s">
        <v>10</v>
      </c>
      <c r="C1556" t="s">
        <v>8</v>
      </c>
      <c r="D1556" s="1">
        <v>45888</v>
      </c>
      <c r="E1556">
        <v>129</v>
      </c>
      <c r="F1556">
        <v>0</v>
      </c>
      <c r="G1556">
        <f>IF(Gym_Expansion_Data[[#This Row],[Churned]]=0,1,0)</f>
        <v>1</v>
      </c>
      <c r="H1556" t="str">
        <f>IF(Gym_Expansion_Data[[#This Row],[Active Member]]=1,Gym_Expansion_Data[[#This Row],[Tier]],"Inactive")</f>
        <v>Elite</v>
      </c>
    </row>
    <row r="1557" spans="1:8" x14ac:dyDescent="0.2">
      <c r="A1557">
        <v>2556</v>
      </c>
      <c r="B1557" t="s">
        <v>10</v>
      </c>
      <c r="C1557" t="s">
        <v>7</v>
      </c>
      <c r="D1557" s="1">
        <v>45322</v>
      </c>
      <c r="E1557">
        <v>49</v>
      </c>
      <c r="F1557">
        <v>0</v>
      </c>
      <c r="G1557">
        <f>IF(Gym_Expansion_Data[[#This Row],[Churned]]=0,1,0)</f>
        <v>1</v>
      </c>
      <c r="H1557" t="str">
        <f>IF(Gym_Expansion_Data[[#This Row],[Active Member]]=1,Gym_Expansion_Data[[#This Row],[Tier]],"Inactive")</f>
        <v>Basic</v>
      </c>
    </row>
    <row r="1558" spans="1:8" x14ac:dyDescent="0.2">
      <c r="A1558">
        <v>2557</v>
      </c>
      <c r="B1558" t="s">
        <v>9</v>
      </c>
      <c r="C1558" t="s">
        <v>12</v>
      </c>
      <c r="D1558" s="1">
        <v>45630</v>
      </c>
      <c r="E1558">
        <v>89</v>
      </c>
      <c r="F1558">
        <v>1</v>
      </c>
      <c r="G1558">
        <f>IF(Gym_Expansion_Data[[#This Row],[Churned]]=0,1,0)</f>
        <v>0</v>
      </c>
      <c r="H1558" t="str">
        <f>IF(Gym_Expansion_Data[[#This Row],[Active Member]]=1,Gym_Expansion_Data[[#This Row],[Tier]],"Inactive")</f>
        <v>Inactive</v>
      </c>
    </row>
    <row r="1559" spans="1:8" x14ac:dyDescent="0.2">
      <c r="A1559">
        <v>2558</v>
      </c>
      <c r="B1559" t="s">
        <v>11</v>
      </c>
      <c r="C1559" t="s">
        <v>7</v>
      </c>
      <c r="D1559" s="1">
        <v>45615</v>
      </c>
      <c r="E1559">
        <v>49</v>
      </c>
      <c r="F1559">
        <v>0</v>
      </c>
      <c r="G1559">
        <f>IF(Gym_Expansion_Data[[#This Row],[Churned]]=0,1,0)</f>
        <v>1</v>
      </c>
      <c r="H1559" t="str">
        <f>IF(Gym_Expansion_Data[[#This Row],[Active Member]]=1,Gym_Expansion_Data[[#This Row],[Tier]],"Inactive")</f>
        <v>Basic</v>
      </c>
    </row>
    <row r="1560" spans="1:8" x14ac:dyDescent="0.2">
      <c r="A1560">
        <v>2559</v>
      </c>
      <c r="B1560" t="s">
        <v>11</v>
      </c>
      <c r="C1560" t="s">
        <v>7</v>
      </c>
      <c r="D1560" s="1">
        <v>45371</v>
      </c>
      <c r="E1560">
        <v>49</v>
      </c>
      <c r="F1560">
        <v>1</v>
      </c>
      <c r="G1560">
        <f>IF(Gym_Expansion_Data[[#This Row],[Churned]]=0,1,0)</f>
        <v>0</v>
      </c>
      <c r="H1560" t="str">
        <f>IF(Gym_Expansion_Data[[#This Row],[Active Member]]=1,Gym_Expansion_Data[[#This Row],[Tier]],"Inactive")</f>
        <v>Inactive</v>
      </c>
    </row>
    <row r="1561" spans="1:8" x14ac:dyDescent="0.2">
      <c r="A1561">
        <v>2560</v>
      </c>
      <c r="B1561" t="s">
        <v>11</v>
      </c>
      <c r="C1561" t="s">
        <v>12</v>
      </c>
      <c r="D1561" s="1">
        <v>45972</v>
      </c>
      <c r="E1561">
        <v>89</v>
      </c>
      <c r="F1561">
        <v>0</v>
      </c>
      <c r="G1561">
        <f>IF(Gym_Expansion_Data[[#This Row],[Churned]]=0,1,0)</f>
        <v>1</v>
      </c>
      <c r="H1561" t="str">
        <f>IF(Gym_Expansion_Data[[#This Row],[Active Member]]=1,Gym_Expansion_Data[[#This Row],[Tier]],"Inactive")</f>
        <v>Premium</v>
      </c>
    </row>
    <row r="1562" spans="1:8" x14ac:dyDescent="0.2">
      <c r="A1562">
        <v>2561</v>
      </c>
      <c r="B1562" t="s">
        <v>11</v>
      </c>
      <c r="C1562" t="s">
        <v>7</v>
      </c>
      <c r="D1562" s="1">
        <v>45579</v>
      </c>
      <c r="E1562">
        <v>49</v>
      </c>
      <c r="F1562">
        <v>0</v>
      </c>
      <c r="G1562">
        <f>IF(Gym_Expansion_Data[[#This Row],[Churned]]=0,1,0)</f>
        <v>1</v>
      </c>
      <c r="H1562" t="str">
        <f>IF(Gym_Expansion_Data[[#This Row],[Active Member]]=1,Gym_Expansion_Data[[#This Row],[Tier]],"Inactive")</f>
        <v>Basic</v>
      </c>
    </row>
    <row r="1563" spans="1:8" x14ac:dyDescent="0.2">
      <c r="A1563">
        <v>2562</v>
      </c>
      <c r="B1563" t="s">
        <v>6</v>
      </c>
      <c r="C1563" t="s">
        <v>8</v>
      </c>
      <c r="D1563" s="1">
        <v>45547</v>
      </c>
      <c r="E1563">
        <v>129</v>
      </c>
      <c r="F1563">
        <v>0</v>
      </c>
      <c r="G1563">
        <f>IF(Gym_Expansion_Data[[#This Row],[Churned]]=0,1,0)</f>
        <v>1</v>
      </c>
      <c r="H1563" t="str">
        <f>IF(Gym_Expansion_Data[[#This Row],[Active Member]]=1,Gym_Expansion_Data[[#This Row],[Tier]],"Inactive")</f>
        <v>Elite</v>
      </c>
    </row>
    <row r="1564" spans="1:8" x14ac:dyDescent="0.2">
      <c r="A1564">
        <v>2563</v>
      </c>
      <c r="B1564" t="s">
        <v>10</v>
      </c>
      <c r="C1564" t="s">
        <v>7</v>
      </c>
      <c r="D1564" s="1">
        <v>45844</v>
      </c>
      <c r="E1564">
        <v>49</v>
      </c>
      <c r="F1564">
        <v>0</v>
      </c>
      <c r="G1564">
        <f>IF(Gym_Expansion_Data[[#This Row],[Churned]]=0,1,0)</f>
        <v>1</v>
      </c>
      <c r="H1564" t="str">
        <f>IF(Gym_Expansion_Data[[#This Row],[Active Member]]=1,Gym_Expansion_Data[[#This Row],[Tier]],"Inactive")</f>
        <v>Basic</v>
      </c>
    </row>
    <row r="1565" spans="1:8" x14ac:dyDescent="0.2">
      <c r="A1565">
        <v>2564</v>
      </c>
      <c r="B1565" t="s">
        <v>9</v>
      </c>
      <c r="C1565" t="s">
        <v>7</v>
      </c>
      <c r="D1565" s="1">
        <v>45754</v>
      </c>
      <c r="E1565">
        <v>49</v>
      </c>
      <c r="F1565">
        <v>0</v>
      </c>
      <c r="G1565">
        <f>IF(Gym_Expansion_Data[[#This Row],[Churned]]=0,1,0)</f>
        <v>1</v>
      </c>
      <c r="H1565" t="str">
        <f>IF(Gym_Expansion_Data[[#This Row],[Active Member]]=1,Gym_Expansion_Data[[#This Row],[Tier]],"Inactive")</f>
        <v>Basic</v>
      </c>
    </row>
    <row r="1566" spans="1:8" x14ac:dyDescent="0.2">
      <c r="A1566">
        <v>2565</v>
      </c>
      <c r="B1566" t="s">
        <v>9</v>
      </c>
      <c r="C1566" t="s">
        <v>7</v>
      </c>
      <c r="D1566" s="1">
        <v>45407</v>
      </c>
      <c r="E1566">
        <v>49</v>
      </c>
      <c r="F1566">
        <v>0</v>
      </c>
      <c r="G1566">
        <f>IF(Gym_Expansion_Data[[#This Row],[Churned]]=0,1,0)</f>
        <v>1</v>
      </c>
      <c r="H1566" t="str">
        <f>IF(Gym_Expansion_Data[[#This Row],[Active Member]]=1,Gym_Expansion_Data[[#This Row],[Tier]],"Inactive")</f>
        <v>Basic</v>
      </c>
    </row>
    <row r="1567" spans="1:8" x14ac:dyDescent="0.2">
      <c r="A1567">
        <v>2566</v>
      </c>
      <c r="B1567" t="s">
        <v>10</v>
      </c>
      <c r="C1567" t="s">
        <v>7</v>
      </c>
      <c r="D1567" s="1">
        <v>45707</v>
      </c>
      <c r="E1567">
        <v>49</v>
      </c>
      <c r="F1567">
        <v>0</v>
      </c>
      <c r="G1567">
        <f>IF(Gym_Expansion_Data[[#This Row],[Churned]]=0,1,0)</f>
        <v>1</v>
      </c>
      <c r="H1567" t="str">
        <f>IF(Gym_Expansion_Data[[#This Row],[Active Member]]=1,Gym_Expansion_Data[[#This Row],[Tier]],"Inactive")</f>
        <v>Basic</v>
      </c>
    </row>
    <row r="1568" spans="1:8" x14ac:dyDescent="0.2">
      <c r="A1568">
        <v>2567</v>
      </c>
      <c r="B1568" t="s">
        <v>9</v>
      </c>
      <c r="C1568" t="s">
        <v>7</v>
      </c>
      <c r="D1568" s="1">
        <v>45784</v>
      </c>
      <c r="E1568">
        <v>49</v>
      </c>
      <c r="F1568">
        <v>0</v>
      </c>
      <c r="G1568">
        <f>IF(Gym_Expansion_Data[[#This Row],[Churned]]=0,1,0)</f>
        <v>1</v>
      </c>
      <c r="H1568" t="str">
        <f>IF(Gym_Expansion_Data[[#This Row],[Active Member]]=1,Gym_Expansion_Data[[#This Row],[Tier]],"Inactive")</f>
        <v>Basic</v>
      </c>
    </row>
    <row r="1569" spans="1:8" x14ac:dyDescent="0.2">
      <c r="A1569">
        <v>2568</v>
      </c>
      <c r="B1569" t="s">
        <v>6</v>
      </c>
      <c r="C1569" t="s">
        <v>7</v>
      </c>
      <c r="D1569" s="1">
        <v>45843</v>
      </c>
      <c r="E1569">
        <v>49</v>
      </c>
      <c r="F1569">
        <v>0</v>
      </c>
      <c r="G1569">
        <f>IF(Gym_Expansion_Data[[#This Row],[Churned]]=0,1,0)</f>
        <v>1</v>
      </c>
      <c r="H1569" t="str">
        <f>IF(Gym_Expansion_Data[[#This Row],[Active Member]]=1,Gym_Expansion_Data[[#This Row],[Tier]],"Inactive")</f>
        <v>Basic</v>
      </c>
    </row>
    <row r="1570" spans="1:8" x14ac:dyDescent="0.2">
      <c r="A1570">
        <v>2569</v>
      </c>
      <c r="B1570" t="s">
        <v>10</v>
      </c>
      <c r="C1570" t="s">
        <v>12</v>
      </c>
      <c r="D1570" s="1">
        <v>45883</v>
      </c>
      <c r="E1570">
        <v>89</v>
      </c>
      <c r="F1570">
        <v>0</v>
      </c>
      <c r="G1570">
        <f>IF(Gym_Expansion_Data[[#This Row],[Churned]]=0,1,0)</f>
        <v>1</v>
      </c>
      <c r="H1570" t="str">
        <f>IF(Gym_Expansion_Data[[#This Row],[Active Member]]=1,Gym_Expansion_Data[[#This Row],[Tier]],"Inactive")</f>
        <v>Premium</v>
      </c>
    </row>
    <row r="1571" spans="1:8" x14ac:dyDescent="0.2">
      <c r="A1571">
        <v>2570</v>
      </c>
      <c r="B1571" t="s">
        <v>11</v>
      </c>
      <c r="C1571" t="s">
        <v>12</v>
      </c>
      <c r="D1571" s="1">
        <v>45387</v>
      </c>
      <c r="E1571">
        <v>89</v>
      </c>
      <c r="F1571">
        <v>0</v>
      </c>
      <c r="G1571">
        <f>IF(Gym_Expansion_Data[[#This Row],[Churned]]=0,1,0)</f>
        <v>1</v>
      </c>
      <c r="H1571" t="str">
        <f>IF(Gym_Expansion_Data[[#This Row],[Active Member]]=1,Gym_Expansion_Data[[#This Row],[Tier]],"Inactive")</f>
        <v>Premium</v>
      </c>
    </row>
    <row r="1572" spans="1:8" x14ac:dyDescent="0.2">
      <c r="A1572">
        <v>2571</v>
      </c>
      <c r="B1572" t="s">
        <v>9</v>
      </c>
      <c r="C1572" t="s">
        <v>12</v>
      </c>
      <c r="D1572" s="1">
        <v>45941</v>
      </c>
      <c r="E1572">
        <v>89</v>
      </c>
      <c r="F1572">
        <v>1</v>
      </c>
      <c r="G1572">
        <f>IF(Gym_Expansion_Data[[#This Row],[Churned]]=0,1,0)</f>
        <v>0</v>
      </c>
      <c r="H1572" t="str">
        <f>IF(Gym_Expansion_Data[[#This Row],[Active Member]]=1,Gym_Expansion_Data[[#This Row],[Tier]],"Inactive")</f>
        <v>Inactive</v>
      </c>
    </row>
    <row r="1573" spans="1:8" x14ac:dyDescent="0.2">
      <c r="A1573">
        <v>2572</v>
      </c>
      <c r="B1573" t="s">
        <v>6</v>
      </c>
      <c r="C1573" t="s">
        <v>8</v>
      </c>
      <c r="D1573" s="1">
        <v>45577</v>
      </c>
      <c r="E1573">
        <v>129</v>
      </c>
      <c r="F1573">
        <v>0</v>
      </c>
      <c r="G1573">
        <f>IF(Gym_Expansion_Data[[#This Row],[Churned]]=0,1,0)</f>
        <v>1</v>
      </c>
      <c r="H1573" t="str">
        <f>IF(Gym_Expansion_Data[[#This Row],[Active Member]]=1,Gym_Expansion_Data[[#This Row],[Tier]],"Inactive")</f>
        <v>Elite</v>
      </c>
    </row>
    <row r="1574" spans="1:8" x14ac:dyDescent="0.2">
      <c r="A1574">
        <v>2573</v>
      </c>
      <c r="B1574" t="s">
        <v>9</v>
      </c>
      <c r="C1574" t="s">
        <v>7</v>
      </c>
      <c r="D1574" s="1">
        <v>45609</v>
      </c>
      <c r="E1574">
        <v>49</v>
      </c>
      <c r="F1574">
        <v>0</v>
      </c>
      <c r="G1574">
        <f>IF(Gym_Expansion_Data[[#This Row],[Churned]]=0,1,0)</f>
        <v>1</v>
      </c>
      <c r="H1574" t="str">
        <f>IF(Gym_Expansion_Data[[#This Row],[Active Member]]=1,Gym_Expansion_Data[[#This Row],[Tier]],"Inactive")</f>
        <v>Basic</v>
      </c>
    </row>
    <row r="1575" spans="1:8" x14ac:dyDescent="0.2">
      <c r="A1575">
        <v>2574</v>
      </c>
      <c r="B1575" t="s">
        <v>9</v>
      </c>
      <c r="C1575" t="s">
        <v>7</v>
      </c>
      <c r="D1575" s="1">
        <v>45914</v>
      </c>
      <c r="E1575">
        <v>49</v>
      </c>
      <c r="F1575">
        <v>1</v>
      </c>
      <c r="G1575">
        <f>IF(Gym_Expansion_Data[[#This Row],[Churned]]=0,1,0)</f>
        <v>0</v>
      </c>
      <c r="H1575" t="str">
        <f>IF(Gym_Expansion_Data[[#This Row],[Active Member]]=1,Gym_Expansion_Data[[#This Row],[Tier]],"Inactive")</f>
        <v>Inactive</v>
      </c>
    </row>
    <row r="1576" spans="1:8" x14ac:dyDescent="0.2">
      <c r="A1576">
        <v>2575</v>
      </c>
      <c r="B1576" t="s">
        <v>11</v>
      </c>
      <c r="C1576" t="s">
        <v>8</v>
      </c>
      <c r="D1576" s="1">
        <v>45897</v>
      </c>
      <c r="E1576">
        <v>129</v>
      </c>
      <c r="F1576">
        <v>1</v>
      </c>
      <c r="G1576">
        <f>IF(Gym_Expansion_Data[[#This Row],[Churned]]=0,1,0)</f>
        <v>0</v>
      </c>
      <c r="H1576" t="str">
        <f>IF(Gym_Expansion_Data[[#This Row],[Active Member]]=1,Gym_Expansion_Data[[#This Row],[Tier]],"Inactive")</f>
        <v>Inactive</v>
      </c>
    </row>
    <row r="1577" spans="1:8" x14ac:dyDescent="0.2">
      <c r="A1577">
        <v>2576</v>
      </c>
      <c r="B1577" t="s">
        <v>10</v>
      </c>
      <c r="C1577" t="s">
        <v>8</v>
      </c>
      <c r="D1577" s="1">
        <v>45500</v>
      </c>
      <c r="E1577">
        <v>129</v>
      </c>
      <c r="F1577">
        <v>1</v>
      </c>
      <c r="G1577">
        <f>IF(Gym_Expansion_Data[[#This Row],[Churned]]=0,1,0)</f>
        <v>0</v>
      </c>
      <c r="H1577" t="str">
        <f>IF(Gym_Expansion_Data[[#This Row],[Active Member]]=1,Gym_Expansion_Data[[#This Row],[Tier]],"Inactive")</f>
        <v>Inactive</v>
      </c>
    </row>
    <row r="1578" spans="1:8" x14ac:dyDescent="0.2">
      <c r="A1578">
        <v>2577</v>
      </c>
      <c r="B1578" t="s">
        <v>11</v>
      </c>
      <c r="C1578" t="s">
        <v>8</v>
      </c>
      <c r="D1578" s="1">
        <v>45441</v>
      </c>
      <c r="E1578">
        <v>129</v>
      </c>
      <c r="F1578">
        <v>0</v>
      </c>
      <c r="G1578">
        <f>IF(Gym_Expansion_Data[[#This Row],[Churned]]=0,1,0)</f>
        <v>1</v>
      </c>
      <c r="H1578" t="str">
        <f>IF(Gym_Expansion_Data[[#This Row],[Active Member]]=1,Gym_Expansion_Data[[#This Row],[Tier]],"Inactive")</f>
        <v>Elite</v>
      </c>
    </row>
    <row r="1579" spans="1:8" x14ac:dyDescent="0.2">
      <c r="A1579">
        <v>2578</v>
      </c>
      <c r="B1579" t="s">
        <v>9</v>
      </c>
      <c r="C1579" t="s">
        <v>12</v>
      </c>
      <c r="D1579" s="1">
        <v>45563</v>
      </c>
      <c r="E1579">
        <v>89</v>
      </c>
      <c r="F1579">
        <v>1</v>
      </c>
      <c r="G1579">
        <f>IF(Gym_Expansion_Data[[#This Row],[Churned]]=0,1,0)</f>
        <v>0</v>
      </c>
      <c r="H1579" t="str">
        <f>IF(Gym_Expansion_Data[[#This Row],[Active Member]]=1,Gym_Expansion_Data[[#This Row],[Tier]],"Inactive")</f>
        <v>Inactive</v>
      </c>
    </row>
    <row r="1580" spans="1:8" x14ac:dyDescent="0.2">
      <c r="A1580">
        <v>2579</v>
      </c>
      <c r="B1580" t="s">
        <v>6</v>
      </c>
      <c r="C1580" t="s">
        <v>8</v>
      </c>
      <c r="D1580" s="1">
        <v>45727</v>
      </c>
      <c r="E1580">
        <v>129</v>
      </c>
      <c r="F1580">
        <v>1</v>
      </c>
      <c r="G1580">
        <f>IF(Gym_Expansion_Data[[#This Row],[Churned]]=0,1,0)</f>
        <v>0</v>
      </c>
      <c r="H1580" t="str">
        <f>IF(Gym_Expansion_Data[[#This Row],[Active Member]]=1,Gym_Expansion_Data[[#This Row],[Tier]],"Inactive")</f>
        <v>Inactive</v>
      </c>
    </row>
    <row r="1581" spans="1:8" x14ac:dyDescent="0.2">
      <c r="A1581">
        <v>2580</v>
      </c>
      <c r="B1581" t="s">
        <v>9</v>
      </c>
      <c r="C1581" t="s">
        <v>12</v>
      </c>
      <c r="D1581" s="1">
        <v>45851</v>
      </c>
      <c r="E1581">
        <v>89</v>
      </c>
      <c r="F1581">
        <v>0</v>
      </c>
      <c r="G1581">
        <f>IF(Gym_Expansion_Data[[#This Row],[Churned]]=0,1,0)</f>
        <v>1</v>
      </c>
      <c r="H1581" t="str">
        <f>IF(Gym_Expansion_Data[[#This Row],[Active Member]]=1,Gym_Expansion_Data[[#This Row],[Tier]],"Inactive")</f>
        <v>Premium</v>
      </c>
    </row>
    <row r="1582" spans="1:8" x14ac:dyDescent="0.2">
      <c r="A1582">
        <v>2581</v>
      </c>
      <c r="B1582" t="s">
        <v>10</v>
      </c>
      <c r="C1582" t="s">
        <v>7</v>
      </c>
      <c r="D1582" s="1">
        <v>45428</v>
      </c>
      <c r="E1582">
        <v>49</v>
      </c>
      <c r="F1582">
        <v>0</v>
      </c>
      <c r="G1582">
        <f>IF(Gym_Expansion_Data[[#This Row],[Churned]]=0,1,0)</f>
        <v>1</v>
      </c>
      <c r="H1582" t="str">
        <f>IF(Gym_Expansion_Data[[#This Row],[Active Member]]=1,Gym_Expansion_Data[[#This Row],[Tier]],"Inactive")</f>
        <v>Basic</v>
      </c>
    </row>
    <row r="1583" spans="1:8" x14ac:dyDescent="0.2">
      <c r="A1583">
        <v>2582</v>
      </c>
      <c r="B1583" t="s">
        <v>9</v>
      </c>
      <c r="C1583" t="s">
        <v>12</v>
      </c>
      <c r="D1583" s="1">
        <v>45637</v>
      </c>
      <c r="E1583">
        <v>89</v>
      </c>
      <c r="F1583">
        <v>0</v>
      </c>
      <c r="G1583">
        <f>IF(Gym_Expansion_Data[[#This Row],[Churned]]=0,1,0)</f>
        <v>1</v>
      </c>
      <c r="H1583" t="str">
        <f>IF(Gym_Expansion_Data[[#This Row],[Active Member]]=1,Gym_Expansion_Data[[#This Row],[Tier]],"Inactive")</f>
        <v>Premium</v>
      </c>
    </row>
    <row r="1584" spans="1:8" x14ac:dyDescent="0.2">
      <c r="A1584">
        <v>2583</v>
      </c>
      <c r="B1584" t="s">
        <v>11</v>
      </c>
      <c r="C1584" t="s">
        <v>7</v>
      </c>
      <c r="D1584" s="1">
        <v>45384</v>
      </c>
      <c r="E1584">
        <v>49</v>
      </c>
      <c r="F1584">
        <v>1</v>
      </c>
      <c r="G1584">
        <f>IF(Gym_Expansion_Data[[#This Row],[Churned]]=0,1,0)</f>
        <v>0</v>
      </c>
      <c r="H1584" t="str">
        <f>IF(Gym_Expansion_Data[[#This Row],[Active Member]]=1,Gym_Expansion_Data[[#This Row],[Tier]],"Inactive")</f>
        <v>Inactive</v>
      </c>
    </row>
    <row r="1585" spans="1:8" x14ac:dyDescent="0.2">
      <c r="A1585">
        <v>2584</v>
      </c>
      <c r="B1585" t="s">
        <v>9</v>
      </c>
      <c r="C1585" t="s">
        <v>12</v>
      </c>
      <c r="D1585" s="1">
        <v>45598</v>
      </c>
      <c r="E1585">
        <v>89</v>
      </c>
      <c r="F1585">
        <v>1</v>
      </c>
      <c r="G1585">
        <f>IF(Gym_Expansion_Data[[#This Row],[Churned]]=0,1,0)</f>
        <v>0</v>
      </c>
      <c r="H1585" t="str">
        <f>IF(Gym_Expansion_Data[[#This Row],[Active Member]]=1,Gym_Expansion_Data[[#This Row],[Tier]],"Inactive")</f>
        <v>Inactive</v>
      </c>
    </row>
    <row r="1586" spans="1:8" x14ac:dyDescent="0.2">
      <c r="A1586">
        <v>2585</v>
      </c>
      <c r="B1586" t="s">
        <v>6</v>
      </c>
      <c r="C1586" t="s">
        <v>7</v>
      </c>
      <c r="D1586" s="1">
        <v>45502</v>
      </c>
      <c r="E1586">
        <v>49</v>
      </c>
      <c r="F1586">
        <v>0</v>
      </c>
      <c r="G1586">
        <f>IF(Gym_Expansion_Data[[#This Row],[Churned]]=0,1,0)</f>
        <v>1</v>
      </c>
      <c r="H1586" t="str">
        <f>IF(Gym_Expansion_Data[[#This Row],[Active Member]]=1,Gym_Expansion_Data[[#This Row],[Tier]],"Inactive")</f>
        <v>Basic</v>
      </c>
    </row>
    <row r="1587" spans="1:8" x14ac:dyDescent="0.2">
      <c r="A1587">
        <v>2586</v>
      </c>
      <c r="B1587" t="s">
        <v>9</v>
      </c>
      <c r="C1587" t="s">
        <v>12</v>
      </c>
      <c r="D1587" s="1">
        <v>45404</v>
      </c>
      <c r="E1587">
        <v>89</v>
      </c>
      <c r="F1587">
        <v>0</v>
      </c>
      <c r="G1587">
        <f>IF(Gym_Expansion_Data[[#This Row],[Churned]]=0,1,0)</f>
        <v>1</v>
      </c>
      <c r="H1587" t="str">
        <f>IF(Gym_Expansion_Data[[#This Row],[Active Member]]=1,Gym_Expansion_Data[[#This Row],[Tier]],"Inactive")</f>
        <v>Premium</v>
      </c>
    </row>
    <row r="1588" spans="1:8" x14ac:dyDescent="0.2">
      <c r="A1588">
        <v>2587</v>
      </c>
      <c r="B1588" t="s">
        <v>11</v>
      </c>
      <c r="C1588" t="s">
        <v>7</v>
      </c>
      <c r="D1588" s="1">
        <v>45672</v>
      </c>
      <c r="E1588">
        <v>49</v>
      </c>
      <c r="F1588">
        <v>1</v>
      </c>
      <c r="G1588">
        <f>IF(Gym_Expansion_Data[[#This Row],[Churned]]=0,1,0)</f>
        <v>0</v>
      </c>
      <c r="H1588" t="str">
        <f>IF(Gym_Expansion_Data[[#This Row],[Active Member]]=1,Gym_Expansion_Data[[#This Row],[Tier]],"Inactive")</f>
        <v>Inactive</v>
      </c>
    </row>
    <row r="1589" spans="1:8" x14ac:dyDescent="0.2">
      <c r="A1589">
        <v>2588</v>
      </c>
      <c r="B1589" t="s">
        <v>9</v>
      </c>
      <c r="C1589" t="s">
        <v>7</v>
      </c>
      <c r="D1589" s="1">
        <v>45546</v>
      </c>
      <c r="E1589">
        <v>49</v>
      </c>
      <c r="F1589">
        <v>0</v>
      </c>
      <c r="G1589">
        <f>IF(Gym_Expansion_Data[[#This Row],[Churned]]=0,1,0)</f>
        <v>1</v>
      </c>
      <c r="H1589" t="str">
        <f>IF(Gym_Expansion_Data[[#This Row],[Active Member]]=1,Gym_Expansion_Data[[#This Row],[Tier]],"Inactive")</f>
        <v>Basic</v>
      </c>
    </row>
    <row r="1590" spans="1:8" x14ac:dyDescent="0.2">
      <c r="A1590">
        <v>2589</v>
      </c>
      <c r="B1590" t="s">
        <v>11</v>
      </c>
      <c r="C1590" t="s">
        <v>7</v>
      </c>
      <c r="D1590" s="1">
        <v>45492</v>
      </c>
      <c r="E1590">
        <v>49</v>
      </c>
      <c r="F1590">
        <v>0</v>
      </c>
      <c r="G1590">
        <f>IF(Gym_Expansion_Data[[#This Row],[Churned]]=0,1,0)</f>
        <v>1</v>
      </c>
      <c r="H1590" t="str">
        <f>IF(Gym_Expansion_Data[[#This Row],[Active Member]]=1,Gym_Expansion_Data[[#This Row],[Tier]],"Inactive")</f>
        <v>Basic</v>
      </c>
    </row>
    <row r="1591" spans="1:8" x14ac:dyDescent="0.2">
      <c r="A1591">
        <v>2590</v>
      </c>
      <c r="B1591" t="s">
        <v>11</v>
      </c>
      <c r="C1591" t="s">
        <v>7</v>
      </c>
      <c r="D1591" s="1">
        <v>45459</v>
      </c>
      <c r="E1591">
        <v>49</v>
      </c>
      <c r="F1591">
        <v>0</v>
      </c>
      <c r="G1591">
        <f>IF(Gym_Expansion_Data[[#This Row],[Churned]]=0,1,0)</f>
        <v>1</v>
      </c>
      <c r="H1591" t="str">
        <f>IF(Gym_Expansion_Data[[#This Row],[Active Member]]=1,Gym_Expansion_Data[[#This Row],[Tier]],"Inactive")</f>
        <v>Basic</v>
      </c>
    </row>
    <row r="1592" spans="1:8" x14ac:dyDescent="0.2">
      <c r="A1592">
        <v>2591</v>
      </c>
      <c r="B1592" t="s">
        <v>9</v>
      </c>
      <c r="C1592" t="s">
        <v>7</v>
      </c>
      <c r="D1592" s="1">
        <v>45802</v>
      </c>
      <c r="E1592">
        <v>49</v>
      </c>
      <c r="F1592">
        <v>0</v>
      </c>
      <c r="G1592">
        <f>IF(Gym_Expansion_Data[[#This Row],[Churned]]=0,1,0)</f>
        <v>1</v>
      </c>
      <c r="H1592" t="str">
        <f>IF(Gym_Expansion_Data[[#This Row],[Active Member]]=1,Gym_Expansion_Data[[#This Row],[Tier]],"Inactive")</f>
        <v>Basic</v>
      </c>
    </row>
    <row r="1593" spans="1:8" x14ac:dyDescent="0.2">
      <c r="A1593">
        <v>2592</v>
      </c>
      <c r="B1593" t="s">
        <v>10</v>
      </c>
      <c r="C1593" t="s">
        <v>7</v>
      </c>
      <c r="D1593" s="1">
        <v>45828</v>
      </c>
      <c r="E1593">
        <v>49</v>
      </c>
      <c r="F1593">
        <v>0</v>
      </c>
      <c r="G1593">
        <f>IF(Gym_Expansion_Data[[#This Row],[Churned]]=0,1,0)</f>
        <v>1</v>
      </c>
      <c r="H1593" t="str">
        <f>IF(Gym_Expansion_Data[[#This Row],[Active Member]]=1,Gym_Expansion_Data[[#This Row],[Tier]],"Inactive")</f>
        <v>Basic</v>
      </c>
    </row>
    <row r="1594" spans="1:8" x14ac:dyDescent="0.2">
      <c r="A1594">
        <v>2593</v>
      </c>
      <c r="B1594" t="s">
        <v>9</v>
      </c>
      <c r="C1594" t="s">
        <v>7</v>
      </c>
      <c r="D1594" s="1">
        <v>45475</v>
      </c>
      <c r="E1594">
        <v>49</v>
      </c>
      <c r="F1594">
        <v>0</v>
      </c>
      <c r="G1594">
        <f>IF(Gym_Expansion_Data[[#This Row],[Churned]]=0,1,0)</f>
        <v>1</v>
      </c>
      <c r="H1594" t="str">
        <f>IF(Gym_Expansion_Data[[#This Row],[Active Member]]=1,Gym_Expansion_Data[[#This Row],[Tier]],"Inactive")</f>
        <v>Basic</v>
      </c>
    </row>
    <row r="1595" spans="1:8" x14ac:dyDescent="0.2">
      <c r="A1595">
        <v>2594</v>
      </c>
      <c r="B1595" t="s">
        <v>9</v>
      </c>
      <c r="C1595" t="s">
        <v>7</v>
      </c>
      <c r="D1595" s="1">
        <v>45569</v>
      </c>
      <c r="E1595">
        <v>49</v>
      </c>
      <c r="F1595">
        <v>1</v>
      </c>
      <c r="G1595">
        <f>IF(Gym_Expansion_Data[[#This Row],[Churned]]=0,1,0)</f>
        <v>0</v>
      </c>
      <c r="H1595" t="str">
        <f>IF(Gym_Expansion_Data[[#This Row],[Active Member]]=1,Gym_Expansion_Data[[#This Row],[Tier]],"Inactive")</f>
        <v>Inactive</v>
      </c>
    </row>
    <row r="1596" spans="1:8" x14ac:dyDescent="0.2">
      <c r="A1596">
        <v>2595</v>
      </c>
      <c r="B1596" t="s">
        <v>9</v>
      </c>
      <c r="C1596" t="s">
        <v>7</v>
      </c>
      <c r="D1596" s="1">
        <v>45837</v>
      </c>
      <c r="E1596">
        <v>49</v>
      </c>
      <c r="F1596">
        <v>0</v>
      </c>
      <c r="G1596">
        <f>IF(Gym_Expansion_Data[[#This Row],[Churned]]=0,1,0)</f>
        <v>1</v>
      </c>
      <c r="H1596" t="str">
        <f>IF(Gym_Expansion_Data[[#This Row],[Active Member]]=1,Gym_Expansion_Data[[#This Row],[Tier]],"Inactive")</f>
        <v>Basic</v>
      </c>
    </row>
    <row r="1597" spans="1:8" x14ac:dyDescent="0.2">
      <c r="A1597">
        <v>2596</v>
      </c>
      <c r="B1597" t="s">
        <v>11</v>
      </c>
      <c r="C1597" t="s">
        <v>12</v>
      </c>
      <c r="D1597" s="1">
        <v>45323</v>
      </c>
      <c r="E1597">
        <v>89</v>
      </c>
      <c r="F1597">
        <v>0</v>
      </c>
      <c r="G1597">
        <f>IF(Gym_Expansion_Data[[#This Row],[Churned]]=0,1,0)</f>
        <v>1</v>
      </c>
      <c r="H1597" t="str">
        <f>IF(Gym_Expansion_Data[[#This Row],[Active Member]]=1,Gym_Expansion_Data[[#This Row],[Tier]],"Inactive")</f>
        <v>Premium</v>
      </c>
    </row>
    <row r="1598" spans="1:8" x14ac:dyDescent="0.2">
      <c r="A1598">
        <v>2597</v>
      </c>
      <c r="B1598" t="s">
        <v>11</v>
      </c>
      <c r="C1598" t="s">
        <v>7</v>
      </c>
      <c r="D1598" s="1">
        <v>45819</v>
      </c>
      <c r="E1598">
        <v>49</v>
      </c>
      <c r="F1598">
        <v>0</v>
      </c>
      <c r="G1598">
        <f>IF(Gym_Expansion_Data[[#This Row],[Churned]]=0,1,0)</f>
        <v>1</v>
      </c>
      <c r="H1598" t="str">
        <f>IF(Gym_Expansion_Data[[#This Row],[Active Member]]=1,Gym_Expansion_Data[[#This Row],[Tier]],"Inactive")</f>
        <v>Basic</v>
      </c>
    </row>
    <row r="1599" spans="1:8" x14ac:dyDescent="0.2">
      <c r="A1599">
        <v>2598</v>
      </c>
      <c r="B1599" t="s">
        <v>9</v>
      </c>
      <c r="C1599" t="s">
        <v>8</v>
      </c>
      <c r="D1599" s="1">
        <v>45474</v>
      </c>
      <c r="E1599">
        <v>129</v>
      </c>
      <c r="F1599">
        <v>1</v>
      </c>
      <c r="G1599">
        <f>IF(Gym_Expansion_Data[[#This Row],[Churned]]=0,1,0)</f>
        <v>0</v>
      </c>
      <c r="H1599" t="str">
        <f>IF(Gym_Expansion_Data[[#This Row],[Active Member]]=1,Gym_Expansion_Data[[#This Row],[Tier]],"Inactive")</f>
        <v>Inactive</v>
      </c>
    </row>
    <row r="1600" spans="1:8" x14ac:dyDescent="0.2">
      <c r="A1600">
        <v>2599</v>
      </c>
      <c r="B1600" t="s">
        <v>9</v>
      </c>
      <c r="C1600" t="s">
        <v>12</v>
      </c>
      <c r="D1600" s="1">
        <v>45825</v>
      </c>
      <c r="E1600">
        <v>89</v>
      </c>
      <c r="F1600">
        <v>0</v>
      </c>
      <c r="G1600">
        <f>IF(Gym_Expansion_Data[[#This Row],[Churned]]=0,1,0)</f>
        <v>1</v>
      </c>
      <c r="H1600" t="str">
        <f>IF(Gym_Expansion_Data[[#This Row],[Active Member]]=1,Gym_Expansion_Data[[#This Row],[Tier]],"Inactive")</f>
        <v>Premium</v>
      </c>
    </row>
    <row r="1601" spans="1:8" x14ac:dyDescent="0.2">
      <c r="A1601">
        <v>2600</v>
      </c>
      <c r="B1601" t="s">
        <v>11</v>
      </c>
      <c r="C1601" t="s">
        <v>12</v>
      </c>
      <c r="D1601" s="1">
        <v>45685</v>
      </c>
      <c r="E1601">
        <v>89</v>
      </c>
      <c r="F1601">
        <v>0</v>
      </c>
      <c r="G1601">
        <f>IF(Gym_Expansion_Data[[#This Row],[Churned]]=0,1,0)</f>
        <v>1</v>
      </c>
      <c r="H1601" t="str">
        <f>IF(Gym_Expansion_Data[[#This Row],[Active Member]]=1,Gym_Expansion_Data[[#This Row],[Tier]],"Inactive")</f>
        <v>Premium</v>
      </c>
    </row>
    <row r="1602" spans="1:8" x14ac:dyDescent="0.2">
      <c r="A1602">
        <v>2601</v>
      </c>
      <c r="B1602" t="s">
        <v>10</v>
      </c>
      <c r="C1602" t="s">
        <v>12</v>
      </c>
      <c r="D1602" s="1">
        <v>45561</v>
      </c>
      <c r="E1602">
        <v>89</v>
      </c>
      <c r="F1602">
        <v>0</v>
      </c>
      <c r="G1602">
        <f>IF(Gym_Expansion_Data[[#This Row],[Churned]]=0,1,0)</f>
        <v>1</v>
      </c>
      <c r="H1602" t="str">
        <f>IF(Gym_Expansion_Data[[#This Row],[Active Member]]=1,Gym_Expansion_Data[[#This Row],[Tier]],"Inactive")</f>
        <v>Premium</v>
      </c>
    </row>
    <row r="1603" spans="1:8" x14ac:dyDescent="0.2">
      <c r="A1603">
        <v>2602</v>
      </c>
      <c r="B1603" t="s">
        <v>10</v>
      </c>
      <c r="C1603" t="s">
        <v>7</v>
      </c>
      <c r="D1603" s="1">
        <v>45848</v>
      </c>
      <c r="E1603">
        <v>49</v>
      </c>
      <c r="F1603">
        <v>0</v>
      </c>
      <c r="G1603">
        <f>IF(Gym_Expansion_Data[[#This Row],[Churned]]=0,1,0)</f>
        <v>1</v>
      </c>
      <c r="H1603" t="str">
        <f>IF(Gym_Expansion_Data[[#This Row],[Active Member]]=1,Gym_Expansion_Data[[#This Row],[Tier]],"Inactive")</f>
        <v>Basic</v>
      </c>
    </row>
    <row r="1604" spans="1:8" x14ac:dyDescent="0.2">
      <c r="A1604">
        <v>2603</v>
      </c>
      <c r="B1604" t="s">
        <v>10</v>
      </c>
      <c r="C1604" t="s">
        <v>8</v>
      </c>
      <c r="D1604" s="1">
        <v>45679</v>
      </c>
      <c r="E1604">
        <v>129</v>
      </c>
      <c r="F1604">
        <v>0</v>
      </c>
      <c r="G1604">
        <f>IF(Gym_Expansion_Data[[#This Row],[Churned]]=0,1,0)</f>
        <v>1</v>
      </c>
      <c r="H1604" t="str">
        <f>IF(Gym_Expansion_Data[[#This Row],[Active Member]]=1,Gym_Expansion_Data[[#This Row],[Tier]],"Inactive")</f>
        <v>Elite</v>
      </c>
    </row>
    <row r="1605" spans="1:8" x14ac:dyDescent="0.2">
      <c r="A1605">
        <v>2604</v>
      </c>
      <c r="B1605" t="s">
        <v>9</v>
      </c>
      <c r="C1605" t="s">
        <v>12</v>
      </c>
      <c r="D1605" s="1">
        <v>45746</v>
      </c>
      <c r="E1605">
        <v>89</v>
      </c>
      <c r="F1605">
        <v>1</v>
      </c>
      <c r="G1605">
        <f>IF(Gym_Expansion_Data[[#This Row],[Churned]]=0,1,0)</f>
        <v>0</v>
      </c>
      <c r="H1605" t="str">
        <f>IF(Gym_Expansion_Data[[#This Row],[Active Member]]=1,Gym_Expansion_Data[[#This Row],[Tier]],"Inactive")</f>
        <v>Inactive</v>
      </c>
    </row>
    <row r="1606" spans="1:8" x14ac:dyDescent="0.2">
      <c r="A1606">
        <v>2605</v>
      </c>
      <c r="B1606" t="s">
        <v>11</v>
      </c>
      <c r="C1606" t="s">
        <v>7</v>
      </c>
      <c r="D1606" s="1">
        <v>45552</v>
      </c>
      <c r="E1606">
        <v>49</v>
      </c>
      <c r="F1606">
        <v>0</v>
      </c>
      <c r="G1606">
        <f>IF(Gym_Expansion_Data[[#This Row],[Churned]]=0,1,0)</f>
        <v>1</v>
      </c>
      <c r="H1606" t="str">
        <f>IF(Gym_Expansion_Data[[#This Row],[Active Member]]=1,Gym_Expansion_Data[[#This Row],[Tier]],"Inactive")</f>
        <v>Basic</v>
      </c>
    </row>
    <row r="1607" spans="1:8" x14ac:dyDescent="0.2">
      <c r="A1607">
        <v>2606</v>
      </c>
      <c r="B1607" t="s">
        <v>10</v>
      </c>
      <c r="C1607" t="s">
        <v>7</v>
      </c>
      <c r="D1607" s="1">
        <v>45821</v>
      </c>
      <c r="E1607">
        <v>49</v>
      </c>
      <c r="F1607">
        <v>1</v>
      </c>
      <c r="G1607">
        <f>IF(Gym_Expansion_Data[[#This Row],[Churned]]=0,1,0)</f>
        <v>0</v>
      </c>
      <c r="H1607" t="str">
        <f>IF(Gym_Expansion_Data[[#This Row],[Active Member]]=1,Gym_Expansion_Data[[#This Row],[Tier]],"Inactive")</f>
        <v>Inactive</v>
      </c>
    </row>
    <row r="1608" spans="1:8" x14ac:dyDescent="0.2">
      <c r="A1608">
        <v>2607</v>
      </c>
      <c r="B1608" t="s">
        <v>11</v>
      </c>
      <c r="C1608" t="s">
        <v>12</v>
      </c>
      <c r="D1608" s="1">
        <v>45509</v>
      </c>
      <c r="E1608">
        <v>89</v>
      </c>
      <c r="F1608">
        <v>0</v>
      </c>
      <c r="G1608">
        <f>IF(Gym_Expansion_Data[[#This Row],[Churned]]=0,1,0)</f>
        <v>1</v>
      </c>
      <c r="H1608" t="str">
        <f>IF(Gym_Expansion_Data[[#This Row],[Active Member]]=1,Gym_Expansion_Data[[#This Row],[Tier]],"Inactive")</f>
        <v>Premium</v>
      </c>
    </row>
    <row r="1609" spans="1:8" x14ac:dyDescent="0.2">
      <c r="A1609">
        <v>2608</v>
      </c>
      <c r="B1609" t="s">
        <v>6</v>
      </c>
      <c r="C1609" t="s">
        <v>8</v>
      </c>
      <c r="D1609" s="1">
        <v>45973</v>
      </c>
      <c r="E1609">
        <v>129</v>
      </c>
      <c r="F1609">
        <v>1</v>
      </c>
      <c r="G1609">
        <f>IF(Gym_Expansion_Data[[#This Row],[Churned]]=0,1,0)</f>
        <v>0</v>
      </c>
      <c r="H1609" t="str">
        <f>IF(Gym_Expansion_Data[[#This Row],[Active Member]]=1,Gym_Expansion_Data[[#This Row],[Tier]],"Inactive")</f>
        <v>Inactive</v>
      </c>
    </row>
    <row r="1610" spans="1:8" x14ac:dyDescent="0.2">
      <c r="A1610">
        <v>2609</v>
      </c>
      <c r="B1610" t="s">
        <v>9</v>
      </c>
      <c r="C1610" t="s">
        <v>8</v>
      </c>
      <c r="D1610" s="1">
        <v>45826</v>
      </c>
      <c r="E1610">
        <v>129</v>
      </c>
      <c r="F1610">
        <v>0</v>
      </c>
      <c r="G1610">
        <f>IF(Gym_Expansion_Data[[#This Row],[Churned]]=0,1,0)</f>
        <v>1</v>
      </c>
      <c r="H1610" t="str">
        <f>IF(Gym_Expansion_Data[[#This Row],[Active Member]]=1,Gym_Expansion_Data[[#This Row],[Tier]],"Inactive")</f>
        <v>Elite</v>
      </c>
    </row>
    <row r="1611" spans="1:8" x14ac:dyDescent="0.2">
      <c r="A1611">
        <v>2610</v>
      </c>
      <c r="B1611" t="s">
        <v>11</v>
      </c>
      <c r="C1611" t="s">
        <v>7</v>
      </c>
      <c r="D1611" s="1">
        <v>45701</v>
      </c>
      <c r="E1611">
        <v>49</v>
      </c>
      <c r="F1611">
        <v>0</v>
      </c>
      <c r="G1611">
        <f>IF(Gym_Expansion_Data[[#This Row],[Churned]]=0,1,0)</f>
        <v>1</v>
      </c>
      <c r="H1611" t="str">
        <f>IF(Gym_Expansion_Data[[#This Row],[Active Member]]=1,Gym_Expansion_Data[[#This Row],[Tier]],"Inactive")</f>
        <v>Basic</v>
      </c>
    </row>
    <row r="1612" spans="1:8" x14ac:dyDescent="0.2">
      <c r="A1612">
        <v>2611</v>
      </c>
      <c r="B1612" t="s">
        <v>11</v>
      </c>
      <c r="C1612" t="s">
        <v>7</v>
      </c>
      <c r="D1612" s="1">
        <v>45399</v>
      </c>
      <c r="E1612">
        <v>49</v>
      </c>
      <c r="F1612">
        <v>0</v>
      </c>
      <c r="G1612">
        <f>IF(Gym_Expansion_Data[[#This Row],[Churned]]=0,1,0)</f>
        <v>1</v>
      </c>
      <c r="H1612" t="str">
        <f>IF(Gym_Expansion_Data[[#This Row],[Active Member]]=1,Gym_Expansion_Data[[#This Row],[Tier]],"Inactive")</f>
        <v>Basic</v>
      </c>
    </row>
    <row r="1613" spans="1:8" x14ac:dyDescent="0.2">
      <c r="A1613">
        <v>2612</v>
      </c>
      <c r="B1613" t="s">
        <v>11</v>
      </c>
      <c r="C1613" t="s">
        <v>12</v>
      </c>
      <c r="D1613" s="1">
        <v>45374</v>
      </c>
      <c r="E1613">
        <v>89</v>
      </c>
      <c r="F1613">
        <v>0</v>
      </c>
      <c r="G1613">
        <f>IF(Gym_Expansion_Data[[#This Row],[Churned]]=0,1,0)</f>
        <v>1</v>
      </c>
      <c r="H1613" t="str">
        <f>IF(Gym_Expansion_Data[[#This Row],[Active Member]]=1,Gym_Expansion_Data[[#This Row],[Tier]],"Inactive")</f>
        <v>Premium</v>
      </c>
    </row>
    <row r="1614" spans="1:8" x14ac:dyDescent="0.2">
      <c r="A1614">
        <v>2613</v>
      </c>
      <c r="B1614" t="s">
        <v>9</v>
      </c>
      <c r="C1614" t="s">
        <v>12</v>
      </c>
      <c r="D1614" s="1">
        <v>45986</v>
      </c>
      <c r="E1614">
        <v>89</v>
      </c>
      <c r="F1614">
        <v>1</v>
      </c>
      <c r="G1614">
        <f>IF(Gym_Expansion_Data[[#This Row],[Churned]]=0,1,0)</f>
        <v>0</v>
      </c>
      <c r="H1614" t="str">
        <f>IF(Gym_Expansion_Data[[#This Row],[Active Member]]=1,Gym_Expansion_Data[[#This Row],[Tier]],"Inactive")</f>
        <v>Inactive</v>
      </c>
    </row>
    <row r="1615" spans="1:8" x14ac:dyDescent="0.2">
      <c r="A1615">
        <v>2614</v>
      </c>
      <c r="B1615" t="s">
        <v>6</v>
      </c>
      <c r="C1615" t="s">
        <v>7</v>
      </c>
      <c r="D1615" s="1">
        <v>45602</v>
      </c>
      <c r="E1615">
        <v>49</v>
      </c>
      <c r="F1615">
        <v>1</v>
      </c>
      <c r="G1615">
        <f>IF(Gym_Expansion_Data[[#This Row],[Churned]]=0,1,0)</f>
        <v>0</v>
      </c>
      <c r="H1615" t="str">
        <f>IF(Gym_Expansion_Data[[#This Row],[Active Member]]=1,Gym_Expansion_Data[[#This Row],[Tier]],"Inactive")</f>
        <v>Inactive</v>
      </c>
    </row>
    <row r="1616" spans="1:8" x14ac:dyDescent="0.2">
      <c r="A1616">
        <v>2615</v>
      </c>
      <c r="B1616" t="s">
        <v>10</v>
      </c>
      <c r="C1616" t="s">
        <v>7</v>
      </c>
      <c r="D1616" s="1">
        <v>45794</v>
      </c>
      <c r="E1616">
        <v>49</v>
      </c>
      <c r="F1616">
        <v>0</v>
      </c>
      <c r="G1616">
        <f>IF(Gym_Expansion_Data[[#This Row],[Churned]]=0,1,0)</f>
        <v>1</v>
      </c>
      <c r="H1616" t="str">
        <f>IF(Gym_Expansion_Data[[#This Row],[Active Member]]=1,Gym_Expansion_Data[[#This Row],[Tier]],"Inactive")</f>
        <v>Basic</v>
      </c>
    </row>
    <row r="1617" spans="1:8" x14ac:dyDescent="0.2">
      <c r="A1617">
        <v>2616</v>
      </c>
      <c r="B1617" t="s">
        <v>10</v>
      </c>
      <c r="C1617" t="s">
        <v>7</v>
      </c>
      <c r="D1617" s="1">
        <v>45477</v>
      </c>
      <c r="E1617">
        <v>49</v>
      </c>
      <c r="F1617">
        <v>0</v>
      </c>
      <c r="G1617">
        <f>IF(Gym_Expansion_Data[[#This Row],[Churned]]=0,1,0)</f>
        <v>1</v>
      </c>
      <c r="H1617" t="str">
        <f>IF(Gym_Expansion_Data[[#This Row],[Active Member]]=1,Gym_Expansion_Data[[#This Row],[Tier]],"Inactive")</f>
        <v>Basic</v>
      </c>
    </row>
    <row r="1618" spans="1:8" x14ac:dyDescent="0.2">
      <c r="A1618">
        <v>2617</v>
      </c>
      <c r="B1618" t="s">
        <v>6</v>
      </c>
      <c r="C1618" t="s">
        <v>8</v>
      </c>
      <c r="D1618" s="1">
        <v>45680</v>
      </c>
      <c r="E1618">
        <v>129</v>
      </c>
      <c r="F1618">
        <v>0</v>
      </c>
      <c r="G1618">
        <f>IF(Gym_Expansion_Data[[#This Row],[Churned]]=0,1,0)</f>
        <v>1</v>
      </c>
      <c r="H1618" t="str">
        <f>IF(Gym_Expansion_Data[[#This Row],[Active Member]]=1,Gym_Expansion_Data[[#This Row],[Tier]],"Inactive")</f>
        <v>Elite</v>
      </c>
    </row>
    <row r="1619" spans="1:8" x14ac:dyDescent="0.2">
      <c r="A1619">
        <v>2618</v>
      </c>
      <c r="B1619" t="s">
        <v>10</v>
      </c>
      <c r="C1619" t="s">
        <v>7</v>
      </c>
      <c r="D1619" s="1">
        <v>45677</v>
      </c>
      <c r="E1619">
        <v>49</v>
      </c>
      <c r="F1619">
        <v>1</v>
      </c>
      <c r="G1619">
        <f>IF(Gym_Expansion_Data[[#This Row],[Churned]]=0,1,0)</f>
        <v>0</v>
      </c>
      <c r="H1619" t="str">
        <f>IF(Gym_Expansion_Data[[#This Row],[Active Member]]=1,Gym_Expansion_Data[[#This Row],[Tier]],"Inactive")</f>
        <v>Inactive</v>
      </c>
    </row>
    <row r="1620" spans="1:8" x14ac:dyDescent="0.2">
      <c r="A1620">
        <v>2619</v>
      </c>
      <c r="B1620" t="s">
        <v>10</v>
      </c>
      <c r="C1620" t="s">
        <v>12</v>
      </c>
      <c r="D1620" s="1">
        <v>45834</v>
      </c>
      <c r="E1620">
        <v>89</v>
      </c>
      <c r="F1620">
        <v>0</v>
      </c>
      <c r="G1620">
        <f>IF(Gym_Expansion_Data[[#This Row],[Churned]]=0,1,0)</f>
        <v>1</v>
      </c>
      <c r="H1620" t="str">
        <f>IF(Gym_Expansion_Data[[#This Row],[Active Member]]=1,Gym_Expansion_Data[[#This Row],[Tier]],"Inactive")</f>
        <v>Premium</v>
      </c>
    </row>
    <row r="1621" spans="1:8" x14ac:dyDescent="0.2">
      <c r="A1621">
        <v>2620</v>
      </c>
      <c r="B1621" t="s">
        <v>6</v>
      </c>
      <c r="C1621" t="s">
        <v>12</v>
      </c>
      <c r="D1621" s="1">
        <v>45981</v>
      </c>
      <c r="E1621">
        <v>89</v>
      </c>
      <c r="F1621">
        <v>0</v>
      </c>
      <c r="G1621">
        <f>IF(Gym_Expansion_Data[[#This Row],[Churned]]=0,1,0)</f>
        <v>1</v>
      </c>
      <c r="H1621" t="str">
        <f>IF(Gym_Expansion_Data[[#This Row],[Active Member]]=1,Gym_Expansion_Data[[#This Row],[Tier]],"Inactive")</f>
        <v>Premium</v>
      </c>
    </row>
    <row r="1622" spans="1:8" x14ac:dyDescent="0.2">
      <c r="A1622">
        <v>2621</v>
      </c>
      <c r="B1622" t="s">
        <v>9</v>
      </c>
      <c r="C1622" t="s">
        <v>7</v>
      </c>
      <c r="D1622" s="1">
        <v>45390</v>
      </c>
      <c r="E1622">
        <v>49</v>
      </c>
      <c r="F1622">
        <v>0</v>
      </c>
      <c r="G1622">
        <f>IF(Gym_Expansion_Data[[#This Row],[Churned]]=0,1,0)</f>
        <v>1</v>
      </c>
      <c r="H1622" t="str">
        <f>IF(Gym_Expansion_Data[[#This Row],[Active Member]]=1,Gym_Expansion_Data[[#This Row],[Tier]],"Inactive")</f>
        <v>Basic</v>
      </c>
    </row>
    <row r="1623" spans="1:8" x14ac:dyDescent="0.2">
      <c r="A1623">
        <v>2622</v>
      </c>
      <c r="B1623" t="s">
        <v>6</v>
      </c>
      <c r="C1623" t="s">
        <v>7</v>
      </c>
      <c r="D1623" s="1">
        <v>45698</v>
      </c>
      <c r="E1623">
        <v>49</v>
      </c>
      <c r="F1623">
        <v>0</v>
      </c>
      <c r="G1623">
        <f>IF(Gym_Expansion_Data[[#This Row],[Churned]]=0,1,0)</f>
        <v>1</v>
      </c>
      <c r="H1623" t="str">
        <f>IF(Gym_Expansion_Data[[#This Row],[Active Member]]=1,Gym_Expansion_Data[[#This Row],[Tier]],"Inactive")</f>
        <v>Basic</v>
      </c>
    </row>
    <row r="1624" spans="1:8" x14ac:dyDescent="0.2">
      <c r="A1624">
        <v>2623</v>
      </c>
      <c r="B1624" t="s">
        <v>6</v>
      </c>
      <c r="C1624" t="s">
        <v>8</v>
      </c>
      <c r="D1624" s="1">
        <v>45459</v>
      </c>
      <c r="E1624">
        <v>129</v>
      </c>
      <c r="F1624">
        <v>0</v>
      </c>
      <c r="G1624">
        <f>IF(Gym_Expansion_Data[[#This Row],[Churned]]=0,1,0)</f>
        <v>1</v>
      </c>
      <c r="H1624" t="str">
        <f>IF(Gym_Expansion_Data[[#This Row],[Active Member]]=1,Gym_Expansion_Data[[#This Row],[Tier]],"Inactive")</f>
        <v>Elite</v>
      </c>
    </row>
    <row r="1625" spans="1:8" x14ac:dyDescent="0.2">
      <c r="A1625">
        <v>2624</v>
      </c>
      <c r="B1625" t="s">
        <v>9</v>
      </c>
      <c r="C1625" t="s">
        <v>12</v>
      </c>
      <c r="D1625" s="1">
        <v>45486</v>
      </c>
      <c r="E1625">
        <v>89</v>
      </c>
      <c r="F1625">
        <v>1</v>
      </c>
      <c r="G1625">
        <f>IF(Gym_Expansion_Data[[#This Row],[Churned]]=0,1,0)</f>
        <v>0</v>
      </c>
      <c r="H1625" t="str">
        <f>IF(Gym_Expansion_Data[[#This Row],[Active Member]]=1,Gym_Expansion_Data[[#This Row],[Tier]],"Inactive")</f>
        <v>Inactive</v>
      </c>
    </row>
    <row r="1626" spans="1:8" x14ac:dyDescent="0.2">
      <c r="A1626">
        <v>2625</v>
      </c>
      <c r="B1626" t="s">
        <v>6</v>
      </c>
      <c r="C1626" t="s">
        <v>8</v>
      </c>
      <c r="D1626" s="1">
        <v>45764</v>
      </c>
      <c r="E1626">
        <v>129</v>
      </c>
      <c r="F1626">
        <v>0</v>
      </c>
      <c r="G1626">
        <f>IF(Gym_Expansion_Data[[#This Row],[Churned]]=0,1,0)</f>
        <v>1</v>
      </c>
      <c r="H1626" t="str">
        <f>IF(Gym_Expansion_Data[[#This Row],[Active Member]]=1,Gym_Expansion_Data[[#This Row],[Tier]],"Inactive")</f>
        <v>Elite</v>
      </c>
    </row>
    <row r="1627" spans="1:8" x14ac:dyDescent="0.2">
      <c r="A1627">
        <v>2626</v>
      </c>
      <c r="B1627" t="s">
        <v>10</v>
      </c>
      <c r="C1627" t="s">
        <v>12</v>
      </c>
      <c r="D1627" s="1">
        <v>45574</v>
      </c>
      <c r="E1627">
        <v>89</v>
      </c>
      <c r="F1627">
        <v>0</v>
      </c>
      <c r="G1627">
        <f>IF(Gym_Expansion_Data[[#This Row],[Churned]]=0,1,0)</f>
        <v>1</v>
      </c>
      <c r="H1627" t="str">
        <f>IF(Gym_Expansion_Data[[#This Row],[Active Member]]=1,Gym_Expansion_Data[[#This Row],[Tier]],"Inactive")</f>
        <v>Premium</v>
      </c>
    </row>
    <row r="1628" spans="1:8" x14ac:dyDescent="0.2">
      <c r="A1628">
        <v>2627</v>
      </c>
      <c r="B1628" t="s">
        <v>11</v>
      </c>
      <c r="C1628" t="s">
        <v>8</v>
      </c>
      <c r="D1628" s="1">
        <v>45555</v>
      </c>
      <c r="E1628">
        <v>129</v>
      </c>
      <c r="F1628">
        <v>0</v>
      </c>
      <c r="G1628">
        <f>IF(Gym_Expansion_Data[[#This Row],[Churned]]=0,1,0)</f>
        <v>1</v>
      </c>
      <c r="H1628" t="str">
        <f>IF(Gym_Expansion_Data[[#This Row],[Active Member]]=1,Gym_Expansion_Data[[#This Row],[Tier]],"Inactive")</f>
        <v>Elite</v>
      </c>
    </row>
    <row r="1629" spans="1:8" x14ac:dyDescent="0.2">
      <c r="A1629">
        <v>2628</v>
      </c>
      <c r="B1629" t="s">
        <v>9</v>
      </c>
      <c r="C1629" t="s">
        <v>8</v>
      </c>
      <c r="D1629" s="1">
        <v>45542</v>
      </c>
      <c r="E1629">
        <v>129</v>
      </c>
      <c r="F1629">
        <v>0</v>
      </c>
      <c r="G1629">
        <f>IF(Gym_Expansion_Data[[#This Row],[Churned]]=0,1,0)</f>
        <v>1</v>
      </c>
      <c r="H1629" t="str">
        <f>IF(Gym_Expansion_Data[[#This Row],[Active Member]]=1,Gym_Expansion_Data[[#This Row],[Tier]],"Inactive")</f>
        <v>Elite</v>
      </c>
    </row>
    <row r="1630" spans="1:8" x14ac:dyDescent="0.2">
      <c r="A1630">
        <v>2629</v>
      </c>
      <c r="B1630" t="s">
        <v>9</v>
      </c>
      <c r="C1630" t="s">
        <v>7</v>
      </c>
      <c r="D1630" s="1">
        <v>45349</v>
      </c>
      <c r="E1630">
        <v>49</v>
      </c>
      <c r="F1630">
        <v>0</v>
      </c>
      <c r="G1630">
        <f>IF(Gym_Expansion_Data[[#This Row],[Churned]]=0,1,0)</f>
        <v>1</v>
      </c>
      <c r="H1630" t="str">
        <f>IF(Gym_Expansion_Data[[#This Row],[Active Member]]=1,Gym_Expansion_Data[[#This Row],[Tier]],"Inactive")</f>
        <v>Basic</v>
      </c>
    </row>
    <row r="1631" spans="1:8" x14ac:dyDescent="0.2">
      <c r="A1631">
        <v>2630</v>
      </c>
      <c r="B1631" t="s">
        <v>9</v>
      </c>
      <c r="C1631" t="s">
        <v>7</v>
      </c>
      <c r="D1631" s="1">
        <v>45562</v>
      </c>
      <c r="E1631">
        <v>49</v>
      </c>
      <c r="F1631">
        <v>0</v>
      </c>
      <c r="G1631">
        <f>IF(Gym_Expansion_Data[[#This Row],[Churned]]=0,1,0)</f>
        <v>1</v>
      </c>
      <c r="H1631" t="str">
        <f>IF(Gym_Expansion_Data[[#This Row],[Active Member]]=1,Gym_Expansion_Data[[#This Row],[Tier]],"Inactive")</f>
        <v>Basic</v>
      </c>
    </row>
    <row r="1632" spans="1:8" x14ac:dyDescent="0.2">
      <c r="A1632">
        <v>2631</v>
      </c>
      <c r="B1632" t="s">
        <v>9</v>
      </c>
      <c r="C1632" t="s">
        <v>12</v>
      </c>
      <c r="D1632" s="1">
        <v>45683</v>
      </c>
      <c r="E1632">
        <v>89</v>
      </c>
      <c r="F1632">
        <v>0</v>
      </c>
      <c r="G1632">
        <f>IF(Gym_Expansion_Data[[#This Row],[Churned]]=0,1,0)</f>
        <v>1</v>
      </c>
      <c r="H1632" t="str">
        <f>IF(Gym_Expansion_Data[[#This Row],[Active Member]]=1,Gym_Expansion_Data[[#This Row],[Tier]],"Inactive")</f>
        <v>Premium</v>
      </c>
    </row>
    <row r="1633" spans="1:8" x14ac:dyDescent="0.2">
      <c r="A1633">
        <v>2632</v>
      </c>
      <c r="B1633" t="s">
        <v>9</v>
      </c>
      <c r="C1633" t="s">
        <v>7</v>
      </c>
      <c r="D1633" s="1">
        <v>45535</v>
      </c>
      <c r="E1633">
        <v>49</v>
      </c>
      <c r="F1633">
        <v>0</v>
      </c>
      <c r="G1633">
        <f>IF(Gym_Expansion_Data[[#This Row],[Churned]]=0,1,0)</f>
        <v>1</v>
      </c>
      <c r="H1633" t="str">
        <f>IF(Gym_Expansion_Data[[#This Row],[Active Member]]=1,Gym_Expansion_Data[[#This Row],[Tier]],"Inactive")</f>
        <v>Basic</v>
      </c>
    </row>
    <row r="1634" spans="1:8" x14ac:dyDescent="0.2">
      <c r="A1634">
        <v>2633</v>
      </c>
      <c r="B1634" t="s">
        <v>11</v>
      </c>
      <c r="C1634" t="s">
        <v>8</v>
      </c>
      <c r="D1634" s="1">
        <v>45963</v>
      </c>
      <c r="E1634">
        <v>129</v>
      </c>
      <c r="F1634">
        <v>1</v>
      </c>
      <c r="G1634">
        <f>IF(Gym_Expansion_Data[[#This Row],[Churned]]=0,1,0)</f>
        <v>0</v>
      </c>
      <c r="H1634" t="str">
        <f>IF(Gym_Expansion_Data[[#This Row],[Active Member]]=1,Gym_Expansion_Data[[#This Row],[Tier]],"Inactive")</f>
        <v>Inactive</v>
      </c>
    </row>
    <row r="1635" spans="1:8" x14ac:dyDescent="0.2">
      <c r="A1635">
        <v>2634</v>
      </c>
      <c r="B1635" t="s">
        <v>9</v>
      </c>
      <c r="C1635" t="s">
        <v>8</v>
      </c>
      <c r="D1635" s="1">
        <v>45961</v>
      </c>
      <c r="E1635">
        <v>129</v>
      </c>
      <c r="F1635">
        <v>0</v>
      </c>
      <c r="G1635">
        <f>IF(Gym_Expansion_Data[[#This Row],[Churned]]=0,1,0)</f>
        <v>1</v>
      </c>
      <c r="H1635" t="str">
        <f>IF(Gym_Expansion_Data[[#This Row],[Active Member]]=1,Gym_Expansion_Data[[#This Row],[Tier]],"Inactive")</f>
        <v>Elite</v>
      </c>
    </row>
    <row r="1636" spans="1:8" x14ac:dyDescent="0.2">
      <c r="A1636">
        <v>2635</v>
      </c>
      <c r="B1636" t="s">
        <v>10</v>
      </c>
      <c r="C1636" t="s">
        <v>7</v>
      </c>
      <c r="D1636" s="1">
        <v>45437</v>
      </c>
      <c r="E1636">
        <v>49</v>
      </c>
      <c r="F1636">
        <v>0</v>
      </c>
      <c r="G1636">
        <f>IF(Gym_Expansion_Data[[#This Row],[Churned]]=0,1,0)</f>
        <v>1</v>
      </c>
      <c r="H1636" t="str">
        <f>IF(Gym_Expansion_Data[[#This Row],[Active Member]]=1,Gym_Expansion_Data[[#This Row],[Tier]],"Inactive")</f>
        <v>Basic</v>
      </c>
    </row>
    <row r="1637" spans="1:8" x14ac:dyDescent="0.2">
      <c r="A1637">
        <v>2636</v>
      </c>
      <c r="B1637" t="s">
        <v>10</v>
      </c>
      <c r="C1637" t="s">
        <v>8</v>
      </c>
      <c r="D1637" s="1">
        <v>45739</v>
      </c>
      <c r="E1637">
        <v>129</v>
      </c>
      <c r="F1637">
        <v>1</v>
      </c>
      <c r="G1637">
        <f>IF(Gym_Expansion_Data[[#This Row],[Churned]]=0,1,0)</f>
        <v>0</v>
      </c>
      <c r="H1637" t="str">
        <f>IF(Gym_Expansion_Data[[#This Row],[Active Member]]=1,Gym_Expansion_Data[[#This Row],[Tier]],"Inactive")</f>
        <v>Inactive</v>
      </c>
    </row>
    <row r="1638" spans="1:8" x14ac:dyDescent="0.2">
      <c r="A1638">
        <v>2637</v>
      </c>
      <c r="B1638" t="s">
        <v>9</v>
      </c>
      <c r="C1638" t="s">
        <v>7</v>
      </c>
      <c r="D1638" s="1">
        <v>45881</v>
      </c>
      <c r="E1638">
        <v>49</v>
      </c>
      <c r="F1638">
        <v>0</v>
      </c>
      <c r="G1638">
        <f>IF(Gym_Expansion_Data[[#This Row],[Churned]]=0,1,0)</f>
        <v>1</v>
      </c>
      <c r="H1638" t="str">
        <f>IF(Gym_Expansion_Data[[#This Row],[Active Member]]=1,Gym_Expansion_Data[[#This Row],[Tier]],"Inactive")</f>
        <v>Basic</v>
      </c>
    </row>
    <row r="1639" spans="1:8" x14ac:dyDescent="0.2">
      <c r="A1639">
        <v>2638</v>
      </c>
      <c r="B1639" t="s">
        <v>9</v>
      </c>
      <c r="C1639" t="s">
        <v>12</v>
      </c>
      <c r="D1639" s="1">
        <v>45941</v>
      </c>
      <c r="E1639">
        <v>89</v>
      </c>
      <c r="F1639">
        <v>0</v>
      </c>
      <c r="G1639">
        <f>IF(Gym_Expansion_Data[[#This Row],[Churned]]=0,1,0)</f>
        <v>1</v>
      </c>
      <c r="H1639" t="str">
        <f>IF(Gym_Expansion_Data[[#This Row],[Active Member]]=1,Gym_Expansion_Data[[#This Row],[Tier]],"Inactive")</f>
        <v>Premium</v>
      </c>
    </row>
    <row r="1640" spans="1:8" x14ac:dyDescent="0.2">
      <c r="A1640">
        <v>2639</v>
      </c>
      <c r="B1640" t="s">
        <v>6</v>
      </c>
      <c r="C1640" t="s">
        <v>7</v>
      </c>
      <c r="D1640" s="1">
        <v>45329</v>
      </c>
      <c r="E1640">
        <v>49</v>
      </c>
      <c r="F1640">
        <v>0</v>
      </c>
      <c r="G1640">
        <f>IF(Gym_Expansion_Data[[#This Row],[Churned]]=0,1,0)</f>
        <v>1</v>
      </c>
      <c r="H1640" t="str">
        <f>IF(Gym_Expansion_Data[[#This Row],[Active Member]]=1,Gym_Expansion_Data[[#This Row],[Tier]],"Inactive")</f>
        <v>Basic</v>
      </c>
    </row>
    <row r="1641" spans="1:8" x14ac:dyDescent="0.2">
      <c r="A1641">
        <v>2640</v>
      </c>
      <c r="B1641" t="s">
        <v>6</v>
      </c>
      <c r="C1641" t="s">
        <v>7</v>
      </c>
      <c r="D1641" s="1">
        <v>45313</v>
      </c>
      <c r="E1641">
        <v>49</v>
      </c>
      <c r="F1641">
        <v>0</v>
      </c>
      <c r="G1641">
        <f>IF(Gym_Expansion_Data[[#This Row],[Churned]]=0,1,0)</f>
        <v>1</v>
      </c>
      <c r="H1641" t="str">
        <f>IF(Gym_Expansion_Data[[#This Row],[Active Member]]=1,Gym_Expansion_Data[[#This Row],[Tier]],"Inactive")</f>
        <v>Basic</v>
      </c>
    </row>
    <row r="1642" spans="1:8" x14ac:dyDescent="0.2">
      <c r="A1642">
        <v>2641</v>
      </c>
      <c r="B1642" t="s">
        <v>9</v>
      </c>
      <c r="C1642" t="s">
        <v>7</v>
      </c>
      <c r="D1642" s="1">
        <v>45427</v>
      </c>
      <c r="E1642">
        <v>49</v>
      </c>
      <c r="F1642">
        <v>0</v>
      </c>
      <c r="G1642">
        <f>IF(Gym_Expansion_Data[[#This Row],[Churned]]=0,1,0)</f>
        <v>1</v>
      </c>
      <c r="H1642" t="str">
        <f>IF(Gym_Expansion_Data[[#This Row],[Active Member]]=1,Gym_Expansion_Data[[#This Row],[Tier]],"Inactive")</f>
        <v>Basic</v>
      </c>
    </row>
    <row r="1643" spans="1:8" x14ac:dyDescent="0.2">
      <c r="A1643">
        <v>2642</v>
      </c>
      <c r="B1643" t="s">
        <v>10</v>
      </c>
      <c r="C1643" t="s">
        <v>7</v>
      </c>
      <c r="D1643" s="1">
        <v>45966</v>
      </c>
      <c r="E1643">
        <v>49</v>
      </c>
      <c r="F1643">
        <v>0</v>
      </c>
      <c r="G1643">
        <f>IF(Gym_Expansion_Data[[#This Row],[Churned]]=0,1,0)</f>
        <v>1</v>
      </c>
      <c r="H1643" t="str">
        <f>IF(Gym_Expansion_Data[[#This Row],[Active Member]]=1,Gym_Expansion_Data[[#This Row],[Tier]],"Inactive")</f>
        <v>Basic</v>
      </c>
    </row>
    <row r="1644" spans="1:8" x14ac:dyDescent="0.2">
      <c r="A1644">
        <v>2643</v>
      </c>
      <c r="B1644" t="s">
        <v>11</v>
      </c>
      <c r="C1644" t="s">
        <v>7</v>
      </c>
      <c r="D1644" s="1">
        <v>45673</v>
      </c>
      <c r="E1644">
        <v>49</v>
      </c>
      <c r="F1644">
        <v>0</v>
      </c>
      <c r="G1644">
        <f>IF(Gym_Expansion_Data[[#This Row],[Churned]]=0,1,0)</f>
        <v>1</v>
      </c>
      <c r="H1644" t="str">
        <f>IF(Gym_Expansion_Data[[#This Row],[Active Member]]=1,Gym_Expansion_Data[[#This Row],[Tier]],"Inactive")</f>
        <v>Basic</v>
      </c>
    </row>
    <row r="1645" spans="1:8" x14ac:dyDescent="0.2">
      <c r="A1645">
        <v>2644</v>
      </c>
      <c r="B1645" t="s">
        <v>9</v>
      </c>
      <c r="C1645" t="s">
        <v>8</v>
      </c>
      <c r="D1645" s="1">
        <v>45296</v>
      </c>
      <c r="E1645">
        <v>129</v>
      </c>
      <c r="F1645">
        <v>0</v>
      </c>
      <c r="G1645">
        <f>IF(Gym_Expansion_Data[[#This Row],[Churned]]=0,1,0)</f>
        <v>1</v>
      </c>
      <c r="H1645" t="str">
        <f>IF(Gym_Expansion_Data[[#This Row],[Active Member]]=1,Gym_Expansion_Data[[#This Row],[Tier]],"Inactive")</f>
        <v>Elite</v>
      </c>
    </row>
    <row r="1646" spans="1:8" x14ac:dyDescent="0.2">
      <c r="A1646">
        <v>2645</v>
      </c>
      <c r="B1646" t="s">
        <v>11</v>
      </c>
      <c r="C1646" t="s">
        <v>7</v>
      </c>
      <c r="D1646" s="1">
        <v>45700</v>
      </c>
      <c r="E1646">
        <v>49</v>
      </c>
      <c r="F1646">
        <v>0</v>
      </c>
      <c r="G1646">
        <f>IF(Gym_Expansion_Data[[#This Row],[Churned]]=0,1,0)</f>
        <v>1</v>
      </c>
      <c r="H1646" t="str">
        <f>IF(Gym_Expansion_Data[[#This Row],[Active Member]]=1,Gym_Expansion_Data[[#This Row],[Tier]],"Inactive")</f>
        <v>Basic</v>
      </c>
    </row>
    <row r="1647" spans="1:8" x14ac:dyDescent="0.2">
      <c r="A1647">
        <v>2646</v>
      </c>
      <c r="B1647" t="s">
        <v>9</v>
      </c>
      <c r="C1647" t="s">
        <v>7</v>
      </c>
      <c r="D1647" s="1">
        <v>45492</v>
      </c>
      <c r="E1647">
        <v>49</v>
      </c>
      <c r="F1647">
        <v>0</v>
      </c>
      <c r="G1647">
        <f>IF(Gym_Expansion_Data[[#This Row],[Churned]]=0,1,0)</f>
        <v>1</v>
      </c>
      <c r="H1647" t="str">
        <f>IF(Gym_Expansion_Data[[#This Row],[Active Member]]=1,Gym_Expansion_Data[[#This Row],[Tier]],"Inactive")</f>
        <v>Basic</v>
      </c>
    </row>
    <row r="1648" spans="1:8" x14ac:dyDescent="0.2">
      <c r="A1648">
        <v>2647</v>
      </c>
      <c r="B1648" t="s">
        <v>9</v>
      </c>
      <c r="C1648" t="s">
        <v>12</v>
      </c>
      <c r="D1648" s="1">
        <v>45807</v>
      </c>
      <c r="E1648">
        <v>89</v>
      </c>
      <c r="F1648">
        <v>1</v>
      </c>
      <c r="G1648">
        <f>IF(Gym_Expansion_Data[[#This Row],[Churned]]=0,1,0)</f>
        <v>0</v>
      </c>
      <c r="H1648" t="str">
        <f>IF(Gym_Expansion_Data[[#This Row],[Active Member]]=1,Gym_Expansion_Data[[#This Row],[Tier]],"Inactive")</f>
        <v>Inactive</v>
      </c>
    </row>
    <row r="1649" spans="1:8" x14ac:dyDescent="0.2">
      <c r="A1649">
        <v>2648</v>
      </c>
      <c r="B1649" t="s">
        <v>6</v>
      </c>
      <c r="C1649" t="s">
        <v>12</v>
      </c>
      <c r="D1649" s="1">
        <v>45688</v>
      </c>
      <c r="E1649">
        <v>89</v>
      </c>
      <c r="F1649">
        <v>1</v>
      </c>
      <c r="G1649">
        <f>IF(Gym_Expansion_Data[[#This Row],[Churned]]=0,1,0)</f>
        <v>0</v>
      </c>
      <c r="H1649" t="str">
        <f>IF(Gym_Expansion_Data[[#This Row],[Active Member]]=1,Gym_Expansion_Data[[#This Row],[Tier]],"Inactive")</f>
        <v>Inactive</v>
      </c>
    </row>
    <row r="1650" spans="1:8" x14ac:dyDescent="0.2">
      <c r="A1650">
        <v>2649</v>
      </c>
      <c r="B1650" t="s">
        <v>11</v>
      </c>
      <c r="C1650" t="s">
        <v>12</v>
      </c>
      <c r="D1650" s="1">
        <v>45987</v>
      </c>
      <c r="E1650">
        <v>89</v>
      </c>
      <c r="F1650">
        <v>0</v>
      </c>
      <c r="G1650">
        <f>IF(Gym_Expansion_Data[[#This Row],[Churned]]=0,1,0)</f>
        <v>1</v>
      </c>
      <c r="H1650" t="str">
        <f>IF(Gym_Expansion_Data[[#This Row],[Active Member]]=1,Gym_Expansion_Data[[#This Row],[Tier]],"Inactive")</f>
        <v>Premium</v>
      </c>
    </row>
    <row r="1651" spans="1:8" x14ac:dyDescent="0.2">
      <c r="A1651">
        <v>2650</v>
      </c>
      <c r="B1651" t="s">
        <v>9</v>
      </c>
      <c r="C1651" t="s">
        <v>12</v>
      </c>
      <c r="D1651" s="1">
        <v>45734</v>
      </c>
      <c r="E1651">
        <v>89</v>
      </c>
      <c r="F1651">
        <v>0</v>
      </c>
      <c r="G1651">
        <f>IF(Gym_Expansion_Data[[#This Row],[Churned]]=0,1,0)</f>
        <v>1</v>
      </c>
      <c r="H1651" t="str">
        <f>IF(Gym_Expansion_Data[[#This Row],[Active Member]]=1,Gym_Expansion_Data[[#This Row],[Tier]],"Inactive")</f>
        <v>Premium</v>
      </c>
    </row>
    <row r="1652" spans="1:8" x14ac:dyDescent="0.2">
      <c r="A1652">
        <v>2651</v>
      </c>
      <c r="B1652" t="s">
        <v>10</v>
      </c>
      <c r="C1652" t="s">
        <v>12</v>
      </c>
      <c r="D1652" s="1">
        <v>45469</v>
      </c>
      <c r="E1652">
        <v>89</v>
      </c>
      <c r="F1652">
        <v>0</v>
      </c>
      <c r="G1652">
        <f>IF(Gym_Expansion_Data[[#This Row],[Churned]]=0,1,0)</f>
        <v>1</v>
      </c>
      <c r="H1652" t="str">
        <f>IF(Gym_Expansion_Data[[#This Row],[Active Member]]=1,Gym_Expansion_Data[[#This Row],[Tier]],"Inactive")</f>
        <v>Premium</v>
      </c>
    </row>
    <row r="1653" spans="1:8" x14ac:dyDescent="0.2">
      <c r="A1653">
        <v>2652</v>
      </c>
      <c r="B1653" t="s">
        <v>9</v>
      </c>
      <c r="C1653" t="s">
        <v>12</v>
      </c>
      <c r="D1653" s="1">
        <v>45805</v>
      </c>
      <c r="E1653">
        <v>89</v>
      </c>
      <c r="F1653">
        <v>0</v>
      </c>
      <c r="G1653">
        <f>IF(Gym_Expansion_Data[[#This Row],[Churned]]=0,1,0)</f>
        <v>1</v>
      </c>
      <c r="H1653" t="str">
        <f>IF(Gym_Expansion_Data[[#This Row],[Active Member]]=1,Gym_Expansion_Data[[#This Row],[Tier]],"Inactive")</f>
        <v>Premium</v>
      </c>
    </row>
    <row r="1654" spans="1:8" x14ac:dyDescent="0.2">
      <c r="A1654">
        <v>2653</v>
      </c>
      <c r="B1654" t="s">
        <v>9</v>
      </c>
      <c r="C1654" t="s">
        <v>7</v>
      </c>
      <c r="D1654" s="1">
        <v>45565</v>
      </c>
      <c r="E1654">
        <v>49</v>
      </c>
      <c r="F1654">
        <v>1</v>
      </c>
      <c r="G1654">
        <f>IF(Gym_Expansion_Data[[#This Row],[Churned]]=0,1,0)</f>
        <v>0</v>
      </c>
      <c r="H1654" t="str">
        <f>IF(Gym_Expansion_Data[[#This Row],[Active Member]]=1,Gym_Expansion_Data[[#This Row],[Tier]],"Inactive")</f>
        <v>Inactive</v>
      </c>
    </row>
    <row r="1655" spans="1:8" x14ac:dyDescent="0.2">
      <c r="A1655">
        <v>2654</v>
      </c>
      <c r="B1655" t="s">
        <v>6</v>
      </c>
      <c r="C1655" t="s">
        <v>12</v>
      </c>
      <c r="D1655" s="1">
        <v>45834</v>
      </c>
      <c r="E1655">
        <v>89</v>
      </c>
      <c r="F1655">
        <v>0</v>
      </c>
      <c r="G1655">
        <f>IF(Gym_Expansion_Data[[#This Row],[Churned]]=0,1,0)</f>
        <v>1</v>
      </c>
      <c r="H1655" t="str">
        <f>IF(Gym_Expansion_Data[[#This Row],[Active Member]]=1,Gym_Expansion_Data[[#This Row],[Tier]],"Inactive")</f>
        <v>Premium</v>
      </c>
    </row>
    <row r="1656" spans="1:8" x14ac:dyDescent="0.2">
      <c r="A1656">
        <v>2655</v>
      </c>
      <c r="B1656" t="s">
        <v>9</v>
      </c>
      <c r="C1656" t="s">
        <v>8</v>
      </c>
      <c r="D1656" s="1">
        <v>45587</v>
      </c>
      <c r="E1656">
        <v>129</v>
      </c>
      <c r="F1656">
        <v>1</v>
      </c>
      <c r="G1656">
        <f>IF(Gym_Expansion_Data[[#This Row],[Churned]]=0,1,0)</f>
        <v>0</v>
      </c>
      <c r="H1656" t="str">
        <f>IF(Gym_Expansion_Data[[#This Row],[Active Member]]=1,Gym_Expansion_Data[[#This Row],[Tier]],"Inactive")</f>
        <v>Inactive</v>
      </c>
    </row>
    <row r="1657" spans="1:8" x14ac:dyDescent="0.2">
      <c r="A1657">
        <v>2656</v>
      </c>
      <c r="B1657" t="s">
        <v>10</v>
      </c>
      <c r="C1657" t="s">
        <v>7</v>
      </c>
      <c r="D1657" s="1">
        <v>45445</v>
      </c>
      <c r="E1657">
        <v>49</v>
      </c>
      <c r="F1657">
        <v>0</v>
      </c>
      <c r="G1657">
        <f>IF(Gym_Expansion_Data[[#This Row],[Churned]]=0,1,0)</f>
        <v>1</v>
      </c>
      <c r="H1657" t="str">
        <f>IF(Gym_Expansion_Data[[#This Row],[Active Member]]=1,Gym_Expansion_Data[[#This Row],[Tier]],"Inactive")</f>
        <v>Basic</v>
      </c>
    </row>
    <row r="1658" spans="1:8" x14ac:dyDescent="0.2">
      <c r="A1658">
        <v>2657</v>
      </c>
      <c r="B1658" t="s">
        <v>11</v>
      </c>
      <c r="C1658" t="s">
        <v>8</v>
      </c>
      <c r="D1658" s="1">
        <v>45563</v>
      </c>
      <c r="E1658">
        <v>129</v>
      </c>
      <c r="F1658">
        <v>0</v>
      </c>
      <c r="G1658">
        <f>IF(Gym_Expansion_Data[[#This Row],[Churned]]=0,1,0)</f>
        <v>1</v>
      </c>
      <c r="H1658" t="str">
        <f>IF(Gym_Expansion_Data[[#This Row],[Active Member]]=1,Gym_Expansion_Data[[#This Row],[Tier]],"Inactive")</f>
        <v>Elite</v>
      </c>
    </row>
    <row r="1659" spans="1:8" x14ac:dyDescent="0.2">
      <c r="A1659">
        <v>2658</v>
      </c>
      <c r="B1659" t="s">
        <v>11</v>
      </c>
      <c r="C1659" t="s">
        <v>12</v>
      </c>
      <c r="D1659" s="1">
        <v>45344</v>
      </c>
      <c r="E1659">
        <v>89</v>
      </c>
      <c r="F1659">
        <v>0</v>
      </c>
      <c r="G1659">
        <f>IF(Gym_Expansion_Data[[#This Row],[Churned]]=0,1,0)</f>
        <v>1</v>
      </c>
      <c r="H1659" t="str">
        <f>IF(Gym_Expansion_Data[[#This Row],[Active Member]]=1,Gym_Expansion_Data[[#This Row],[Tier]],"Inactive")</f>
        <v>Premium</v>
      </c>
    </row>
    <row r="1660" spans="1:8" x14ac:dyDescent="0.2">
      <c r="A1660">
        <v>2659</v>
      </c>
      <c r="B1660" t="s">
        <v>11</v>
      </c>
      <c r="C1660" t="s">
        <v>12</v>
      </c>
      <c r="D1660" s="1">
        <v>45495</v>
      </c>
      <c r="E1660">
        <v>89</v>
      </c>
      <c r="F1660">
        <v>0</v>
      </c>
      <c r="G1660">
        <f>IF(Gym_Expansion_Data[[#This Row],[Churned]]=0,1,0)</f>
        <v>1</v>
      </c>
      <c r="H1660" t="str">
        <f>IF(Gym_Expansion_Data[[#This Row],[Active Member]]=1,Gym_Expansion_Data[[#This Row],[Tier]],"Inactive")</f>
        <v>Premium</v>
      </c>
    </row>
    <row r="1661" spans="1:8" x14ac:dyDescent="0.2">
      <c r="A1661">
        <v>2660</v>
      </c>
      <c r="B1661" t="s">
        <v>6</v>
      </c>
      <c r="C1661" t="s">
        <v>7</v>
      </c>
      <c r="D1661" s="1">
        <v>45613</v>
      </c>
      <c r="E1661">
        <v>49</v>
      </c>
      <c r="F1661">
        <v>0</v>
      </c>
      <c r="G1661">
        <f>IF(Gym_Expansion_Data[[#This Row],[Churned]]=0,1,0)</f>
        <v>1</v>
      </c>
      <c r="H1661" t="str">
        <f>IF(Gym_Expansion_Data[[#This Row],[Active Member]]=1,Gym_Expansion_Data[[#This Row],[Tier]],"Inactive")</f>
        <v>Basic</v>
      </c>
    </row>
    <row r="1662" spans="1:8" x14ac:dyDescent="0.2">
      <c r="A1662">
        <v>2661</v>
      </c>
      <c r="B1662" t="s">
        <v>11</v>
      </c>
      <c r="C1662" t="s">
        <v>7</v>
      </c>
      <c r="D1662" s="1">
        <v>45565</v>
      </c>
      <c r="E1662">
        <v>49</v>
      </c>
      <c r="F1662">
        <v>0</v>
      </c>
      <c r="G1662">
        <f>IF(Gym_Expansion_Data[[#This Row],[Churned]]=0,1,0)</f>
        <v>1</v>
      </c>
      <c r="H1662" t="str">
        <f>IF(Gym_Expansion_Data[[#This Row],[Active Member]]=1,Gym_Expansion_Data[[#This Row],[Tier]],"Inactive")</f>
        <v>Basic</v>
      </c>
    </row>
    <row r="1663" spans="1:8" x14ac:dyDescent="0.2">
      <c r="A1663">
        <v>2662</v>
      </c>
      <c r="B1663" t="s">
        <v>6</v>
      </c>
      <c r="C1663" t="s">
        <v>12</v>
      </c>
      <c r="D1663" s="1">
        <v>45864</v>
      </c>
      <c r="E1663">
        <v>89</v>
      </c>
      <c r="F1663">
        <v>0</v>
      </c>
      <c r="G1663">
        <f>IF(Gym_Expansion_Data[[#This Row],[Churned]]=0,1,0)</f>
        <v>1</v>
      </c>
      <c r="H1663" t="str">
        <f>IF(Gym_Expansion_Data[[#This Row],[Active Member]]=1,Gym_Expansion_Data[[#This Row],[Tier]],"Inactive")</f>
        <v>Premium</v>
      </c>
    </row>
    <row r="1664" spans="1:8" x14ac:dyDescent="0.2">
      <c r="A1664">
        <v>2663</v>
      </c>
      <c r="B1664" t="s">
        <v>10</v>
      </c>
      <c r="C1664" t="s">
        <v>8</v>
      </c>
      <c r="D1664" s="1">
        <v>45396</v>
      </c>
      <c r="E1664">
        <v>129</v>
      </c>
      <c r="F1664">
        <v>0</v>
      </c>
      <c r="G1664">
        <f>IF(Gym_Expansion_Data[[#This Row],[Churned]]=0,1,0)</f>
        <v>1</v>
      </c>
      <c r="H1664" t="str">
        <f>IF(Gym_Expansion_Data[[#This Row],[Active Member]]=1,Gym_Expansion_Data[[#This Row],[Tier]],"Inactive")</f>
        <v>Elite</v>
      </c>
    </row>
    <row r="1665" spans="1:8" x14ac:dyDescent="0.2">
      <c r="A1665">
        <v>2664</v>
      </c>
      <c r="B1665" t="s">
        <v>10</v>
      </c>
      <c r="C1665" t="s">
        <v>7</v>
      </c>
      <c r="D1665" s="1">
        <v>45647</v>
      </c>
      <c r="E1665">
        <v>49</v>
      </c>
      <c r="F1665">
        <v>0</v>
      </c>
      <c r="G1665">
        <f>IF(Gym_Expansion_Data[[#This Row],[Churned]]=0,1,0)</f>
        <v>1</v>
      </c>
      <c r="H1665" t="str">
        <f>IF(Gym_Expansion_Data[[#This Row],[Active Member]]=1,Gym_Expansion_Data[[#This Row],[Tier]],"Inactive")</f>
        <v>Basic</v>
      </c>
    </row>
    <row r="1666" spans="1:8" x14ac:dyDescent="0.2">
      <c r="A1666">
        <v>2665</v>
      </c>
      <c r="B1666" t="s">
        <v>11</v>
      </c>
      <c r="C1666" t="s">
        <v>7</v>
      </c>
      <c r="D1666" s="1">
        <v>45356</v>
      </c>
      <c r="E1666">
        <v>49</v>
      </c>
      <c r="F1666">
        <v>0</v>
      </c>
      <c r="G1666">
        <f>IF(Gym_Expansion_Data[[#This Row],[Churned]]=0,1,0)</f>
        <v>1</v>
      </c>
      <c r="H1666" t="str">
        <f>IF(Gym_Expansion_Data[[#This Row],[Active Member]]=1,Gym_Expansion_Data[[#This Row],[Tier]],"Inactive")</f>
        <v>Basic</v>
      </c>
    </row>
    <row r="1667" spans="1:8" x14ac:dyDescent="0.2">
      <c r="A1667">
        <v>2666</v>
      </c>
      <c r="B1667" t="s">
        <v>9</v>
      </c>
      <c r="C1667" t="s">
        <v>12</v>
      </c>
      <c r="D1667" s="1">
        <v>45536</v>
      </c>
      <c r="E1667">
        <v>89</v>
      </c>
      <c r="F1667">
        <v>0</v>
      </c>
      <c r="G1667">
        <f>IF(Gym_Expansion_Data[[#This Row],[Churned]]=0,1,0)</f>
        <v>1</v>
      </c>
      <c r="H1667" t="str">
        <f>IF(Gym_Expansion_Data[[#This Row],[Active Member]]=1,Gym_Expansion_Data[[#This Row],[Tier]],"Inactive")</f>
        <v>Premium</v>
      </c>
    </row>
    <row r="1668" spans="1:8" x14ac:dyDescent="0.2">
      <c r="A1668">
        <v>2667</v>
      </c>
      <c r="B1668" t="s">
        <v>10</v>
      </c>
      <c r="C1668" t="s">
        <v>7</v>
      </c>
      <c r="D1668" s="1">
        <v>45910</v>
      </c>
      <c r="E1668">
        <v>49</v>
      </c>
      <c r="F1668">
        <v>0</v>
      </c>
      <c r="G1668">
        <f>IF(Gym_Expansion_Data[[#This Row],[Churned]]=0,1,0)</f>
        <v>1</v>
      </c>
      <c r="H1668" t="str">
        <f>IF(Gym_Expansion_Data[[#This Row],[Active Member]]=1,Gym_Expansion_Data[[#This Row],[Tier]],"Inactive")</f>
        <v>Basic</v>
      </c>
    </row>
    <row r="1669" spans="1:8" x14ac:dyDescent="0.2">
      <c r="A1669">
        <v>2668</v>
      </c>
      <c r="B1669" t="s">
        <v>9</v>
      </c>
      <c r="C1669" t="s">
        <v>7</v>
      </c>
      <c r="D1669" s="1">
        <v>45367</v>
      </c>
      <c r="E1669">
        <v>49</v>
      </c>
      <c r="F1669">
        <v>0</v>
      </c>
      <c r="G1669">
        <f>IF(Gym_Expansion_Data[[#This Row],[Churned]]=0,1,0)</f>
        <v>1</v>
      </c>
      <c r="H1669" t="str">
        <f>IF(Gym_Expansion_Data[[#This Row],[Active Member]]=1,Gym_Expansion_Data[[#This Row],[Tier]],"Inactive")</f>
        <v>Basic</v>
      </c>
    </row>
    <row r="1670" spans="1:8" x14ac:dyDescent="0.2">
      <c r="A1670">
        <v>2669</v>
      </c>
      <c r="B1670" t="s">
        <v>9</v>
      </c>
      <c r="C1670" t="s">
        <v>7</v>
      </c>
      <c r="D1670" s="1">
        <v>45570</v>
      </c>
      <c r="E1670">
        <v>49</v>
      </c>
      <c r="F1670">
        <v>0</v>
      </c>
      <c r="G1670">
        <f>IF(Gym_Expansion_Data[[#This Row],[Churned]]=0,1,0)</f>
        <v>1</v>
      </c>
      <c r="H1670" t="str">
        <f>IF(Gym_Expansion_Data[[#This Row],[Active Member]]=1,Gym_Expansion_Data[[#This Row],[Tier]],"Inactive")</f>
        <v>Basic</v>
      </c>
    </row>
    <row r="1671" spans="1:8" x14ac:dyDescent="0.2">
      <c r="A1671">
        <v>2670</v>
      </c>
      <c r="B1671" t="s">
        <v>10</v>
      </c>
      <c r="C1671" t="s">
        <v>7</v>
      </c>
      <c r="D1671" s="1">
        <v>45992</v>
      </c>
      <c r="E1671">
        <v>49</v>
      </c>
      <c r="F1671">
        <v>0</v>
      </c>
      <c r="G1671">
        <f>IF(Gym_Expansion_Data[[#This Row],[Churned]]=0,1,0)</f>
        <v>1</v>
      </c>
      <c r="H1671" t="str">
        <f>IF(Gym_Expansion_Data[[#This Row],[Active Member]]=1,Gym_Expansion_Data[[#This Row],[Tier]],"Inactive")</f>
        <v>Basic</v>
      </c>
    </row>
    <row r="1672" spans="1:8" x14ac:dyDescent="0.2">
      <c r="A1672">
        <v>2671</v>
      </c>
      <c r="B1672" t="s">
        <v>9</v>
      </c>
      <c r="C1672" t="s">
        <v>12</v>
      </c>
      <c r="D1672" s="1">
        <v>45498</v>
      </c>
      <c r="E1672">
        <v>89</v>
      </c>
      <c r="F1672">
        <v>0</v>
      </c>
      <c r="G1672">
        <f>IF(Gym_Expansion_Data[[#This Row],[Churned]]=0,1,0)</f>
        <v>1</v>
      </c>
      <c r="H1672" t="str">
        <f>IF(Gym_Expansion_Data[[#This Row],[Active Member]]=1,Gym_Expansion_Data[[#This Row],[Tier]],"Inactive")</f>
        <v>Premium</v>
      </c>
    </row>
    <row r="1673" spans="1:8" x14ac:dyDescent="0.2">
      <c r="A1673">
        <v>2672</v>
      </c>
      <c r="B1673" t="s">
        <v>9</v>
      </c>
      <c r="C1673" t="s">
        <v>8</v>
      </c>
      <c r="D1673" s="1">
        <v>45612</v>
      </c>
      <c r="E1673">
        <v>129</v>
      </c>
      <c r="F1673">
        <v>0</v>
      </c>
      <c r="G1673">
        <f>IF(Gym_Expansion_Data[[#This Row],[Churned]]=0,1,0)</f>
        <v>1</v>
      </c>
      <c r="H1673" t="str">
        <f>IF(Gym_Expansion_Data[[#This Row],[Active Member]]=1,Gym_Expansion_Data[[#This Row],[Tier]],"Inactive")</f>
        <v>Elite</v>
      </c>
    </row>
    <row r="1674" spans="1:8" x14ac:dyDescent="0.2">
      <c r="A1674">
        <v>2673</v>
      </c>
      <c r="B1674" t="s">
        <v>10</v>
      </c>
      <c r="C1674" t="s">
        <v>7</v>
      </c>
      <c r="D1674" s="1">
        <v>45333</v>
      </c>
      <c r="E1674">
        <v>49</v>
      </c>
      <c r="F1674">
        <v>0</v>
      </c>
      <c r="G1674">
        <f>IF(Gym_Expansion_Data[[#This Row],[Churned]]=0,1,0)</f>
        <v>1</v>
      </c>
      <c r="H1674" t="str">
        <f>IF(Gym_Expansion_Data[[#This Row],[Active Member]]=1,Gym_Expansion_Data[[#This Row],[Tier]],"Inactive")</f>
        <v>Basic</v>
      </c>
    </row>
    <row r="1675" spans="1:8" x14ac:dyDescent="0.2">
      <c r="A1675">
        <v>2674</v>
      </c>
      <c r="B1675" t="s">
        <v>9</v>
      </c>
      <c r="C1675" t="s">
        <v>8</v>
      </c>
      <c r="D1675" s="1">
        <v>45298</v>
      </c>
      <c r="E1675">
        <v>129</v>
      </c>
      <c r="F1675">
        <v>1</v>
      </c>
      <c r="G1675">
        <f>IF(Gym_Expansion_Data[[#This Row],[Churned]]=0,1,0)</f>
        <v>0</v>
      </c>
      <c r="H1675" t="str">
        <f>IF(Gym_Expansion_Data[[#This Row],[Active Member]]=1,Gym_Expansion_Data[[#This Row],[Tier]],"Inactive")</f>
        <v>Inactive</v>
      </c>
    </row>
    <row r="1676" spans="1:8" x14ac:dyDescent="0.2">
      <c r="A1676">
        <v>2675</v>
      </c>
      <c r="B1676" t="s">
        <v>11</v>
      </c>
      <c r="C1676" t="s">
        <v>7</v>
      </c>
      <c r="D1676" s="1">
        <v>45366</v>
      </c>
      <c r="E1676">
        <v>49</v>
      </c>
      <c r="F1676">
        <v>0</v>
      </c>
      <c r="G1676">
        <f>IF(Gym_Expansion_Data[[#This Row],[Churned]]=0,1,0)</f>
        <v>1</v>
      </c>
      <c r="H1676" t="str">
        <f>IF(Gym_Expansion_Data[[#This Row],[Active Member]]=1,Gym_Expansion_Data[[#This Row],[Tier]],"Inactive")</f>
        <v>Basic</v>
      </c>
    </row>
    <row r="1677" spans="1:8" x14ac:dyDescent="0.2">
      <c r="A1677">
        <v>2676</v>
      </c>
      <c r="B1677" t="s">
        <v>9</v>
      </c>
      <c r="C1677" t="s">
        <v>12</v>
      </c>
      <c r="D1677" s="1">
        <v>45799</v>
      </c>
      <c r="E1677">
        <v>89</v>
      </c>
      <c r="F1677">
        <v>1</v>
      </c>
      <c r="G1677">
        <f>IF(Gym_Expansion_Data[[#This Row],[Churned]]=0,1,0)</f>
        <v>0</v>
      </c>
      <c r="H1677" t="str">
        <f>IF(Gym_Expansion_Data[[#This Row],[Active Member]]=1,Gym_Expansion_Data[[#This Row],[Tier]],"Inactive")</f>
        <v>Inactive</v>
      </c>
    </row>
    <row r="1678" spans="1:8" x14ac:dyDescent="0.2">
      <c r="A1678">
        <v>2677</v>
      </c>
      <c r="B1678" t="s">
        <v>6</v>
      </c>
      <c r="C1678" t="s">
        <v>12</v>
      </c>
      <c r="D1678" s="1">
        <v>45481</v>
      </c>
      <c r="E1678">
        <v>89</v>
      </c>
      <c r="F1678">
        <v>0</v>
      </c>
      <c r="G1678">
        <f>IF(Gym_Expansion_Data[[#This Row],[Churned]]=0,1,0)</f>
        <v>1</v>
      </c>
      <c r="H1678" t="str">
        <f>IF(Gym_Expansion_Data[[#This Row],[Active Member]]=1,Gym_Expansion_Data[[#This Row],[Tier]],"Inactive")</f>
        <v>Premium</v>
      </c>
    </row>
    <row r="1679" spans="1:8" x14ac:dyDescent="0.2">
      <c r="A1679">
        <v>2678</v>
      </c>
      <c r="B1679" t="s">
        <v>9</v>
      </c>
      <c r="C1679" t="s">
        <v>7</v>
      </c>
      <c r="D1679" s="1">
        <v>45711</v>
      </c>
      <c r="E1679">
        <v>49</v>
      </c>
      <c r="F1679">
        <v>1</v>
      </c>
      <c r="G1679">
        <f>IF(Gym_Expansion_Data[[#This Row],[Churned]]=0,1,0)</f>
        <v>0</v>
      </c>
      <c r="H1679" t="str">
        <f>IF(Gym_Expansion_Data[[#This Row],[Active Member]]=1,Gym_Expansion_Data[[#This Row],[Tier]],"Inactive")</f>
        <v>Inactive</v>
      </c>
    </row>
    <row r="1680" spans="1:8" x14ac:dyDescent="0.2">
      <c r="A1680">
        <v>2679</v>
      </c>
      <c r="B1680" t="s">
        <v>9</v>
      </c>
      <c r="C1680" t="s">
        <v>12</v>
      </c>
      <c r="D1680" s="1">
        <v>45537</v>
      </c>
      <c r="E1680">
        <v>89</v>
      </c>
      <c r="F1680">
        <v>1</v>
      </c>
      <c r="G1680">
        <f>IF(Gym_Expansion_Data[[#This Row],[Churned]]=0,1,0)</f>
        <v>0</v>
      </c>
      <c r="H1680" t="str">
        <f>IF(Gym_Expansion_Data[[#This Row],[Active Member]]=1,Gym_Expansion_Data[[#This Row],[Tier]],"Inactive")</f>
        <v>Inactive</v>
      </c>
    </row>
    <row r="1681" spans="1:8" x14ac:dyDescent="0.2">
      <c r="A1681">
        <v>2680</v>
      </c>
      <c r="B1681" t="s">
        <v>6</v>
      </c>
      <c r="C1681" t="s">
        <v>12</v>
      </c>
      <c r="D1681" s="1">
        <v>45349</v>
      </c>
      <c r="E1681">
        <v>89</v>
      </c>
      <c r="F1681">
        <v>0</v>
      </c>
      <c r="G1681">
        <f>IF(Gym_Expansion_Data[[#This Row],[Churned]]=0,1,0)</f>
        <v>1</v>
      </c>
      <c r="H1681" t="str">
        <f>IF(Gym_Expansion_Data[[#This Row],[Active Member]]=1,Gym_Expansion_Data[[#This Row],[Tier]],"Inactive")</f>
        <v>Premium</v>
      </c>
    </row>
    <row r="1682" spans="1:8" x14ac:dyDescent="0.2">
      <c r="A1682">
        <v>2681</v>
      </c>
      <c r="B1682" t="s">
        <v>10</v>
      </c>
      <c r="C1682" t="s">
        <v>8</v>
      </c>
      <c r="D1682" s="1">
        <v>45653</v>
      </c>
      <c r="E1682">
        <v>129</v>
      </c>
      <c r="F1682">
        <v>0</v>
      </c>
      <c r="G1682">
        <f>IF(Gym_Expansion_Data[[#This Row],[Churned]]=0,1,0)</f>
        <v>1</v>
      </c>
      <c r="H1682" t="str">
        <f>IF(Gym_Expansion_Data[[#This Row],[Active Member]]=1,Gym_Expansion_Data[[#This Row],[Tier]],"Inactive")</f>
        <v>Elite</v>
      </c>
    </row>
    <row r="1683" spans="1:8" x14ac:dyDescent="0.2">
      <c r="A1683">
        <v>2682</v>
      </c>
      <c r="B1683" t="s">
        <v>6</v>
      </c>
      <c r="C1683" t="s">
        <v>12</v>
      </c>
      <c r="D1683" s="1">
        <v>45721</v>
      </c>
      <c r="E1683">
        <v>89</v>
      </c>
      <c r="F1683">
        <v>0</v>
      </c>
      <c r="G1683">
        <f>IF(Gym_Expansion_Data[[#This Row],[Churned]]=0,1,0)</f>
        <v>1</v>
      </c>
      <c r="H1683" t="str">
        <f>IF(Gym_Expansion_Data[[#This Row],[Active Member]]=1,Gym_Expansion_Data[[#This Row],[Tier]],"Inactive")</f>
        <v>Premium</v>
      </c>
    </row>
    <row r="1684" spans="1:8" x14ac:dyDescent="0.2">
      <c r="A1684">
        <v>2683</v>
      </c>
      <c r="B1684" t="s">
        <v>9</v>
      </c>
      <c r="C1684" t="s">
        <v>12</v>
      </c>
      <c r="D1684" s="1">
        <v>45720</v>
      </c>
      <c r="E1684">
        <v>89</v>
      </c>
      <c r="F1684">
        <v>0</v>
      </c>
      <c r="G1684">
        <f>IF(Gym_Expansion_Data[[#This Row],[Churned]]=0,1,0)</f>
        <v>1</v>
      </c>
      <c r="H1684" t="str">
        <f>IF(Gym_Expansion_Data[[#This Row],[Active Member]]=1,Gym_Expansion_Data[[#This Row],[Tier]],"Inactive")</f>
        <v>Premium</v>
      </c>
    </row>
    <row r="1685" spans="1:8" x14ac:dyDescent="0.2">
      <c r="A1685">
        <v>2684</v>
      </c>
      <c r="B1685" t="s">
        <v>9</v>
      </c>
      <c r="C1685" t="s">
        <v>8</v>
      </c>
      <c r="D1685" s="1">
        <v>45715</v>
      </c>
      <c r="E1685">
        <v>129</v>
      </c>
      <c r="F1685">
        <v>0</v>
      </c>
      <c r="G1685">
        <f>IF(Gym_Expansion_Data[[#This Row],[Churned]]=0,1,0)</f>
        <v>1</v>
      </c>
      <c r="H1685" t="str">
        <f>IF(Gym_Expansion_Data[[#This Row],[Active Member]]=1,Gym_Expansion_Data[[#This Row],[Tier]],"Inactive")</f>
        <v>Elite</v>
      </c>
    </row>
    <row r="1686" spans="1:8" x14ac:dyDescent="0.2">
      <c r="A1686">
        <v>2685</v>
      </c>
      <c r="B1686" t="s">
        <v>9</v>
      </c>
      <c r="C1686" t="s">
        <v>7</v>
      </c>
      <c r="D1686" s="1">
        <v>45818</v>
      </c>
      <c r="E1686">
        <v>49</v>
      </c>
      <c r="F1686">
        <v>0</v>
      </c>
      <c r="G1686">
        <f>IF(Gym_Expansion_Data[[#This Row],[Churned]]=0,1,0)</f>
        <v>1</v>
      </c>
      <c r="H1686" t="str">
        <f>IF(Gym_Expansion_Data[[#This Row],[Active Member]]=1,Gym_Expansion_Data[[#This Row],[Tier]],"Inactive")</f>
        <v>Basic</v>
      </c>
    </row>
    <row r="1687" spans="1:8" x14ac:dyDescent="0.2">
      <c r="A1687">
        <v>2686</v>
      </c>
      <c r="B1687" t="s">
        <v>11</v>
      </c>
      <c r="C1687" t="s">
        <v>8</v>
      </c>
      <c r="D1687" s="1">
        <v>45367</v>
      </c>
      <c r="E1687">
        <v>129</v>
      </c>
      <c r="F1687">
        <v>0</v>
      </c>
      <c r="G1687">
        <f>IF(Gym_Expansion_Data[[#This Row],[Churned]]=0,1,0)</f>
        <v>1</v>
      </c>
      <c r="H1687" t="str">
        <f>IF(Gym_Expansion_Data[[#This Row],[Active Member]]=1,Gym_Expansion_Data[[#This Row],[Tier]],"Inactive")</f>
        <v>Elite</v>
      </c>
    </row>
    <row r="1688" spans="1:8" x14ac:dyDescent="0.2">
      <c r="A1688">
        <v>2687</v>
      </c>
      <c r="B1688" t="s">
        <v>11</v>
      </c>
      <c r="C1688" t="s">
        <v>8</v>
      </c>
      <c r="D1688" s="1">
        <v>45380</v>
      </c>
      <c r="E1688">
        <v>129</v>
      </c>
      <c r="F1688">
        <v>1</v>
      </c>
      <c r="G1688">
        <f>IF(Gym_Expansion_Data[[#This Row],[Churned]]=0,1,0)</f>
        <v>0</v>
      </c>
      <c r="H1688" t="str">
        <f>IF(Gym_Expansion_Data[[#This Row],[Active Member]]=1,Gym_Expansion_Data[[#This Row],[Tier]],"Inactive")</f>
        <v>Inactive</v>
      </c>
    </row>
    <row r="1689" spans="1:8" x14ac:dyDescent="0.2">
      <c r="A1689">
        <v>2688</v>
      </c>
      <c r="B1689" t="s">
        <v>9</v>
      </c>
      <c r="C1689" t="s">
        <v>12</v>
      </c>
      <c r="D1689" s="1">
        <v>45816</v>
      </c>
      <c r="E1689">
        <v>89</v>
      </c>
      <c r="F1689">
        <v>0</v>
      </c>
      <c r="G1689">
        <f>IF(Gym_Expansion_Data[[#This Row],[Churned]]=0,1,0)</f>
        <v>1</v>
      </c>
      <c r="H1689" t="str">
        <f>IF(Gym_Expansion_Data[[#This Row],[Active Member]]=1,Gym_Expansion_Data[[#This Row],[Tier]],"Inactive")</f>
        <v>Premium</v>
      </c>
    </row>
    <row r="1690" spans="1:8" x14ac:dyDescent="0.2">
      <c r="A1690">
        <v>2689</v>
      </c>
      <c r="B1690" t="s">
        <v>11</v>
      </c>
      <c r="C1690" t="s">
        <v>12</v>
      </c>
      <c r="D1690" s="1">
        <v>45509</v>
      </c>
      <c r="E1690">
        <v>89</v>
      </c>
      <c r="F1690">
        <v>1</v>
      </c>
      <c r="G1690">
        <f>IF(Gym_Expansion_Data[[#This Row],[Churned]]=0,1,0)</f>
        <v>0</v>
      </c>
      <c r="H1690" t="str">
        <f>IF(Gym_Expansion_Data[[#This Row],[Active Member]]=1,Gym_Expansion_Data[[#This Row],[Tier]],"Inactive")</f>
        <v>Inactive</v>
      </c>
    </row>
    <row r="1691" spans="1:8" x14ac:dyDescent="0.2">
      <c r="A1691">
        <v>2690</v>
      </c>
      <c r="B1691" t="s">
        <v>10</v>
      </c>
      <c r="C1691" t="s">
        <v>8</v>
      </c>
      <c r="D1691" s="1">
        <v>45349</v>
      </c>
      <c r="E1691">
        <v>129</v>
      </c>
      <c r="F1691">
        <v>0</v>
      </c>
      <c r="G1691">
        <f>IF(Gym_Expansion_Data[[#This Row],[Churned]]=0,1,0)</f>
        <v>1</v>
      </c>
      <c r="H1691" t="str">
        <f>IF(Gym_Expansion_Data[[#This Row],[Active Member]]=1,Gym_Expansion_Data[[#This Row],[Tier]],"Inactive")</f>
        <v>Elite</v>
      </c>
    </row>
    <row r="1692" spans="1:8" x14ac:dyDescent="0.2">
      <c r="A1692">
        <v>2691</v>
      </c>
      <c r="B1692" t="s">
        <v>9</v>
      </c>
      <c r="C1692" t="s">
        <v>7</v>
      </c>
      <c r="D1692" s="1">
        <v>45329</v>
      </c>
      <c r="E1692">
        <v>49</v>
      </c>
      <c r="F1692">
        <v>0</v>
      </c>
      <c r="G1692">
        <f>IF(Gym_Expansion_Data[[#This Row],[Churned]]=0,1,0)</f>
        <v>1</v>
      </c>
      <c r="H1692" t="str">
        <f>IF(Gym_Expansion_Data[[#This Row],[Active Member]]=1,Gym_Expansion_Data[[#This Row],[Tier]],"Inactive")</f>
        <v>Basic</v>
      </c>
    </row>
    <row r="1693" spans="1:8" x14ac:dyDescent="0.2">
      <c r="A1693">
        <v>2692</v>
      </c>
      <c r="B1693" t="s">
        <v>11</v>
      </c>
      <c r="C1693" t="s">
        <v>12</v>
      </c>
      <c r="D1693" s="1">
        <v>45539</v>
      </c>
      <c r="E1693">
        <v>89</v>
      </c>
      <c r="F1693">
        <v>0</v>
      </c>
      <c r="G1693">
        <f>IF(Gym_Expansion_Data[[#This Row],[Churned]]=0,1,0)</f>
        <v>1</v>
      </c>
      <c r="H1693" t="str">
        <f>IF(Gym_Expansion_Data[[#This Row],[Active Member]]=1,Gym_Expansion_Data[[#This Row],[Tier]],"Inactive")</f>
        <v>Premium</v>
      </c>
    </row>
    <row r="1694" spans="1:8" x14ac:dyDescent="0.2">
      <c r="A1694">
        <v>2693</v>
      </c>
      <c r="B1694" t="s">
        <v>9</v>
      </c>
      <c r="C1694" t="s">
        <v>7</v>
      </c>
      <c r="D1694" s="1">
        <v>45802</v>
      </c>
      <c r="E1694">
        <v>49</v>
      </c>
      <c r="F1694">
        <v>0</v>
      </c>
      <c r="G1694">
        <f>IF(Gym_Expansion_Data[[#This Row],[Churned]]=0,1,0)</f>
        <v>1</v>
      </c>
      <c r="H1694" t="str">
        <f>IF(Gym_Expansion_Data[[#This Row],[Active Member]]=1,Gym_Expansion_Data[[#This Row],[Tier]],"Inactive")</f>
        <v>Basic</v>
      </c>
    </row>
    <row r="1695" spans="1:8" x14ac:dyDescent="0.2">
      <c r="A1695">
        <v>2694</v>
      </c>
      <c r="B1695" t="s">
        <v>6</v>
      </c>
      <c r="C1695" t="s">
        <v>12</v>
      </c>
      <c r="D1695" s="1">
        <v>45332</v>
      </c>
      <c r="E1695">
        <v>89</v>
      </c>
      <c r="F1695">
        <v>0</v>
      </c>
      <c r="G1695">
        <f>IF(Gym_Expansion_Data[[#This Row],[Churned]]=0,1,0)</f>
        <v>1</v>
      </c>
      <c r="H1695" t="str">
        <f>IF(Gym_Expansion_Data[[#This Row],[Active Member]]=1,Gym_Expansion_Data[[#This Row],[Tier]],"Inactive")</f>
        <v>Premium</v>
      </c>
    </row>
    <row r="1696" spans="1:8" x14ac:dyDescent="0.2">
      <c r="A1696">
        <v>2695</v>
      </c>
      <c r="B1696" t="s">
        <v>9</v>
      </c>
      <c r="C1696" t="s">
        <v>7</v>
      </c>
      <c r="D1696" s="1">
        <v>45869</v>
      </c>
      <c r="E1696">
        <v>49</v>
      </c>
      <c r="F1696">
        <v>0</v>
      </c>
      <c r="G1696">
        <f>IF(Gym_Expansion_Data[[#This Row],[Churned]]=0,1,0)</f>
        <v>1</v>
      </c>
      <c r="H1696" t="str">
        <f>IF(Gym_Expansion_Data[[#This Row],[Active Member]]=1,Gym_Expansion_Data[[#This Row],[Tier]],"Inactive")</f>
        <v>Basic</v>
      </c>
    </row>
    <row r="1697" spans="1:8" x14ac:dyDescent="0.2">
      <c r="A1697">
        <v>2696</v>
      </c>
      <c r="B1697" t="s">
        <v>6</v>
      </c>
      <c r="C1697" t="s">
        <v>12</v>
      </c>
      <c r="D1697" s="1">
        <v>45976</v>
      </c>
      <c r="E1697">
        <v>89</v>
      </c>
      <c r="F1697">
        <v>0</v>
      </c>
      <c r="G1697">
        <f>IF(Gym_Expansion_Data[[#This Row],[Churned]]=0,1,0)</f>
        <v>1</v>
      </c>
      <c r="H1697" t="str">
        <f>IF(Gym_Expansion_Data[[#This Row],[Active Member]]=1,Gym_Expansion_Data[[#This Row],[Tier]],"Inactive")</f>
        <v>Premium</v>
      </c>
    </row>
    <row r="1698" spans="1:8" x14ac:dyDescent="0.2">
      <c r="A1698">
        <v>2697</v>
      </c>
      <c r="B1698" t="s">
        <v>6</v>
      </c>
      <c r="C1698" t="s">
        <v>7</v>
      </c>
      <c r="D1698" s="1">
        <v>45829</v>
      </c>
      <c r="E1698">
        <v>49</v>
      </c>
      <c r="F1698">
        <v>0</v>
      </c>
      <c r="G1698">
        <f>IF(Gym_Expansion_Data[[#This Row],[Churned]]=0,1,0)</f>
        <v>1</v>
      </c>
      <c r="H1698" t="str">
        <f>IF(Gym_Expansion_Data[[#This Row],[Active Member]]=1,Gym_Expansion_Data[[#This Row],[Tier]],"Inactive")</f>
        <v>Basic</v>
      </c>
    </row>
    <row r="1699" spans="1:8" x14ac:dyDescent="0.2">
      <c r="A1699">
        <v>2698</v>
      </c>
      <c r="B1699" t="s">
        <v>9</v>
      </c>
      <c r="C1699" t="s">
        <v>7</v>
      </c>
      <c r="D1699" s="1">
        <v>45941</v>
      </c>
      <c r="E1699">
        <v>49</v>
      </c>
      <c r="F1699">
        <v>0</v>
      </c>
      <c r="G1699">
        <f>IF(Gym_Expansion_Data[[#This Row],[Churned]]=0,1,0)</f>
        <v>1</v>
      </c>
      <c r="H1699" t="str">
        <f>IF(Gym_Expansion_Data[[#This Row],[Active Member]]=1,Gym_Expansion_Data[[#This Row],[Tier]],"Inactive")</f>
        <v>Basic</v>
      </c>
    </row>
    <row r="1700" spans="1:8" x14ac:dyDescent="0.2">
      <c r="A1700">
        <v>2699</v>
      </c>
      <c r="B1700" t="s">
        <v>10</v>
      </c>
      <c r="C1700" t="s">
        <v>7</v>
      </c>
      <c r="D1700" s="1">
        <v>45761</v>
      </c>
      <c r="E1700">
        <v>49</v>
      </c>
      <c r="F1700">
        <v>0</v>
      </c>
      <c r="G1700">
        <f>IF(Gym_Expansion_Data[[#This Row],[Churned]]=0,1,0)</f>
        <v>1</v>
      </c>
      <c r="H1700" t="str">
        <f>IF(Gym_Expansion_Data[[#This Row],[Active Member]]=1,Gym_Expansion_Data[[#This Row],[Tier]],"Inactive")</f>
        <v>Basic</v>
      </c>
    </row>
    <row r="1701" spans="1:8" x14ac:dyDescent="0.2">
      <c r="A1701">
        <v>2700</v>
      </c>
      <c r="B1701" t="s">
        <v>9</v>
      </c>
      <c r="C1701" t="s">
        <v>12</v>
      </c>
      <c r="D1701" s="1">
        <v>45605</v>
      </c>
      <c r="E1701">
        <v>89</v>
      </c>
      <c r="F1701">
        <v>1</v>
      </c>
      <c r="G1701">
        <f>IF(Gym_Expansion_Data[[#This Row],[Churned]]=0,1,0)</f>
        <v>0</v>
      </c>
      <c r="H1701" t="str">
        <f>IF(Gym_Expansion_Data[[#This Row],[Active Member]]=1,Gym_Expansion_Data[[#This Row],[Tier]],"Inactive")</f>
        <v>Inactive</v>
      </c>
    </row>
    <row r="1702" spans="1:8" x14ac:dyDescent="0.2">
      <c r="A1702">
        <v>2701</v>
      </c>
      <c r="B1702" t="s">
        <v>9</v>
      </c>
      <c r="C1702" t="s">
        <v>7</v>
      </c>
      <c r="D1702" s="1">
        <v>45767</v>
      </c>
      <c r="E1702">
        <v>49</v>
      </c>
      <c r="F1702">
        <v>0</v>
      </c>
      <c r="G1702">
        <f>IF(Gym_Expansion_Data[[#This Row],[Churned]]=0,1,0)</f>
        <v>1</v>
      </c>
      <c r="H1702" t="str">
        <f>IF(Gym_Expansion_Data[[#This Row],[Active Member]]=1,Gym_Expansion_Data[[#This Row],[Tier]],"Inactive")</f>
        <v>Basic</v>
      </c>
    </row>
    <row r="1703" spans="1:8" x14ac:dyDescent="0.2">
      <c r="A1703">
        <v>2702</v>
      </c>
      <c r="B1703" t="s">
        <v>9</v>
      </c>
      <c r="C1703" t="s">
        <v>7</v>
      </c>
      <c r="D1703" s="1">
        <v>45793</v>
      </c>
      <c r="E1703">
        <v>49</v>
      </c>
      <c r="F1703">
        <v>0</v>
      </c>
      <c r="G1703">
        <f>IF(Gym_Expansion_Data[[#This Row],[Churned]]=0,1,0)</f>
        <v>1</v>
      </c>
      <c r="H1703" t="str">
        <f>IF(Gym_Expansion_Data[[#This Row],[Active Member]]=1,Gym_Expansion_Data[[#This Row],[Tier]],"Inactive")</f>
        <v>Basic</v>
      </c>
    </row>
    <row r="1704" spans="1:8" x14ac:dyDescent="0.2">
      <c r="A1704">
        <v>2703</v>
      </c>
      <c r="B1704" t="s">
        <v>10</v>
      </c>
      <c r="C1704" t="s">
        <v>8</v>
      </c>
      <c r="D1704" s="1">
        <v>45451</v>
      </c>
      <c r="E1704">
        <v>129</v>
      </c>
      <c r="F1704">
        <v>0</v>
      </c>
      <c r="G1704">
        <f>IF(Gym_Expansion_Data[[#This Row],[Churned]]=0,1,0)</f>
        <v>1</v>
      </c>
      <c r="H1704" t="str">
        <f>IF(Gym_Expansion_Data[[#This Row],[Active Member]]=1,Gym_Expansion_Data[[#This Row],[Tier]],"Inactive")</f>
        <v>Elite</v>
      </c>
    </row>
    <row r="1705" spans="1:8" x14ac:dyDescent="0.2">
      <c r="A1705">
        <v>2704</v>
      </c>
      <c r="B1705" t="s">
        <v>11</v>
      </c>
      <c r="C1705" t="s">
        <v>12</v>
      </c>
      <c r="D1705" s="1">
        <v>45598</v>
      </c>
      <c r="E1705">
        <v>89</v>
      </c>
      <c r="F1705">
        <v>0</v>
      </c>
      <c r="G1705">
        <f>IF(Gym_Expansion_Data[[#This Row],[Churned]]=0,1,0)</f>
        <v>1</v>
      </c>
      <c r="H1705" t="str">
        <f>IF(Gym_Expansion_Data[[#This Row],[Active Member]]=1,Gym_Expansion_Data[[#This Row],[Tier]],"Inactive")</f>
        <v>Premium</v>
      </c>
    </row>
    <row r="1706" spans="1:8" x14ac:dyDescent="0.2">
      <c r="A1706">
        <v>2705</v>
      </c>
      <c r="B1706" t="s">
        <v>11</v>
      </c>
      <c r="C1706" t="s">
        <v>7</v>
      </c>
      <c r="D1706" s="1">
        <v>45914</v>
      </c>
      <c r="E1706">
        <v>49</v>
      </c>
      <c r="F1706">
        <v>0</v>
      </c>
      <c r="G1706">
        <f>IF(Gym_Expansion_Data[[#This Row],[Churned]]=0,1,0)</f>
        <v>1</v>
      </c>
      <c r="H1706" t="str">
        <f>IF(Gym_Expansion_Data[[#This Row],[Active Member]]=1,Gym_Expansion_Data[[#This Row],[Tier]],"Inactive")</f>
        <v>Basic</v>
      </c>
    </row>
    <row r="1707" spans="1:8" x14ac:dyDescent="0.2">
      <c r="A1707">
        <v>2706</v>
      </c>
      <c r="B1707" t="s">
        <v>10</v>
      </c>
      <c r="C1707" t="s">
        <v>7</v>
      </c>
      <c r="D1707" s="1">
        <v>45353</v>
      </c>
      <c r="E1707">
        <v>49</v>
      </c>
      <c r="F1707">
        <v>0</v>
      </c>
      <c r="G1707">
        <f>IF(Gym_Expansion_Data[[#This Row],[Churned]]=0,1,0)</f>
        <v>1</v>
      </c>
      <c r="H1707" t="str">
        <f>IF(Gym_Expansion_Data[[#This Row],[Active Member]]=1,Gym_Expansion_Data[[#This Row],[Tier]],"Inactive")</f>
        <v>Basic</v>
      </c>
    </row>
    <row r="1708" spans="1:8" x14ac:dyDescent="0.2">
      <c r="A1708">
        <v>2707</v>
      </c>
      <c r="B1708" t="s">
        <v>9</v>
      </c>
      <c r="C1708" t="s">
        <v>7</v>
      </c>
      <c r="D1708" s="1">
        <v>45987</v>
      </c>
      <c r="E1708">
        <v>49</v>
      </c>
      <c r="F1708">
        <v>0</v>
      </c>
      <c r="G1708">
        <f>IF(Gym_Expansion_Data[[#This Row],[Churned]]=0,1,0)</f>
        <v>1</v>
      </c>
      <c r="H1708" t="str">
        <f>IF(Gym_Expansion_Data[[#This Row],[Active Member]]=1,Gym_Expansion_Data[[#This Row],[Tier]],"Inactive")</f>
        <v>Basic</v>
      </c>
    </row>
    <row r="1709" spans="1:8" x14ac:dyDescent="0.2">
      <c r="A1709">
        <v>2708</v>
      </c>
      <c r="B1709" t="s">
        <v>9</v>
      </c>
      <c r="C1709" t="s">
        <v>8</v>
      </c>
      <c r="D1709" s="1">
        <v>45868</v>
      </c>
      <c r="E1709">
        <v>129</v>
      </c>
      <c r="F1709">
        <v>1</v>
      </c>
      <c r="G1709">
        <f>IF(Gym_Expansion_Data[[#This Row],[Churned]]=0,1,0)</f>
        <v>0</v>
      </c>
      <c r="H1709" t="str">
        <f>IF(Gym_Expansion_Data[[#This Row],[Active Member]]=1,Gym_Expansion_Data[[#This Row],[Tier]],"Inactive")</f>
        <v>Inactive</v>
      </c>
    </row>
    <row r="1710" spans="1:8" x14ac:dyDescent="0.2">
      <c r="A1710">
        <v>2709</v>
      </c>
      <c r="B1710" t="s">
        <v>10</v>
      </c>
      <c r="C1710" t="s">
        <v>7</v>
      </c>
      <c r="D1710" s="1">
        <v>45716</v>
      </c>
      <c r="E1710">
        <v>49</v>
      </c>
      <c r="F1710">
        <v>0</v>
      </c>
      <c r="G1710">
        <f>IF(Gym_Expansion_Data[[#This Row],[Churned]]=0,1,0)</f>
        <v>1</v>
      </c>
      <c r="H1710" t="str">
        <f>IF(Gym_Expansion_Data[[#This Row],[Active Member]]=1,Gym_Expansion_Data[[#This Row],[Tier]],"Inactive")</f>
        <v>Basic</v>
      </c>
    </row>
    <row r="1711" spans="1:8" x14ac:dyDescent="0.2">
      <c r="A1711">
        <v>2710</v>
      </c>
      <c r="B1711" t="s">
        <v>10</v>
      </c>
      <c r="C1711" t="s">
        <v>8</v>
      </c>
      <c r="D1711" s="1">
        <v>45405</v>
      </c>
      <c r="E1711">
        <v>129</v>
      </c>
      <c r="F1711">
        <v>0</v>
      </c>
      <c r="G1711">
        <f>IF(Gym_Expansion_Data[[#This Row],[Churned]]=0,1,0)</f>
        <v>1</v>
      </c>
      <c r="H1711" t="str">
        <f>IF(Gym_Expansion_Data[[#This Row],[Active Member]]=1,Gym_Expansion_Data[[#This Row],[Tier]],"Inactive")</f>
        <v>Elite</v>
      </c>
    </row>
    <row r="1712" spans="1:8" x14ac:dyDescent="0.2">
      <c r="A1712">
        <v>2711</v>
      </c>
      <c r="B1712" t="s">
        <v>11</v>
      </c>
      <c r="C1712" t="s">
        <v>7</v>
      </c>
      <c r="D1712" s="1">
        <v>45338</v>
      </c>
      <c r="E1712">
        <v>49</v>
      </c>
      <c r="F1712">
        <v>1</v>
      </c>
      <c r="G1712">
        <f>IF(Gym_Expansion_Data[[#This Row],[Churned]]=0,1,0)</f>
        <v>0</v>
      </c>
      <c r="H1712" t="str">
        <f>IF(Gym_Expansion_Data[[#This Row],[Active Member]]=1,Gym_Expansion_Data[[#This Row],[Tier]],"Inactive")</f>
        <v>Inactive</v>
      </c>
    </row>
    <row r="1713" spans="1:8" x14ac:dyDescent="0.2">
      <c r="A1713">
        <v>2712</v>
      </c>
      <c r="B1713" t="s">
        <v>10</v>
      </c>
      <c r="C1713" t="s">
        <v>8</v>
      </c>
      <c r="D1713" s="1">
        <v>45752</v>
      </c>
      <c r="E1713">
        <v>129</v>
      </c>
      <c r="F1713">
        <v>0</v>
      </c>
      <c r="G1713">
        <f>IF(Gym_Expansion_Data[[#This Row],[Churned]]=0,1,0)</f>
        <v>1</v>
      </c>
      <c r="H1713" t="str">
        <f>IF(Gym_Expansion_Data[[#This Row],[Active Member]]=1,Gym_Expansion_Data[[#This Row],[Tier]],"Inactive")</f>
        <v>Elite</v>
      </c>
    </row>
    <row r="1714" spans="1:8" x14ac:dyDescent="0.2">
      <c r="A1714">
        <v>2713</v>
      </c>
      <c r="B1714" t="s">
        <v>6</v>
      </c>
      <c r="C1714" t="s">
        <v>12</v>
      </c>
      <c r="D1714" s="1">
        <v>45977</v>
      </c>
      <c r="E1714">
        <v>89</v>
      </c>
      <c r="F1714">
        <v>0</v>
      </c>
      <c r="G1714">
        <f>IF(Gym_Expansion_Data[[#This Row],[Churned]]=0,1,0)</f>
        <v>1</v>
      </c>
      <c r="H1714" t="str">
        <f>IF(Gym_Expansion_Data[[#This Row],[Active Member]]=1,Gym_Expansion_Data[[#This Row],[Tier]],"Inactive")</f>
        <v>Premium</v>
      </c>
    </row>
    <row r="1715" spans="1:8" x14ac:dyDescent="0.2">
      <c r="A1715">
        <v>2714</v>
      </c>
      <c r="B1715" t="s">
        <v>6</v>
      </c>
      <c r="C1715" t="s">
        <v>12</v>
      </c>
      <c r="D1715" s="1">
        <v>45921</v>
      </c>
      <c r="E1715">
        <v>89</v>
      </c>
      <c r="F1715">
        <v>0</v>
      </c>
      <c r="G1715">
        <f>IF(Gym_Expansion_Data[[#This Row],[Churned]]=0,1,0)</f>
        <v>1</v>
      </c>
      <c r="H1715" t="str">
        <f>IF(Gym_Expansion_Data[[#This Row],[Active Member]]=1,Gym_Expansion_Data[[#This Row],[Tier]],"Inactive")</f>
        <v>Premium</v>
      </c>
    </row>
    <row r="1716" spans="1:8" x14ac:dyDescent="0.2">
      <c r="A1716">
        <v>2715</v>
      </c>
      <c r="B1716" t="s">
        <v>11</v>
      </c>
      <c r="C1716" t="s">
        <v>12</v>
      </c>
      <c r="D1716" s="1">
        <v>45333</v>
      </c>
      <c r="E1716">
        <v>89</v>
      </c>
      <c r="F1716">
        <v>0</v>
      </c>
      <c r="G1716">
        <f>IF(Gym_Expansion_Data[[#This Row],[Churned]]=0,1,0)</f>
        <v>1</v>
      </c>
      <c r="H1716" t="str">
        <f>IF(Gym_Expansion_Data[[#This Row],[Active Member]]=1,Gym_Expansion_Data[[#This Row],[Tier]],"Inactive")</f>
        <v>Premium</v>
      </c>
    </row>
    <row r="1717" spans="1:8" x14ac:dyDescent="0.2">
      <c r="A1717">
        <v>2716</v>
      </c>
      <c r="B1717" t="s">
        <v>9</v>
      </c>
      <c r="C1717" t="s">
        <v>7</v>
      </c>
      <c r="D1717" s="1">
        <v>45814</v>
      </c>
      <c r="E1717">
        <v>49</v>
      </c>
      <c r="F1717">
        <v>0</v>
      </c>
      <c r="G1717">
        <f>IF(Gym_Expansion_Data[[#This Row],[Churned]]=0,1,0)</f>
        <v>1</v>
      </c>
      <c r="H1717" t="str">
        <f>IF(Gym_Expansion_Data[[#This Row],[Active Member]]=1,Gym_Expansion_Data[[#This Row],[Tier]],"Inactive")</f>
        <v>Basic</v>
      </c>
    </row>
    <row r="1718" spans="1:8" x14ac:dyDescent="0.2">
      <c r="A1718">
        <v>2717</v>
      </c>
      <c r="B1718" t="s">
        <v>6</v>
      </c>
      <c r="C1718" t="s">
        <v>7</v>
      </c>
      <c r="D1718" s="1">
        <v>45752</v>
      </c>
      <c r="E1718">
        <v>49</v>
      </c>
      <c r="F1718">
        <v>0</v>
      </c>
      <c r="G1718">
        <f>IF(Gym_Expansion_Data[[#This Row],[Churned]]=0,1,0)</f>
        <v>1</v>
      </c>
      <c r="H1718" t="str">
        <f>IF(Gym_Expansion_Data[[#This Row],[Active Member]]=1,Gym_Expansion_Data[[#This Row],[Tier]],"Inactive")</f>
        <v>Basic</v>
      </c>
    </row>
    <row r="1719" spans="1:8" x14ac:dyDescent="0.2">
      <c r="A1719">
        <v>2718</v>
      </c>
      <c r="B1719" t="s">
        <v>9</v>
      </c>
      <c r="C1719" t="s">
        <v>7</v>
      </c>
      <c r="D1719" s="1">
        <v>45690</v>
      </c>
      <c r="E1719">
        <v>49</v>
      </c>
      <c r="F1719">
        <v>0</v>
      </c>
      <c r="G1719">
        <f>IF(Gym_Expansion_Data[[#This Row],[Churned]]=0,1,0)</f>
        <v>1</v>
      </c>
      <c r="H1719" t="str">
        <f>IF(Gym_Expansion_Data[[#This Row],[Active Member]]=1,Gym_Expansion_Data[[#This Row],[Tier]],"Inactive")</f>
        <v>Basic</v>
      </c>
    </row>
    <row r="1720" spans="1:8" x14ac:dyDescent="0.2">
      <c r="A1720">
        <v>2719</v>
      </c>
      <c r="B1720" t="s">
        <v>9</v>
      </c>
      <c r="C1720" t="s">
        <v>7</v>
      </c>
      <c r="D1720" s="1">
        <v>45535</v>
      </c>
      <c r="E1720">
        <v>49</v>
      </c>
      <c r="F1720">
        <v>0</v>
      </c>
      <c r="G1720">
        <f>IF(Gym_Expansion_Data[[#This Row],[Churned]]=0,1,0)</f>
        <v>1</v>
      </c>
      <c r="H1720" t="str">
        <f>IF(Gym_Expansion_Data[[#This Row],[Active Member]]=1,Gym_Expansion_Data[[#This Row],[Tier]],"Inactive")</f>
        <v>Basic</v>
      </c>
    </row>
    <row r="1721" spans="1:8" x14ac:dyDescent="0.2">
      <c r="A1721">
        <v>2720</v>
      </c>
      <c r="B1721" t="s">
        <v>6</v>
      </c>
      <c r="C1721" t="s">
        <v>7</v>
      </c>
      <c r="D1721" s="1">
        <v>45447</v>
      </c>
      <c r="E1721">
        <v>49</v>
      </c>
      <c r="F1721">
        <v>0</v>
      </c>
      <c r="G1721">
        <f>IF(Gym_Expansion_Data[[#This Row],[Churned]]=0,1,0)</f>
        <v>1</v>
      </c>
      <c r="H1721" t="str">
        <f>IF(Gym_Expansion_Data[[#This Row],[Active Member]]=1,Gym_Expansion_Data[[#This Row],[Tier]],"Inactive")</f>
        <v>Basic</v>
      </c>
    </row>
    <row r="1722" spans="1:8" x14ac:dyDescent="0.2">
      <c r="A1722">
        <v>2721</v>
      </c>
      <c r="B1722" t="s">
        <v>11</v>
      </c>
      <c r="C1722" t="s">
        <v>12</v>
      </c>
      <c r="D1722" s="1">
        <v>45992</v>
      </c>
      <c r="E1722">
        <v>89</v>
      </c>
      <c r="F1722">
        <v>0</v>
      </c>
      <c r="G1722">
        <f>IF(Gym_Expansion_Data[[#This Row],[Churned]]=0,1,0)</f>
        <v>1</v>
      </c>
      <c r="H1722" t="str">
        <f>IF(Gym_Expansion_Data[[#This Row],[Active Member]]=1,Gym_Expansion_Data[[#This Row],[Tier]],"Inactive")</f>
        <v>Premium</v>
      </c>
    </row>
    <row r="1723" spans="1:8" x14ac:dyDescent="0.2">
      <c r="A1723">
        <v>2722</v>
      </c>
      <c r="B1723" t="s">
        <v>10</v>
      </c>
      <c r="C1723" t="s">
        <v>7</v>
      </c>
      <c r="D1723" s="1">
        <v>45372</v>
      </c>
      <c r="E1723">
        <v>49</v>
      </c>
      <c r="F1723">
        <v>1</v>
      </c>
      <c r="G1723">
        <f>IF(Gym_Expansion_Data[[#This Row],[Churned]]=0,1,0)</f>
        <v>0</v>
      </c>
      <c r="H1723" t="str">
        <f>IF(Gym_Expansion_Data[[#This Row],[Active Member]]=1,Gym_Expansion_Data[[#This Row],[Tier]],"Inactive")</f>
        <v>Inactive</v>
      </c>
    </row>
    <row r="1724" spans="1:8" x14ac:dyDescent="0.2">
      <c r="A1724">
        <v>2723</v>
      </c>
      <c r="B1724" t="s">
        <v>10</v>
      </c>
      <c r="C1724" t="s">
        <v>7</v>
      </c>
      <c r="D1724" s="1">
        <v>45503</v>
      </c>
      <c r="E1724">
        <v>49</v>
      </c>
      <c r="F1724">
        <v>0</v>
      </c>
      <c r="G1724">
        <f>IF(Gym_Expansion_Data[[#This Row],[Churned]]=0,1,0)</f>
        <v>1</v>
      </c>
      <c r="H1724" t="str">
        <f>IF(Gym_Expansion_Data[[#This Row],[Active Member]]=1,Gym_Expansion_Data[[#This Row],[Tier]],"Inactive")</f>
        <v>Basic</v>
      </c>
    </row>
    <row r="1725" spans="1:8" x14ac:dyDescent="0.2">
      <c r="A1725">
        <v>2724</v>
      </c>
      <c r="B1725" t="s">
        <v>9</v>
      </c>
      <c r="C1725" t="s">
        <v>7</v>
      </c>
      <c r="D1725" s="1">
        <v>45847</v>
      </c>
      <c r="E1725">
        <v>49</v>
      </c>
      <c r="F1725">
        <v>1</v>
      </c>
      <c r="G1725">
        <f>IF(Gym_Expansion_Data[[#This Row],[Churned]]=0,1,0)</f>
        <v>0</v>
      </c>
      <c r="H1725" t="str">
        <f>IF(Gym_Expansion_Data[[#This Row],[Active Member]]=1,Gym_Expansion_Data[[#This Row],[Tier]],"Inactive")</f>
        <v>Inactive</v>
      </c>
    </row>
    <row r="1726" spans="1:8" x14ac:dyDescent="0.2">
      <c r="A1726">
        <v>2725</v>
      </c>
      <c r="B1726" t="s">
        <v>10</v>
      </c>
      <c r="C1726" t="s">
        <v>7</v>
      </c>
      <c r="D1726" s="1">
        <v>45869</v>
      </c>
      <c r="E1726">
        <v>49</v>
      </c>
      <c r="F1726">
        <v>0</v>
      </c>
      <c r="G1726">
        <f>IF(Gym_Expansion_Data[[#This Row],[Churned]]=0,1,0)</f>
        <v>1</v>
      </c>
      <c r="H1726" t="str">
        <f>IF(Gym_Expansion_Data[[#This Row],[Active Member]]=1,Gym_Expansion_Data[[#This Row],[Tier]],"Inactive")</f>
        <v>Basic</v>
      </c>
    </row>
    <row r="1727" spans="1:8" x14ac:dyDescent="0.2">
      <c r="A1727">
        <v>2726</v>
      </c>
      <c r="B1727" t="s">
        <v>11</v>
      </c>
      <c r="C1727" t="s">
        <v>8</v>
      </c>
      <c r="D1727" s="1">
        <v>45812</v>
      </c>
      <c r="E1727">
        <v>129</v>
      </c>
      <c r="F1727">
        <v>0</v>
      </c>
      <c r="G1727">
        <f>IF(Gym_Expansion_Data[[#This Row],[Churned]]=0,1,0)</f>
        <v>1</v>
      </c>
      <c r="H1727" t="str">
        <f>IF(Gym_Expansion_Data[[#This Row],[Active Member]]=1,Gym_Expansion_Data[[#This Row],[Tier]],"Inactive")</f>
        <v>Elite</v>
      </c>
    </row>
    <row r="1728" spans="1:8" x14ac:dyDescent="0.2">
      <c r="A1728">
        <v>2727</v>
      </c>
      <c r="B1728" t="s">
        <v>11</v>
      </c>
      <c r="C1728" t="s">
        <v>7</v>
      </c>
      <c r="D1728" s="1">
        <v>45952</v>
      </c>
      <c r="E1728">
        <v>49</v>
      </c>
      <c r="F1728">
        <v>0</v>
      </c>
      <c r="G1728">
        <f>IF(Gym_Expansion_Data[[#This Row],[Churned]]=0,1,0)</f>
        <v>1</v>
      </c>
      <c r="H1728" t="str">
        <f>IF(Gym_Expansion_Data[[#This Row],[Active Member]]=1,Gym_Expansion_Data[[#This Row],[Tier]],"Inactive")</f>
        <v>Basic</v>
      </c>
    </row>
    <row r="1729" spans="1:8" x14ac:dyDescent="0.2">
      <c r="A1729">
        <v>2728</v>
      </c>
      <c r="B1729" t="s">
        <v>6</v>
      </c>
      <c r="C1729" t="s">
        <v>7</v>
      </c>
      <c r="D1729" s="1">
        <v>45827</v>
      </c>
      <c r="E1729">
        <v>49</v>
      </c>
      <c r="F1729">
        <v>0</v>
      </c>
      <c r="G1729">
        <f>IF(Gym_Expansion_Data[[#This Row],[Churned]]=0,1,0)</f>
        <v>1</v>
      </c>
      <c r="H1729" t="str">
        <f>IF(Gym_Expansion_Data[[#This Row],[Active Member]]=1,Gym_Expansion_Data[[#This Row],[Tier]],"Inactive")</f>
        <v>Basic</v>
      </c>
    </row>
    <row r="1730" spans="1:8" x14ac:dyDescent="0.2">
      <c r="A1730">
        <v>2729</v>
      </c>
      <c r="B1730" t="s">
        <v>11</v>
      </c>
      <c r="C1730" t="s">
        <v>7</v>
      </c>
      <c r="D1730" s="1">
        <v>45755</v>
      </c>
      <c r="E1730">
        <v>49</v>
      </c>
      <c r="F1730">
        <v>0</v>
      </c>
      <c r="G1730">
        <f>IF(Gym_Expansion_Data[[#This Row],[Churned]]=0,1,0)</f>
        <v>1</v>
      </c>
      <c r="H1730" t="str">
        <f>IF(Gym_Expansion_Data[[#This Row],[Active Member]]=1,Gym_Expansion_Data[[#This Row],[Tier]],"Inactive")</f>
        <v>Basic</v>
      </c>
    </row>
    <row r="1731" spans="1:8" x14ac:dyDescent="0.2">
      <c r="A1731">
        <v>2730</v>
      </c>
      <c r="B1731" t="s">
        <v>9</v>
      </c>
      <c r="C1731" t="s">
        <v>12</v>
      </c>
      <c r="D1731" s="1">
        <v>45647</v>
      </c>
      <c r="E1731">
        <v>89</v>
      </c>
      <c r="F1731">
        <v>1</v>
      </c>
      <c r="G1731">
        <f>IF(Gym_Expansion_Data[[#This Row],[Churned]]=0,1,0)</f>
        <v>0</v>
      </c>
      <c r="H1731" t="str">
        <f>IF(Gym_Expansion_Data[[#This Row],[Active Member]]=1,Gym_Expansion_Data[[#This Row],[Tier]],"Inactive")</f>
        <v>Inactive</v>
      </c>
    </row>
    <row r="1732" spans="1:8" x14ac:dyDescent="0.2">
      <c r="A1732">
        <v>2731</v>
      </c>
      <c r="B1732" t="s">
        <v>11</v>
      </c>
      <c r="C1732" t="s">
        <v>7</v>
      </c>
      <c r="D1732" s="1">
        <v>45387</v>
      </c>
      <c r="E1732">
        <v>49</v>
      </c>
      <c r="F1732">
        <v>0</v>
      </c>
      <c r="G1732">
        <f>IF(Gym_Expansion_Data[[#This Row],[Churned]]=0,1,0)</f>
        <v>1</v>
      </c>
      <c r="H1732" t="str">
        <f>IF(Gym_Expansion_Data[[#This Row],[Active Member]]=1,Gym_Expansion_Data[[#This Row],[Tier]],"Inactive")</f>
        <v>Basic</v>
      </c>
    </row>
    <row r="1733" spans="1:8" x14ac:dyDescent="0.2">
      <c r="A1733">
        <v>2732</v>
      </c>
      <c r="B1733" t="s">
        <v>11</v>
      </c>
      <c r="C1733" t="s">
        <v>7</v>
      </c>
      <c r="D1733" s="1">
        <v>45933</v>
      </c>
      <c r="E1733">
        <v>49</v>
      </c>
      <c r="F1733">
        <v>0</v>
      </c>
      <c r="G1733">
        <f>IF(Gym_Expansion_Data[[#This Row],[Churned]]=0,1,0)</f>
        <v>1</v>
      </c>
      <c r="H1733" t="str">
        <f>IF(Gym_Expansion_Data[[#This Row],[Active Member]]=1,Gym_Expansion_Data[[#This Row],[Tier]],"Inactive")</f>
        <v>Basic</v>
      </c>
    </row>
    <row r="1734" spans="1:8" x14ac:dyDescent="0.2">
      <c r="A1734">
        <v>2733</v>
      </c>
      <c r="B1734" t="s">
        <v>6</v>
      </c>
      <c r="C1734" t="s">
        <v>7</v>
      </c>
      <c r="D1734" s="1">
        <v>45951</v>
      </c>
      <c r="E1734">
        <v>49</v>
      </c>
      <c r="F1734">
        <v>0</v>
      </c>
      <c r="G1734">
        <f>IF(Gym_Expansion_Data[[#This Row],[Churned]]=0,1,0)</f>
        <v>1</v>
      </c>
      <c r="H1734" t="str">
        <f>IF(Gym_Expansion_Data[[#This Row],[Active Member]]=1,Gym_Expansion_Data[[#This Row],[Tier]],"Inactive")</f>
        <v>Basic</v>
      </c>
    </row>
    <row r="1735" spans="1:8" x14ac:dyDescent="0.2">
      <c r="A1735">
        <v>2734</v>
      </c>
      <c r="B1735" t="s">
        <v>9</v>
      </c>
      <c r="C1735" t="s">
        <v>8</v>
      </c>
      <c r="D1735" s="1">
        <v>45538</v>
      </c>
      <c r="E1735">
        <v>129</v>
      </c>
      <c r="F1735">
        <v>1</v>
      </c>
      <c r="G1735">
        <f>IF(Gym_Expansion_Data[[#This Row],[Churned]]=0,1,0)</f>
        <v>0</v>
      </c>
      <c r="H1735" t="str">
        <f>IF(Gym_Expansion_Data[[#This Row],[Active Member]]=1,Gym_Expansion_Data[[#This Row],[Tier]],"Inactive")</f>
        <v>Inactive</v>
      </c>
    </row>
    <row r="1736" spans="1:8" x14ac:dyDescent="0.2">
      <c r="A1736">
        <v>2735</v>
      </c>
      <c r="B1736" t="s">
        <v>6</v>
      </c>
      <c r="C1736" t="s">
        <v>7</v>
      </c>
      <c r="D1736" s="1">
        <v>45540</v>
      </c>
      <c r="E1736">
        <v>49</v>
      </c>
      <c r="F1736">
        <v>0</v>
      </c>
      <c r="G1736">
        <f>IF(Gym_Expansion_Data[[#This Row],[Churned]]=0,1,0)</f>
        <v>1</v>
      </c>
      <c r="H1736" t="str">
        <f>IF(Gym_Expansion_Data[[#This Row],[Active Member]]=1,Gym_Expansion_Data[[#This Row],[Tier]],"Inactive")</f>
        <v>Basic</v>
      </c>
    </row>
    <row r="1737" spans="1:8" x14ac:dyDescent="0.2">
      <c r="A1737">
        <v>2736</v>
      </c>
      <c r="B1737" t="s">
        <v>9</v>
      </c>
      <c r="C1737" t="s">
        <v>7</v>
      </c>
      <c r="D1737" s="1">
        <v>45868</v>
      </c>
      <c r="E1737">
        <v>49</v>
      </c>
      <c r="F1737">
        <v>1</v>
      </c>
      <c r="G1737">
        <f>IF(Gym_Expansion_Data[[#This Row],[Churned]]=0,1,0)</f>
        <v>0</v>
      </c>
      <c r="H1737" t="str">
        <f>IF(Gym_Expansion_Data[[#This Row],[Active Member]]=1,Gym_Expansion_Data[[#This Row],[Tier]],"Inactive")</f>
        <v>Inactive</v>
      </c>
    </row>
    <row r="1738" spans="1:8" x14ac:dyDescent="0.2">
      <c r="A1738">
        <v>2737</v>
      </c>
      <c r="B1738" t="s">
        <v>9</v>
      </c>
      <c r="C1738" t="s">
        <v>7</v>
      </c>
      <c r="D1738" s="1">
        <v>45581</v>
      </c>
      <c r="E1738">
        <v>49</v>
      </c>
      <c r="F1738">
        <v>0</v>
      </c>
      <c r="G1738">
        <f>IF(Gym_Expansion_Data[[#This Row],[Churned]]=0,1,0)</f>
        <v>1</v>
      </c>
      <c r="H1738" t="str">
        <f>IF(Gym_Expansion_Data[[#This Row],[Active Member]]=1,Gym_Expansion_Data[[#This Row],[Tier]],"Inactive")</f>
        <v>Basic</v>
      </c>
    </row>
    <row r="1739" spans="1:8" x14ac:dyDescent="0.2">
      <c r="A1739">
        <v>2738</v>
      </c>
      <c r="B1739" t="s">
        <v>6</v>
      </c>
      <c r="C1739" t="s">
        <v>8</v>
      </c>
      <c r="D1739" s="1">
        <v>45953</v>
      </c>
      <c r="E1739">
        <v>129</v>
      </c>
      <c r="F1739">
        <v>0</v>
      </c>
      <c r="G1739">
        <f>IF(Gym_Expansion_Data[[#This Row],[Churned]]=0,1,0)</f>
        <v>1</v>
      </c>
      <c r="H1739" t="str">
        <f>IF(Gym_Expansion_Data[[#This Row],[Active Member]]=1,Gym_Expansion_Data[[#This Row],[Tier]],"Inactive")</f>
        <v>Elite</v>
      </c>
    </row>
    <row r="1740" spans="1:8" x14ac:dyDescent="0.2">
      <c r="A1740">
        <v>2739</v>
      </c>
      <c r="B1740" t="s">
        <v>6</v>
      </c>
      <c r="C1740" t="s">
        <v>7</v>
      </c>
      <c r="D1740" s="1">
        <v>45833</v>
      </c>
      <c r="E1740">
        <v>49</v>
      </c>
      <c r="F1740">
        <v>1</v>
      </c>
      <c r="G1740">
        <f>IF(Gym_Expansion_Data[[#This Row],[Churned]]=0,1,0)</f>
        <v>0</v>
      </c>
      <c r="H1740" t="str">
        <f>IF(Gym_Expansion_Data[[#This Row],[Active Member]]=1,Gym_Expansion_Data[[#This Row],[Tier]],"Inactive")</f>
        <v>Inactive</v>
      </c>
    </row>
    <row r="1741" spans="1:8" x14ac:dyDescent="0.2">
      <c r="A1741">
        <v>2740</v>
      </c>
      <c r="B1741" t="s">
        <v>9</v>
      </c>
      <c r="C1741" t="s">
        <v>7</v>
      </c>
      <c r="D1741" s="1">
        <v>45853</v>
      </c>
      <c r="E1741">
        <v>49</v>
      </c>
      <c r="F1741">
        <v>0</v>
      </c>
      <c r="G1741">
        <f>IF(Gym_Expansion_Data[[#This Row],[Churned]]=0,1,0)</f>
        <v>1</v>
      </c>
      <c r="H1741" t="str">
        <f>IF(Gym_Expansion_Data[[#This Row],[Active Member]]=1,Gym_Expansion_Data[[#This Row],[Tier]],"Inactive")</f>
        <v>Basic</v>
      </c>
    </row>
    <row r="1742" spans="1:8" x14ac:dyDescent="0.2">
      <c r="A1742">
        <v>2741</v>
      </c>
      <c r="B1742" t="s">
        <v>11</v>
      </c>
      <c r="C1742" t="s">
        <v>12</v>
      </c>
      <c r="D1742" s="1">
        <v>45408</v>
      </c>
      <c r="E1742">
        <v>89</v>
      </c>
      <c r="F1742">
        <v>0</v>
      </c>
      <c r="G1742">
        <f>IF(Gym_Expansion_Data[[#This Row],[Churned]]=0,1,0)</f>
        <v>1</v>
      </c>
      <c r="H1742" t="str">
        <f>IF(Gym_Expansion_Data[[#This Row],[Active Member]]=1,Gym_Expansion_Data[[#This Row],[Tier]],"Inactive")</f>
        <v>Premium</v>
      </c>
    </row>
    <row r="1743" spans="1:8" x14ac:dyDescent="0.2">
      <c r="A1743">
        <v>2742</v>
      </c>
      <c r="B1743" t="s">
        <v>9</v>
      </c>
      <c r="C1743" t="s">
        <v>7</v>
      </c>
      <c r="D1743" s="1">
        <v>45644</v>
      </c>
      <c r="E1743">
        <v>49</v>
      </c>
      <c r="F1743">
        <v>0</v>
      </c>
      <c r="G1743">
        <f>IF(Gym_Expansion_Data[[#This Row],[Churned]]=0,1,0)</f>
        <v>1</v>
      </c>
      <c r="H1743" t="str">
        <f>IF(Gym_Expansion_Data[[#This Row],[Active Member]]=1,Gym_Expansion_Data[[#This Row],[Tier]],"Inactive")</f>
        <v>Basic</v>
      </c>
    </row>
    <row r="1744" spans="1:8" x14ac:dyDescent="0.2">
      <c r="A1744">
        <v>2743</v>
      </c>
      <c r="B1744" t="s">
        <v>9</v>
      </c>
      <c r="C1744" t="s">
        <v>7</v>
      </c>
      <c r="D1744" s="1">
        <v>45480</v>
      </c>
      <c r="E1744">
        <v>49</v>
      </c>
      <c r="F1744">
        <v>0</v>
      </c>
      <c r="G1744">
        <f>IF(Gym_Expansion_Data[[#This Row],[Churned]]=0,1,0)</f>
        <v>1</v>
      </c>
      <c r="H1744" t="str">
        <f>IF(Gym_Expansion_Data[[#This Row],[Active Member]]=1,Gym_Expansion_Data[[#This Row],[Tier]],"Inactive")</f>
        <v>Basic</v>
      </c>
    </row>
    <row r="1745" spans="1:8" x14ac:dyDescent="0.2">
      <c r="A1745">
        <v>2744</v>
      </c>
      <c r="B1745" t="s">
        <v>9</v>
      </c>
      <c r="C1745" t="s">
        <v>7</v>
      </c>
      <c r="D1745" s="1">
        <v>45459</v>
      </c>
      <c r="E1745">
        <v>49</v>
      </c>
      <c r="F1745">
        <v>0</v>
      </c>
      <c r="G1745">
        <f>IF(Gym_Expansion_Data[[#This Row],[Churned]]=0,1,0)</f>
        <v>1</v>
      </c>
      <c r="H1745" t="str">
        <f>IF(Gym_Expansion_Data[[#This Row],[Active Member]]=1,Gym_Expansion_Data[[#This Row],[Tier]],"Inactive")</f>
        <v>Basic</v>
      </c>
    </row>
    <row r="1746" spans="1:8" x14ac:dyDescent="0.2">
      <c r="A1746">
        <v>2745</v>
      </c>
      <c r="B1746" t="s">
        <v>11</v>
      </c>
      <c r="C1746" t="s">
        <v>12</v>
      </c>
      <c r="D1746" s="1">
        <v>45835</v>
      </c>
      <c r="E1746">
        <v>89</v>
      </c>
      <c r="F1746">
        <v>0</v>
      </c>
      <c r="G1746">
        <f>IF(Gym_Expansion_Data[[#This Row],[Churned]]=0,1,0)</f>
        <v>1</v>
      </c>
      <c r="H1746" t="str">
        <f>IF(Gym_Expansion_Data[[#This Row],[Active Member]]=1,Gym_Expansion_Data[[#This Row],[Tier]],"Inactive")</f>
        <v>Premium</v>
      </c>
    </row>
    <row r="1747" spans="1:8" x14ac:dyDescent="0.2">
      <c r="A1747">
        <v>2746</v>
      </c>
      <c r="B1747" t="s">
        <v>9</v>
      </c>
      <c r="C1747" t="s">
        <v>7</v>
      </c>
      <c r="D1747" s="1">
        <v>45434</v>
      </c>
      <c r="E1747">
        <v>49</v>
      </c>
      <c r="F1747">
        <v>1</v>
      </c>
      <c r="G1747">
        <f>IF(Gym_Expansion_Data[[#This Row],[Churned]]=0,1,0)</f>
        <v>0</v>
      </c>
      <c r="H1747" t="str">
        <f>IF(Gym_Expansion_Data[[#This Row],[Active Member]]=1,Gym_Expansion_Data[[#This Row],[Tier]],"Inactive")</f>
        <v>Inactive</v>
      </c>
    </row>
    <row r="1748" spans="1:8" x14ac:dyDescent="0.2">
      <c r="A1748">
        <v>2747</v>
      </c>
      <c r="B1748" t="s">
        <v>11</v>
      </c>
      <c r="C1748" t="s">
        <v>12</v>
      </c>
      <c r="D1748" s="1">
        <v>45410</v>
      </c>
      <c r="E1748">
        <v>89</v>
      </c>
      <c r="F1748">
        <v>0</v>
      </c>
      <c r="G1748">
        <f>IF(Gym_Expansion_Data[[#This Row],[Churned]]=0,1,0)</f>
        <v>1</v>
      </c>
      <c r="H1748" t="str">
        <f>IF(Gym_Expansion_Data[[#This Row],[Active Member]]=1,Gym_Expansion_Data[[#This Row],[Tier]],"Inactive")</f>
        <v>Premium</v>
      </c>
    </row>
    <row r="1749" spans="1:8" x14ac:dyDescent="0.2">
      <c r="A1749">
        <v>2748</v>
      </c>
      <c r="B1749" t="s">
        <v>11</v>
      </c>
      <c r="C1749" t="s">
        <v>8</v>
      </c>
      <c r="D1749" s="1">
        <v>45531</v>
      </c>
      <c r="E1749">
        <v>129</v>
      </c>
      <c r="F1749">
        <v>0</v>
      </c>
      <c r="G1749">
        <f>IF(Gym_Expansion_Data[[#This Row],[Churned]]=0,1,0)</f>
        <v>1</v>
      </c>
      <c r="H1749" t="str">
        <f>IF(Gym_Expansion_Data[[#This Row],[Active Member]]=1,Gym_Expansion_Data[[#This Row],[Tier]],"Inactive")</f>
        <v>Elite</v>
      </c>
    </row>
    <row r="1750" spans="1:8" x14ac:dyDescent="0.2">
      <c r="A1750">
        <v>2749</v>
      </c>
      <c r="B1750" t="s">
        <v>11</v>
      </c>
      <c r="C1750" t="s">
        <v>7</v>
      </c>
      <c r="D1750" s="1">
        <v>45540</v>
      </c>
      <c r="E1750">
        <v>49</v>
      </c>
      <c r="F1750">
        <v>0</v>
      </c>
      <c r="G1750">
        <f>IF(Gym_Expansion_Data[[#This Row],[Churned]]=0,1,0)</f>
        <v>1</v>
      </c>
      <c r="H1750" t="str">
        <f>IF(Gym_Expansion_Data[[#This Row],[Active Member]]=1,Gym_Expansion_Data[[#This Row],[Tier]],"Inactive")</f>
        <v>Basic</v>
      </c>
    </row>
    <row r="1751" spans="1:8" x14ac:dyDescent="0.2">
      <c r="A1751">
        <v>2750</v>
      </c>
      <c r="B1751" t="s">
        <v>9</v>
      </c>
      <c r="C1751" t="s">
        <v>12</v>
      </c>
      <c r="D1751" s="1">
        <v>45410</v>
      </c>
      <c r="E1751">
        <v>89</v>
      </c>
      <c r="F1751">
        <v>1</v>
      </c>
      <c r="G1751">
        <f>IF(Gym_Expansion_Data[[#This Row],[Churned]]=0,1,0)</f>
        <v>0</v>
      </c>
      <c r="H1751" t="str">
        <f>IF(Gym_Expansion_Data[[#This Row],[Active Member]]=1,Gym_Expansion_Data[[#This Row],[Tier]],"Inactive")</f>
        <v>Inactive</v>
      </c>
    </row>
    <row r="1752" spans="1:8" x14ac:dyDescent="0.2">
      <c r="A1752">
        <v>2751</v>
      </c>
      <c r="B1752" t="s">
        <v>9</v>
      </c>
      <c r="C1752" t="s">
        <v>7</v>
      </c>
      <c r="D1752" s="1">
        <v>45637</v>
      </c>
      <c r="E1752">
        <v>49</v>
      </c>
      <c r="F1752">
        <v>0</v>
      </c>
      <c r="G1752">
        <f>IF(Gym_Expansion_Data[[#This Row],[Churned]]=0,1,0)</f>
        <v>1</v>
      </c>
      <c r="H1752" t="str">
        <f>IF(Gym_Expansion_Data[[#This Row],[Active Member]]=1,Gym_Expansion_Data[[#This Row],[Tier]],"Inactive")</f>
        <v>Basic</v>
      </c>
    </row>
    <row r="1753" spans="1:8" x14ac:dyDescent="0.2">
      <c r="A1753">
        <v>2752</v>
      </c>
      <c r="B1753" t="s">
        <v>10</v>
      </c>
      <c r="C1753" t="s">
        <v>7</v>
      </c>
      <c r="D1753" s="1">
        <v>45771</v>
      </c>
      <c r="E1753">
        <v>49</v>
      </c>
      <c r="F1753">
        <v>1</v>
      </c>
      <c r="G1753">
        <f>IF(Gym_Expansion_Data[[#This Row],[Churned]]=0,1,0)</f>
        <v>0</v>
      </c>
      <c r="H1753" t="str">
        <f>IF(Gym_Expansion_Data[[#This Row],[Active Member]]=1,Gym_Expansion_Data[[#This Row],[Tier]],"Inactive")</f>
        <v>Inactive</v>
      </c>
    </row>
    <row r="1754" spans="1:8" x14ac:dyDescent="0.2">
      <c r="A1754">
        <v>2753</v>
      </c>
      <c r="B1754" t="s">
        <v>9</v>
      </c>
      <c r="C1754" t="s">
        <v>12</v>
      </c>
      <c r="D1754" s="1">
        <v>45650</v>
      </c>
      <c r="E1754">
        <v>89</v>
      </c>
      <c r="F1754">
        <v>0</v>
      </c>
      <c r="G1754">
        <f>IF(Gym_Expansion_Data[[#This Row],[Churned]]=0,1,0)</f>
        <v>1</v>
      </c>
      <c r="H1754" t="str">
        <f>IF(Gym_Expansion_Data[[#This Row],[Active Member]]=1,Gym_Expansion_Data[[#This Row],[Tier]],"Inactive")</f>
        <v>Premium</v>
      </c>
    </row>
    <row r="1755" spans="1:8" x14ac:dyDescent="0.2">
      <c r="A1755">
        <v>2754</v>
      </c>
      <c r="B1755" t="s">
        <v>11</v>
      </c>
      <c r="C1755" t="s">
        <v>7</v>
      </c>
      <c r="D1755" s="1">
        <v>45781</v>
      </c>
      <c r="E1755">
        <v>49</v>
      </c>
      <c r="F1755">
        <v>0</v>
      </c>
      <c r="G1755">
        <f>IF(Gym_Expansion_Data[[#This Row],[Churned]]=0,1,0)</f>
        <v>1</v>
      </c>
      <c r="H1755" t="str">
        <f>IF(Gym_Expansion_Data[[#This Row],[Active Member]]=1,Gym_Expansion_Data[[#This Row],[Tier]],"Inactive")</f>
        <v>Basic</v>
      </c>
    </row>
    <row r="1756" spans="1:8" x14ac:dyDescent="0.2">
      <c r="A1756">
        <v>2755</v>
      </c>
      <c r="B1756" t="s">
        <v>6</v>
      </c>
      <c r="C1756" t="s">
        <v>12</v>
      </c>
      <c r="D1756" s="1">
        <v>45765</v>
      </c>
      <c r="E1756">
        <v>89</v>
      </c>
      <c r="F1756">
        <v>0</v>
      </c>
      <c r="G1756">
        <f>IF(Gym_Expansion_Data[[#This Row],[Churned]]=0,1,0)</f>
        <v>1</v>
      </c>
      <c r="H1756" t="str">
        <f>IF(Gym_Expansion_Data[[#This Row],[Active Member]]=1,Gym_Expansion_Data[[#This Row],[Tier]],"Inactive")</f>
        <v>Premium</v>
      </c>
    </row>
    <row r="1757" spans="1:8" x14ac:dyDescent="0.2">
      <c r="A1757">
        <v>2756</v>
      </c>
      <c r="B1757" t="s">
        <v>9</v>
      </c>
      <c r="C1757" t="s">
        <v>12</v>
      </c>
      <c r="D1757" s="1">
        <v>45668</v>
      </c>
      <c r="E1757">
        <v>89</v>
      </c>
      <c r="F1757">
        <v>0</v>
      </c>
      <c r="G1757">
        <f>IF(Gym_Expansion_Data[[#This Row],[Churned]]=0,1,0)</f>
        <v>1</v>
      </c>
      <c r="H1757" t="str">
        <f>IF(Gym_Expansion_Data[[#This Row],[Active Member]]=1,Gym_Expansion_Data[[#This Row],[Tier]],"Inactive")</f>
        <v>Premium</v>
      </c>
    </row>
    <row r="1758" spans="1:8" x14ac:dyDescent="0.2">
      <c r="A1758">
        <v>2757</v>
      </c>
      <c r="B1758" t="s">
        <v>6</v>
      </c>
      <c r="C1758" t="s">
        <v>12</v>
      </c>
      <c r="D1758" s="1">
        <v>45672</v>
      </c>
      <c r="E1758">
        <v>89</v>
      </c>
      <c r="F1758">
        <v>0</v>
      </c>
      <c r="G1758">
        <f>IF(Gym_Expansion_Data[[#This Row],[Churned]]=0,1,0)</f>
        <v>1</v>
      </c>
      <c r="H1758" t="str">
        <f>IF(Gym_Expansion_Data[[#This Row],[Active Member]]=1,Gym_Expansion_Data[[#This Row],[Tier]],"Inactive")</f>
        <v>Premium</v>
      </c>
    </row>
    <row r="1759" spans="1:8" x14ac:dyDescent="0.2">
      <c r="A1759">
        <v>2758</v>
      </c>
      <c r="B1759" t="s">
        <v>9</v>
      </c>
      <c r="C1759" t="s">
        <v>7</v>
      </c>
      <c r="D1759" s="1">
        <v>45711</v>
      </c>
      <c r="E1759">
        <v>49</v>
      </c>
      <c r="F1759">
        <v>0</v>
      </c>
      <c r="G1759">
        <f>IF(Gym_Expansion_Data[[#This Row],[Churned]]=0,1,0)</f>
        <v>1</v>
      </c>
      <c r="H1759" t="str">
        <f>IF(Gym_Expansion_Data[[#This Row],[Active Member]]=1,Gym_Expansion_Data[[#This Row],[Tier]],"Inactive")</f>
        <v>Basic</v>
      </c>
    </row>
    <row r="1760" spans="1:8" x14ac:dyDescent="0.2">
      <c r="A1760">
        <v>2759</v>
      </c>
      <c r="B1760" t="s">
        <v>9</v>
      </c>
      <c r="C1760" t="s">
        <v>12</v>
      </c>
      <c r="D1760" s="1">
        <v>45339</v>
      </c>
      <c r="E1760">
        <v>89</v>
      </c>
      <c r="F1760">
        <v>0</v>
      </c>
      <c r="G1760">
        <f>IF(Gym_Expansion_Data[[#This Row],[Churned]]=0,1,0)</f>
        <v>1</v>
      </c>
      <c r="H1760" t="str">
        <f>IF(Gym_Expansion_Data[[#This Row],[Active Member]]=1,Gym_Expansion_Data[[#This Row],[Tier]],"Inactive")</f>
        <v>Premium</v>
      </c>
    </row>
    <row r="1761" spans="1:8" x14ac:dyDescent="0.2">
      <c r="A1761">
        <v>2760</v>
      </c>
      <c r="B1761" t="s">
        <v>11</v>
      </c>
      <c r="C1761" t="s">
        <v>12</v>
      </c>
      <c r="D1761" s="1">
        <v>45798</v>
      </c>
      <c r="E1761">
        <v>89</v>
      </c>
      <c r="F1761">
        <v>0</v>
      </c>
      <c r="G1761">
        <f>IF(Gym_Expansion_Data[[#This Row],[Churned]]=0,1,0)</f>
        <v>1</v>
      </c>
      <c r="H1761" t="str">
        <f>IF(Gym_Expansion_Data[[#This Row],[Active Member]]=1,Gym_Expansion_Data[[#This Row],[Tier]],"Inactive")</f>
        <v>Premium</v>
      </c>
    </row>
    <row r="1762" spans="1:8" x14ac:dyDescent="0.2">
      <c r="A1762">
        <v>2761</v>
      </c>
      <c r="B1762" t="s">
        <v>9</v>
      </c>
      <c r="C1762" t="s">
        <v>7</v>
      </c>
      <c r="D1762" s="1">
        <v>45841</v>
      </c>
      <c r="E1762">
        <v>49</v>
      </c>
      <c r="F1762">
        <v>0</v>
      </c>
      <c r="G1762">
        <f>IF(Gym_Expansion_Data[[#This Row],[Churned]]=0,1,0)</f>
        <v>1</v>
      </c>
      <c r="H1762" t="str">
        <f>IF(Gym_Expansion_Data[[#This Row],[Active Member]]=1,Gym_Expansion_Data[[#This Row],[Tier]],"Inactive")</f>
        <v>Basic</v>
      </c>
    </row>
    <row r="1763" spans="1:8" x14ac:dyDescent="0.2">
      <c r="A1763">
        <v>2762</v>
      </c>
      <c r="B1763" t="s">
        <v>9</v>
      </c>
      <c r="C1763" t="s">
        <v>12</v>
      </c>
      <c r="D1763" s="1">
        <v>45448</v>
      </c>
      <c r="E1763">
        <v>89</v>
      </c>
      <c r="F1763">
        <v>0</v>
      </c>
      <c r="G1763">
        <f>IF(Gym_Expansion_Data[[#This Row],[Churned]]=0,1,0)</f>
        <v>1</v>
      </c>
      <c r="H1763" t="str">
        <f>IF(Gym_Expansion_Data[[#This Row],[Active Member]]=1,Gym_Expansion_Data[[#This Row],[Tier]],"Inactive")</f>
        <v>Premium</v>
      </c>
    </row>
    <row r="1764" spans="1:8" x14ac:dyDescent="0.2">
      <c r="A1764">
        <v>2763</v>
      </c>
      <c r="B1764" t="s">
        <v>6</v>
      </c>
      <c r="C1764" t="s">
        <v>12</v>
      </c>
      <c r="D1764" s="1">
        <v>45359</v>
      </c>
      <c r="E1764">
        <v>89</v>
      </c>
      <c r="F1764">
        <v>0</v>
      </c>
      <c r="G1764">
        <f>IF(Gym_Expansion_Data[[#This Row],[Churned]]=0,1,0)</f>
        <v>1</v>
      </c>
      <c r="H1764" t="str">
        <f>IF(Gym_Expansion_Data[[#This Row],[Active Member]]=1,Gym_Expansion_Data[[#This Row],[Tier]],"Inactive")</f>
        <v>Premium</v>
      </c>
    </row>
    <row r="1765" spans="1:8" x14ac:dyDescent="0.2">
      <c r="A1765">
        <v>2764</v>
      </c>
      <c r="B1765" t="s">
        <v>9</v>
      </c>
      <c r="C1765" t="s">
        <v>7</v>
      </c>
      <c r="D1765" s="1">
        <v>45730</v>
      </c>
      <c r="E1765">
        <v>49</v>
      </c>
      <c r="F1765">
        <v>0</v>
      </c>
      <c r="G1765">
        <f>IF(Gym_Expansion_Data[[#This Row],[Churned]]=0,1,0)</f>
        <v>1</v>
      </c>
      <c r="H1765" t="str">
        <f>IF(Gym_Expansion_Data[[#This Row],[Active Member]]=1,Gym_Expansion_Data[[#This Row],[Tier]],"Inactive")</f>
        <v>Basic</v>
      </c>
    </row>
    <row r="1766" spans="1:8" x14ac:dyDescent="0.2">
      <c r="A1766">
        <v>2765</v>
      </c>
      <c r="B1766" t="s">
        <v>6</v>
      </c>
      <c r="C1766" t="s">
        <v>7</v>
      </c>
      <c r="D1766" s="1">
        <v>45878</v>
      </c>
      <c r="E1766">
        <v>49</v>
      </c>
      <c r="F1766">
        <v>0</v>
      </c>
      <c r="G1766">
        <f>IF(Gym_Expansion_Data[[#This Row],[Churned]]=0,1,0)</f>
        <v>1</v>
      </c>
      <c r="H1766" t="str">
        <f>IF(Gym_Expansion_Data[[#This Row],[Active Member]]=1,Gym_Expansion_Data[[#This Row],[Tier]],"Inactive")</f>
        <v>Basic</v>
      </c>
    </row>
    <row r="1767" spans="1:8" x14ac:dyDescent="0.2">
      <c r="A1767">
        <v>2766</v>
      </c>
      <c r="B1767" t="s">
        <v>6</v>
      </c>
      <c r="C1767" t="s">
        <v>8</v>
      </c>
      <c r="D1767" s="1">
        <v>45948</v>
      </c>
      <c r="E1767">
        <v>129</v>
      </c>
      <c r="F1767">
        <v>0</v>
      </c>
      <c r="G1767">
        <f>IF(Gym_Expansion_Data[[#This Row],[Churned]]=0,1,0)</f>
        <v>1</v>
      </c>
      <c r="H1767" t="str">
        <f>IF(Gym_Expansion_Data[[#This Row],[Active Member]]=1,Gym_Expansion_Data[[#This Row],[Tier]],"Inactive")</f>
        <v>Elite</v>
      </c>
    </row>
    <row r="1768" spans="1:8" x14ac:dyDescent="0.2">
      <c r="A1768">
        <v>2767</v>
      </c>
      <c r="B1768" t="s">
        <v>9</v>
      </c>
      <c r="C1768" t="s">
        <v>12</v>
      </c>
      <c r="D1768" s="1">
        <v>45947</v>
      </c>
      <c r="E1768">
        <v>89</v>
      </c>
      <c r="F1768">
        <v>1</v>
      </c>
      <c r="G1768">
        <f>IF(Gym_Expansion_Data[[#This Row],[Churned]]=0,1,0)</f>
        <v>0</v>
      </c>
      <c r="H1768" t="str">
        <f>IF(Gym_Expansion_Data[[#This Row],[Active Member]]=1,Gym_Expansion_Data[[#This Row],[Tier]],"Inactive")</f>
        <v>Inactive</v>
      </c>
    </row>
    <row r="1769" spans="1:8" x14ac:dyDescent="0.2">
      <c r="A1769">
        <v>2768</v>
      </c>
      <c r="B1769" t="s">
        <v>11</v>
      </c>
      <c r="C1769" t="s">
        <v>8</v>
      </c>
      <c r="D1769" s="1">
        <v>45438</v>
      </c>
      <c r="E1769">
        <v>129</v>
      </c>
      <c r="F1769">
        <v>0</v>
      </c>
      <c r="G1769">
        <f>IF(Gym_Expansion_Data[[#This Row],[Churned]]=0,1,0)</f>
        <v>1</v>
      </c>
      <c r="H1769" t="str">
        <f>IF(Gym_Expansion_Data[[#This Row],[Active Member]]=1,Gym_Expansion_Data[[#This Row],[Tier]],"Inactive")</f>
        <v>Elite</v>
      </c>
    </row>
    <row r="1770" spans="1:8" x14ac:dyDescent="0.2">
      <c r="A1770">
        <v>2769</v>
      </c>
      <c r="B1770" t="s">
        <v>9</v>
      </c>
      <c r="C1770" t="s">
        <v>7</v>
      </c>
      <c r="D1770" s="1">
        <v>45650</v>
      </c>
      <c r="E1770">
        <v>49</v>
      </c>
      <c r="F1770">
        <v>1</v>
      </c>
      <c r="G1770">
        <f>IF(Gym_Expansion_Data[[#This Row],[Churned]]=0,1,0)</f>
        <v>0</v>
      </c>
      <c r="H1770" t="str">
        <f>IF(Gym_Expansion_Data[[#This Row],[Active Member]]=1,Gym_Expansion_Data[[#This Row],[Tier]],"Inactive")</f>
        <v>Inactive</v>
      </c>
    </row>
    <row r="1771" spans="1:8" x14ac:dyDescent="0.2">
      <c r="A1771">
        <v>2770</v>
      </c>
      <c r="B1771" t="s">
        <v>6</v>
      </c>
      <c r="C1771" t="s">
        <v>12</v>
      </c>
      <c r="D1771" s="1">
        <v>45303</v>
      </c>
      <c r="E1771">
        <v>89</v>
      </c>
      <c r="F1771">
        <v>1</v>
      </c>
      <c r="G1771">
        <f>IF(Gym_Expansion_Data[[#This Row],[Churned]]=0,1,0)</f>
        <v>0</v>
      </c>
      <c r="H1771" t="str">
        <f>IF(Gym_Expansion_Data[[#This Row],[Active Member]]=1,Gym_Expansion_Data[[#This Row],[Tier]],"Inactive")</f>
        <v>Inactive</v>
      </c>
    </row>
    <row r="1772" spans="1:8" x14ac:dyDescent="0.2">
      <c r="A1772">
        <v>2771</v>
      </c>
      <c r="B1772" t="s">
        <v>6</v>
      </c>
      <c r="C1772" t="s">
        <v>7</v>
      </c>
      <c r="D1772" s="1">
        <v>45800</v>
      </c>
      <c r="E1772">
        <v>49</v>
      </c>
      <c r="F1772">
        <v>1</v>
      </c>
      <c r="G1772">
        <f>IF(Gym_Expansion_Data[[#This Row],[Churned]]=0,1,0)</f>
        <v>0</v>
      </c>
      <c r="H1772" t="str">
        <f>IF(Gym_Expansion_Data[[#This Row],[Active Member]]=1,Gym_Expansion_Data[[#This Row],[Tier]],"Inactive")</f>
        <v>Inactive</v>
      </c>
    </row>
    <row r="1773" spans="1:8" x14ac:dyDescent="0.2">
      <c r="A1773">
        <v>2772</v>
      </c>
      <c r="B1773" t="s">
        <v>11</v>
      </c>
      <c r="C1773" t="s">
        <v>8</v>
      </c>
      <c r="D1773" s="1">
        <v>45909</v>
      </c>
      <c r="E1773">
        <v>129</v>
      </c>
      <c r="F1773">
        <v>0</v>
      </c>
      <c r="G1773">
        <f>IF(Gym_Expansion_Data[[#This Row],[Churned]]=0,1,0)</f>
        <v>1</v>
      </c>
      <c r="H1773" t="str">
        <f>IF(Gym_Expansion_Data[[#This Row],[Active Member]]=1,Gym_Expansion_Data[[#This Row],[Tier]],"Inactive")</f>
        <v>Elite</v>
      </c>
    </row>
    <row r="1774" spans="1:8" x14ac:dyDescent="0.2">
      <c r="A1774">
        <v>2773</v>
      </c>
      <c r="B1774" t="s">
        <v>11</v>
      </c>
      <c r="C1774" t="s">
        <v>7</v>
      </c>
      <c r="D1774" s="1">
        <v>45411</v>
      </c>
      <c r="E1774">
        <v>49</v>
      </c>
      <c r="F1774">
        <v>1</v>
      </c>
      <c r="G1774">
        <f>IF(Gym_Expansion_Data[[#This Row],[Churned]]=0,1,0)</f>
        <v>0</v>
      </c>
      <c r="H1774" t="str">
        <f>IF(Gym_Expansion_Data[[#This Row],[Active Member]]=1,Gym_Expansion_Data[[#This Row],[Tier]],"Inactive")</f>
        <v>Inactive</v>
      </c>
    </row>
    <row r="1775" spans="1:8" x14ac:dyDescent="0.2">
      <c r="A1775">
        <v>2774</v>
      </c>
      <c r="B1775" t="s">
        <v>10</v>
      </c>
      <c r="C1775" t="s">
        <v>12</v>
      </c>
      <c r="D1775" s="1">
        <v>45294</v>
      </c>
      <c r="E1775">
        <v>89</v>
      </c>
      <c r="F1775">
        <v>0</v>
      </c>
      <c r="G1775">
        <f>IF(Gym_Expansion_Data[[#This Row],[Churned]]=0,1,0)</f>
        <v>1</v>
      </c>
      <c r="H1775" t="str">
        <f>IF(Gym_Expansion_Data[[#This Row],[Active Member]]=1,Gym_Expansion_Data[[#This Row],[Tier]],"Inactive")</f>
        <v>Premium</v>
      </c>
    </row>
    <row r="1776" spans="1:8" x14ac:dyDescent="0.2">
      <c r="A1776">
        <v>2775</v>
      </c>
      <c r="B1776" t="s">
        <v>11</v>
      </c>
      <c r="C1776" t="s">
        <v>7</v>
      </c>
      <c r="D1776" s="1">
        <v>45643</v>
      </c>
      <c r="E1776">
        <v>49</v>
      </c>
      <c r="F1776">
        <v>0</v>
      </c>
      <c r="G1776">
        <f>IF(Gym_Expansion_Data[[#This Row],[Churned]]=0,1,0)</f>
        <v>1</v>
      </c>
      <c r="H1776" t="str">
        <f>IF(Gym_Expansion_Data[[#This Row],[Active Member]]=1,Gym_Expansion_Data[[#This Row],[Tier]],"Inactive")</f>
        <v>Basic</v>
      </c>
    </row>
    <row r="1777" spans="1:8" x14ac:dyDescent="0.2">
      <c r="A1777">
        <v>2776</v>
      </c>
      <c r="B1777" t="s">
        <v>9</v>
      </c>
      <c r="C1777" t="s">
        <v>8</v>
      </c>
      <c r="D1777" s="1">
        <v>45442</v>
      </c>
      <c r="E1777">
        <v>129</v>
      </c>
      <c r="F1777">
        <v>0</v>
      </c>
      <c r="G1777">
        <f>IF(Gym_Expansion_Data[[#This Row],[Churned]]=0,1,0)</f>
        <v>1</v>
      </c>
      <c r="H1777" t="str">
        <f>IF(Gym_Expansion_Data[[#This Row],[Active Member]]=1,Gym_Expansion_Data[[#This Row],[Tier]],"Inactive")</f>
        <v>Elite</v>
      </c>
    </row>
    <row r="1778" spans="1:8" x14ac:dyDescent="0.2">
      <c r="A1778">
        <v>2777</v>
      </c>
      <c r="B1778" t="s">
        <v>11</v>
      </c>
      <c r="C1778" t="s">
        <v>8</v>
      </c>
      <c r="D1778" s="1">
        <v>45586</v>
      </c>
      <c r="E1778">
        <v>129</v>
      </c>
      <c r="F1778">
        <v>0</v>
      </c>
      <c r="G1778">
        <f>IF(Gym_Expansion_Data[[#This Row],[Churned]]=0,1,0)</f>
        <v>1</v>
      </c>
      <c r="H1778" t="str">
        <f>IF(Gym_Expansion_Data[[#This Row],[Active Member]]=1,Gym_Expansion_Data[[#This Row],[Tier]],"Inactive")</f>
        <v>Elite</v>
      </c>
    </row>
    <row r="1779" spans="1:8" x14ac:dyDescent="0.2">
      <c r="A1779">
        <v>2778</v>
      </c>
      <c r="B1779" t="s">
        <v>11</v>
      </c>
      <c r="C1779" t="s">
        <v>7</v>
      </c>
      <c r="D1779" s="1">
        <v>45642</v>
      </c>
      <c r="E1779">
        <v>49</v>
      </c>
      <c r="F1779">
        <v>0</v>
      </c>
      <c r="G1779">
        <f>IF(Gym_Expansion_Data[[#This Row],[Churned]]=0,1,0)</f>
        <v>1</v>
      </c>
      <c r="H1779" t="str">
        <f>IF(Gym_Expansion_Data[[#This Row],[Active Member]]=1,Gym_Expansion_Data[[#This Row],[Tier]],"Inactive")</f>
        <v>Basic</v>
      </c>
    </row>
    <row r="1780" spans="1:8" x14ac:dyDescent="0.2">
      <c r="A1780">
        <v>2779</v>
      </c>
      <c r="B1780" t="s">
        <v>6</v>
      </c>
      <c r="C1780" t="s">
        <v>8</v>
      </c>
      <c r="D1780" s="1">
        <v>45747</v>
      </c>
      <c r="E1780">
        <v>129</v>
      </c>
      <c r="F1780">
        <v>0</v>
      </c>
      <c r="G1780">
        <f>IF(Gym_Expansion_Data[[#This Row],[Churned]]=0,1,0)</f>
        <v>1</v>
      </c>
      <c r="H1780" t="str">
        <f>IF(Gym_Expansion_Data[[#This Row],[Active Member]]=1,Gym_Expansion_Data[[#This Row],[Tier]],"Inactive")</f>
        <v>Elite</v>
      </c>
    </row>
    <row r="1781" spans="1:8" x14ac:dyDescent="0.2">
      <c r="A1781">
        <v>2780</v>
      </c>
      <c r="B1781" t="s">
        <v>11</v>
      </c>
      <c r="C1781" t="s">
        <v>12</v>
      </c>
      <c r="D1781" s="1">
        <v>45567</v>
      </c>
      <c r="E1781">
        <v>89</v>
      </c>
      <c r="F1781">
        <v>0</v>
      </c>
      <c r="G1781">
        <f>IF(Gym_Expansion_Data[[#This Row],[Churned]]=0,1,0)</f>
        <v>1</v>
      </c>
      <c r="H1781" t="str">
        <f>IF(Gym_Expansion_Data[[#This Row],[Active Member]]=1,Gym_Expansion_Data[[#This Row],[Tier]],"Inactive")</f>
        <v>Premium</v>
      </c>
    </row>
    <row r="1782" spans="1:8" x14ac:dyDescent="0.2">
      <c r="A1782">
        <v>2781</v>
      </c>
      <c r="B1782" t="s">
        <v>11</v>
      </c>
      <c r="C1782" t="s">
        <v>7</v>
      </c>
      <c r="D1782" s="1">
        <v>45353</v>
      </c>
      <c r="E1782">
        <v>49</v>
      </c>
      <c r="F1782">
        <v>1</v>
      </c>
      <c r="G1782">
        <f>IF(Gym_Expansion_Data[[#This Row],[Churned]]=0,1,0)</f>
        <v>0</v>
      </c>
      <c r="H1782" t="str">
        <f>IF(Gym_Expansion_Data[[#This Row],[Active Member]]=1,Gym_Expansion_Data[[#This Row],[Tier]],"Inactive")</f>
        <v>Inactive</v>
      </c>
    </row>
    <row r="1783" spans="1:8" x14ac:dyDescent="0.2">
      <c r="A1783">
        <v>2782</v>
      </c>
      <c r="B1783" t="s">
        <v>9</v>
      </c>
      <c r="C1783" t="s">
        <v>12</v>
      </c>
      <c r="D1783" s="1">
        <v>45782</v>
      </c>
      <c r="E1783">
        <v>89</v>
      </c>
      <c r="F1783">
        <v>0</v>
      </c>
      <c r="G1783">
        <f>IF(Gym_Expansion_Data[[#This Row],[Churned]]=0,1,0)</f>
        <v>1</v>
      </c>
      <c r="H1783" t="str">
        <f>IF(Gym_Expansion_Data[[#This Row],[Active Member]]=1,Gym_Expansion_Data[[#This Row],[Tier]],"Inactive")</f>
        <v>Premium</v>
      </c>
    </row>
    <row r="1784" spans="1:8" x14ac:dyDescent="0.2">
      <c r="A1784">
        <v>2783</v>
      </c>
      <c r="B1784" t="s">
        <v>6</v>
      </c>
      <c r="C1784" t="s">
        <v>7</v>
      </c>
      <c r="D1784" s="1">
        <v>45448</v>
      </c>
      <c r="E1784">
        <v>49</v>
      </c>
      <c r="F1784">
        <v>0</v>
      </c>
      <c r="G1784">
        <f>IF(Gym_Expansion_Data[[#This Row],[Churned]]=0,1,0)</f>
        <v>1</v>
      </c>
      <c r="H1784" t="str">
        <f>IF(Gym_Expansion_Data[[#This Row],[Active Member]]=1,Gym_Expansion_Data[[#This Row],[Tier]],"Inactive")</f>
        <v>Basic</v>
      </c>
    </row>
    <row r="1785" spans="1:8" x14ac:dyDescent="0.2">
      <c r="A1785">
        <v>2784</v>
      </c>
      <c r="B1785" t="s">
        <v>9</v>
      </c>
      <c r="C1785" t="s">
        <v>7</v>
      </c>
      <c r="D1785" s="1">
        <v>45662</v>
      </c>
      <c r="E1785">
        <v>49</v>
      </c>
      <c r="F1785">
        <v>0</v>
      </c>
      <c r="G1785">
        <f>IF(Gym_Expansion_Data[[#This Row],[Churned]]=0,1,0)</f>
        <v>1</v>
      </c>
      <c r="H1785" t="str">
        <f>IF(Gym_Expansion_Data[[#This Row],[Active Member]]=1,Gym_Expansion_Data[[#This Row],[Tier]],"Inactive")</f>
        <v>Basic</v>
      </c>
    </row>
    <row r="1786" spans="1:8" x14ac:dyDescent="0.2">
      <c r="A1786">
        <v>2785</v>
      </c>
      <c r="B1786" t="s">
        <v>11</v>
      </c>
      <c r="C1786" t="s">
        <v>7</v>
      </c>
      <c r="D1786" s="1">
        <v>45712</v>
      </c>
      <c r="E1786">
        <v>49</v>
      </c>
      <c r="F1786">
        <v>1</v>
      </c>
      <c r="G1786">
        <f>IF(Gym_Expansion_Data[[#This Row],[Churned]]=0,1,0)</f>
        <v>0</v>
      </c>
      <c r="H1786" t="str">
        <f>IF(Gym_Expansion_Data[[#This Row],[Active Member]]=1,Gym_Expansion_Data[[#This Row],[Tier]],"Inactive")</f>
        <v>Inactive</v>
      </c>
    </row>
    <row r="1787" spans="1:8" x14ac:dyDescent="0.2">
      <c r="A1787">
        <v>2786</v>
      </c>
      <c r="B1787" t="s">
        <v>11</v>
      </c>
      <c r="C1787" t="s">
        <v>8</v>
      </c>
      <c r="D1787" s="1">
        <v>45515</v>
      </c>
      <c r="E1787">
        <v>129</v>
      </c>
      <c r="F1787">
        <v>0</v>
      </c>
      <c r="G1787">
        <f>IF(Gym_Expansion_Data[[#This Row],[Churned]]=0,1,0)</f>
        <v>1</v>
      </c>
      <c r="H1787" t="str">
        <f>IF(Gym_Expansion_Data[[#This Row],[Active Member]]=1,Gym_Expansion_Data[[#This Row],[Tier]],"Inactive")</f>
        <v>Elite</v>
      </c>
    </row>
    <row r="1788" spans="1:8" x14ac:dyDescent="0.2">
      <c r="A1788">
        <v>2787</v>
      </c>
      <c r="B1788" t="s">
        <v>10</v>
      </c>
      <c r="C1788" t="s">
        <v>7</v>
      </c>
      <c r="D1788" s="1">
        <v>45573</v>
      </c>
      <c r="E1788">
        <v>49</v>
      </c>
      <c r="F1788">
        <v>0</v>
      </c>
      <c r="G1788">
        <f>IF(Gym_Expansion_Data[[#This Row],[Churned]]=0,1,0)</f>
        <v>1</v>
      </c>
      <c r="H1788" t="str">
        <f>IF(Gym_Expansion_Data[[#This Row],[Active Member]]=1,Gym_Expansion_Data[[#This Row],[Tier]],"Inactive")</f>
        <v>Basic</v>
      </c>
    </row>
    <row r="1789" spans="1:8" x14ac:dyDescent="0.2">
      <c r="A1789">
        <v>2788</v>
      </c>
      <c r="B1789" t="s">
        <v>11</v>
      </c>
      <c r="C1789" t="s">
        <v>7</v>
      </c>
      <c r="D1789" s="1">
        <v>45421</v>
      </c>
      <c r="E1789">
        <v>49</v>
      </c>
      <c r="F1789">
        <v>0</v>
      </c>
      <c r="G1789">
        <f>IF(Gym_Expansion_Data[[#This Row],[Churned]]=0,1,0)</f>
        <v>1</v>
      </c>
      <c r="H1789" t="str">
        <f>IF(Gym_Expansion_Data[[#This Row],[Active Member]]=1,Gym_Expansion_Data[[#This Row],[Tier]],"Inactive")</f>
        <v>Basic</v>
      </c>
    </row>
    <row r="1790" spans="1:8" x14ac:dyDescent="0.2">
      <c r="A1790">
        <v>2789</v>
      </c>
      <c r="B1790" t="s">
        <v>9</v>
      </c>
      <c r="C1790" t="s">
        <v>8</v>
      </c>
      <c r="D1790" s="1">
        <v>45759</v>
      </c>
      <c r="E1790">
        <v>129</v>
      </c>
      <c r="F1790">
        <v>0</v>
      </c>
      <c r="G1790">
        <f>IF(Gym_Expansion_Data[[#This Row],[Churned]]=0,1,0)</f>
        <v>1</v>
      </c>
      <c r="H1790" t="str">
        <f>IF(Gym_Expansion_Data[[#This Row],[Active Member]]=1,Gym_Expansion_Data[[#This Row],[Tier]],"Inactive")</f>
        <v>Elite</v>
      </c>
    </row>
    <row r="1791" spans="1:8" x14ac:dyDescent="0.2">
      <c r="A1791">
        <v>2790</v>
      </c>
      <c r="B1791" t="s">
        <v>9</v>
      </c>
      <c r="C1791" t="s">
        <v>7</v>
      </c>
      <c r="D1791" s="1">
        <v>45578</v>
      </c>
      <c r="E1791">
        <v>49</v>
      </c>
      <c r="F1791">
        <v>0</v>
      </c>
      <c r="G1791">
        <f>IF(Gym_Expansion_Data[[#This Row],[Churned]]=0,1,0)</f>
        <v>1</v>
      </c>
      <c r="H1791" t="str">
        <f>IF(Gym_Expansion_Data[[#This Row],[Active Member]]=1,Gym_Expansion_Data[[#This Row],[Tier]],"Inactive")</f>
        <v>Basic</v>
      </c>
    </row>
    <row r="1792" spans="1:8" x14ac:dyDescent="0.2">
      <c r="A1792">
        <v>2791</v>
      </c>
      <c r="B1792" t="s">
        <v>11</v>
      </c>
      <c r="C1792" t="s">
        <v>8</v>
      </c>
      <c r="D1792" s="1">
        <v>45933</v>
      </c>
      <c r="E1792">
        <v>129</v>
      </c>
      <c r="F1792">
        <v>1</v>
      </c>
      <c r="G1792">
        <f>IF(Gym_Expansion_Data[[#This Row],[Churned]]=0,1,0)</f>
        <v>0</v>
      </c>
      <c r="H1792" t="str">
        <f>IF(Gym_Expansion_Data[[#This Row],[Active Member]]=1,Gym_Expansion_Data[[#This Row],[Tier]],"Inactive")</f>
        <v>Inactive</v>
      </c>
    </row>
    <row r="1793" spans="1:8" x14ac:dyDescent="0.2">
      <c r="A1793">
        <v>2792</v>
      </c>
      <c r="B1793" t="s">
        <v>10</v>
      </c>
      <c r="C1793" t="s">
        <v>12</v>
      </c>
      <c r="D1793" s="1">
        <v>45473</v>
      </c>
      <c r="E1793">
        <v>89</v>
      </c>
      <c r="F1793">
        <v>0</v>
      </c>
      <c r="G1793">
        <f>IF(Gym_Expansion_Data[[#This Row],[Churned]]=0,1,0)</f>
        <v>1</v>
      </c>
      <c r="H1793" t="str">
        <f>IF(Gym_Expansion_Data[[#This Row],[Active Member]]=1,Gym_Expansion_Data[[#This Row],[Tier]],"Inactive")</f>
        <v>Premium</v>
      </c>
    </row>
    <row r="1794" spans="1:8" x14ac:dyDescent="0.2">
      <c r="A1794">
        <v>2793</v>
      </c>
      <c r="B1794" t="s">
        <v>6</v>
      </c>
      <c r="C1794" t="s">
        <v>7</v>
      </c>
      <c r="D1794" s="1">
        <v>45564</v>
      </c>
      <c r="E1794">
        <v>49</v>
      </c>
      <c r="F1794">
        <v>0</v>
      </c>
      <c r="G1794">
        <f>IF(Gym_Expansion_Data[[#This Row],[Churned]]=0,1,0)</f>
        <v>1</v>
      </c>
      <c r="H1794" t="str">
        <f>IF(Gym_Expansion_Data[[#This Row],[Active Member]]=1,Gym_Expansion_Data[[#This Row],[Tier]],"Inactive")</f>
        <v>Basic</v>
      </c>
    </row>
    <row r="1795" spans="1:8" x14ac:dyDescent="0.2">
      <c r="A1795">
        <v>2794</v>
      </c>
      <c r="B1795" t="s">
        <v>10</v>
      </c>
      <c r="C1795" t="s">
        <v>8</v>
      </c>
      <c r="D1795" s="1">
        <v>45347</v>
      </c>
      <c r="E1795">
        <v>129</v>
      </c>
      <c r="F1795">
        <v>0</v>
      </c>
      <c r="G1795">
        <f>IF(Gym_Expansion_Data[[#This Row],[Churned]]=0,1,0)</f>
        <v>1</v>
      </c>
      <c r="H1795" t="str">
        <f>IF(Gym_Expansion_Data[[#This Row],[Active Member]]=1,Gym_Expansion_Data[[#This Row],[Tier]],"Inactive")</f>
        <v>Elite</v>
      </c>
    </row>
    <row r="1796" spans="1:8" x14ac:dyDescent="0.2">
      <c r="A1796">
        <v>2795</v>
      </c>
      <c r="B1796" t="s">
        <v>11</v>
      </c>
      <c r="C1796" t="s">
        <v>8</v>
      </c>
      <c r="D1796" s="1">
        <v>45569</v>
      </c>
      <c r="E1796">
        <v>129</v>
      </c>
      <c r="F1796">
        <v>0</v>
      </c>
      <c r="G1796">
        <f>IF(Gym_Expansion_Data[[#This Row],[Churned]]=0,1,0)</f>
        <v>1</v>
      </c>
      <c r="H1796" t="str">
        <f>IF(Gym_Expansion_Data[[#This Row],[Active Member]]=1,Gym_Expansion_Data[[#This Row],[Tier]],"Inactive")</f>
        <v>Elite</v>
      </c>
    </row>
    <row r="1797" spans="1:8" x14ac:dyDescent="0.2">
      <c r="A1797">
        <v>2796</v>
      </c>
      <c r="B1797" t="s">
        <v>9</v>
      </c>
      <c r="C1797" t="s">
        <v>7</v>
      </c>
      <c r="D1797" s="1">
        <v>45716</v>
      </c>
      <c r="E1797">
        <v>49</v>
      </c>
      <c r="F1797">
        <v>0</v>
      </c>
      <c r="G1797">
        <f>IF(Gym_Expansion_Data[[#This Row],[Churned]]=0,1,0)</f>
        <v>1</v>
      </c>
      <c r="H1797" t="str">
        <f>IF(Gym_Expansion_Data[[#This Row],[Active Member]]=1,Gym_Expansion_Data[[#This Row],[Tier]],"Inactive")</f>
        <v>Basic</v>
      </c>
    </row>
    <row r="1798" spans="1:8" x14ac:dyDescent="0.2">
      <c r="A1798">
        <v>2797</v>
      </c>
      <c r="B1798" t="s">
        <v>6</v>
      </c>
      <c r="C1798" t="s">
        <v>8</v>
      </c>
      <c r="D1798" s="1">
        <v>45620</v>
      </c>
      <c r="E1798">
        <v>129</v>
      </c>
      <c r="F1798">
        <v>0</v>
      </c>
      <c r="G1798">
        <f>IF(Gym_Expansion_Data[[#This Row],[Churned]]=0,1,0)</f>
        <v>1</v>
      </c>
      <c r="H1798" t="str">
        <f>IF(Gym_Expansion_Data[[#This Row],[Active Member]]=1,Gym_Expansion_Data[[#This Row],[Tier]],"Inactive")</f>
        <v>Elite</v>
      </c>
    </row>
    <row r="1799" spans="1:8" x14ac:dyDescent="0.2">
      <c r="A1799">
        <v>2798</v>
      </c>
      <c r="B1799" t="s">
        <v>9</v>
      </c>
      <c r="C1799" t="s">
        <v>12</v>
      </c>
      <c r="D1799" s="1">
        <v>45481</v>
      </c>
      <c r="E1799">
        <v>89</v>
      </c>
      <c r="F1799">
        <v>0</v>
      </c>
      <c r="G1799">
        <f>IF(Gym_Expansion_Data[[#This Row],[Churned]]=0,1,0)</f>
        <v>1</v>
      </c>
      <c r="H1799" t="str">
        <f>IF(Gym_Expansion_Data[[#This Row],[Active Member]]=1,Gym_Expansion_Data[[#This Row],[Tier]],"Inactive")</f>
        <v>Premium</v>
      </c>
    </row>
    <row r="1800" spans="1:8" x14ac:dyDescent="0.2">
      <c r="A1800">
        <v>2799</v>
      </c>
      <c r="B1800" t="s">
        <v>6</v>
      </c>
      <c r="C1800" t="s">
        <v>12</v>
      </c>
      <c r="D1800" s="1">
        <v>45711</v>
      </c>
      <c r="E1800">
        <v>89</v>
      </c>
      <c r="F1800">
        <v>0</v>
      </c>
      <c r="G1800">
        <f>IF(Gym_Expansion_Data[[#This Row],[Churned]]=0,1,0)</f>
        <v>1</v>
      </c>
      <c r="H1800" t="str">
        <f>IF(Gym_Expansion_Data[[#This Row],[Active Member]]=1,Gym_Expansion_Data[[#This Row],[Tier]],"Inactive")</f>
        <v>Premium</v>
      </c>
    </row>
    <row r="1801" spans="1:8" x14ac:dyDescent="0.2">
      <c r="A1801">
        <v>2800</v>
      </c>
      <c r="B1801" t="s">
        <v>9</v>
      </c>
      <c r="C1801" t="s">
        <v>8</v>
      </c>
      <c r="D1801" s="1">
        <v>45884</v>
      </c>
      <c r="E1801">
        <v>129</v>
      </c>
      <c r="F1801">
        <v>0</v>
      </c>
      <c r="G1801">
        <f>IF(Gym_Expansion_Data[[#This Row],[Churned]]=0,1,0)</f>
        <v>1</v>
      </c>
      <c r="H1801" t="str">
        <f>IF(Gym_Expansion_Data[[#This Row],[Active Member]]=1,Gym_Expansion_Data[[#This Row],[Tier]],"Inactive")</f>
        <v>Elite</v>
      </c>
    </row>
    <row r="1802" spans="1:8" x14ac:dyDescent="0.2">
      <c r="A1802">
        <v>2801</v>
      </c>
      <c r="B1802" t="s">
        <v>6</v>
      </c>
      <c r="C1802" t="s">
        <v>8</v>
      </c>
      <c r="D1802" s="1">
        <v>45540</v>
      </c>
      <c r="E1802">
        <v>129</v>
      </c>
      <c r="F1802">
        <v>0</v>
      </c>
      <c r="G1802">
        <f>IF(Gym_Expansion_Data[[#This Row],[Churned]]=0,1,0)</f>
        <v>1</v>
      </c>
      <c r="H1802" t="str">
        <f>IF(Gym_Expansion_Data[[#This Row],[Active Member]]=1,Gym_Expansion_Data[[#This Row],[Tier]],"Inactive")</f>
        <v>Elite</v>
      </c>
    </row>
    <row r="1803" spans="1:8" x14ac:dyDescent="0.2">
      <c r="A1803">
        <v>2802</v>
      </c>
      <c r="B1803" t="s">
        <v>11</v>
      </c>
      <c r="C1803" t="s">
        <v>7</v>
      </c>
      <c r="D1803" s="1">
        <v>45558</v>
      </c>
      <c r="E1803">
        <v>49</v>
      </c>
      <c r="F1803">
        <v>0</v>
      </c>
      <c r="G1803">
        <f>IF(Gym_Expansion_Data[[#This Row],[Churned]]=0,1,0)</f>
        <v>1</v>
      </c>
      <c r="H1803" t="str">
        <f>IF(Gym_Expansion_Data[[#This Row],[Active Member]]=1,Gym_Expansion_Data[[#This Row],[Tier]],"Inactive")</f>
        <v>Basic</v>
      </c>
    </row>
    <row r="1804" spans="1:8" x14ac:dyDescent="0.2">
      <c r="A1804">
        <v>2803</v>
      </c>
      <c r="B1804" t="s">
        <v>11</v>
      </c>
      <c r="C1804" t="s">
        <v>7</v>
      </c>
      <c r="D1804" s="1">
        <v>45363</v>
      </c>
      <c r="E1804">
        <v>49</v>
      </c>
      <c r="F1804">
        <v>0</v>
      </c>
      <c r="G1804">
        <f>IF(Gym_Expansion_Data[[#This Row],[Churned]]=0,1,0)</f>
        <v>1</v>
      </c>
      <c r="H1804" t="str">
        <f>IF(Gym_Expansion_Data[[#This Row],[Active Member]]=1,Gym_Expansion_Data[[#This Row],[Tier]],"Inactive")</f>
        <v>Basic</v>
      </c>
    </row>
    <row r="1805" spans="1:8" x14ac:dyDescent="0.2">
      <c r="A1805">
        <v>2804</v>
      </c>
      <c r="B1805" t="s">
        <v>6</v>
      </c>
      <c r="C1805" t="s">
        <v>7</v>
      </c>
      <c r="D1805" s="1">
        <v>45498</v>
      </c>
      <c r="E1805">
        <v>49</v>
      </c>
      <c r="F1805">
        <v>0</v>
      </c>
      <c r="G1805">
        <f>IF(Gym_Expansion_Data[[#This Row],[Churned]]=0,1,0)</f>
        <v>1</v>
      </c>
      <c r="H1805" t="str">
        <f>IF(Gym_Expansion_Data[[#This Row],[Active Member]]=1,Gym_Expansion_Data[[#This Row],[Tier]],"Inactive")</f>
        <v>Basic</v>
      </c>
    </row>
    <row r="1806" spans="1:8" x14ac:dyDescent="0.2">
      <c r="A1806">
        <v>2805</v>
      </c>
      <c r="B1806" t="s">
        <v>11</v>
      </c>
      <c r="C1806" t="s">
        <v>7</v>
      </c>
      <c r="D1806" s="1">
        <v>45569</v>
      </c>
      <c r="E1806">
        <v>49</v>
      </c>
      <c r="F1806">
        <v>0</v>
      </c>
      <c r="G1806">
        <f>IF(Gym_Expansion_Data[[#This Row],[Churned]]=0,1,0)</f>
        <v>1</v>
      </c>
      <c r="H1806" t="str">
        <f>IF(Gym_Expansion_Data[[#This Row],[Active Member]]=1,Gym_Expansion_Data[[#This Row],[Tier]],"Inactive")</f>
        <v>Basic</v>
      </c>
    </row>
    <row r="1807" spans="1:8" x14ac:dyDescent="0.2">
      <c r="A1807">
        <v>2806</v>
      </c>
      <c r="B1807" t="s">
        <v>10</v>
      </c>
      <c r="C1807" t="s">
        <v>12</v>
      </c>
      <c r="D1807" s="1">
        <v>45409</v>
      </c>
      <c r="E1807">
        <v>89</v>
      </c>
      <c r="F1807">
        <v>1</v>
      </c>
      <c r="G1807">
        <f>IF(Gym_Expansion_Data[[#This Row],[Churned]]=0,1,0)</f>
        <v>0</v>
      </c>
      <c r="H1807" t="str">
        <f>IF(Gym_Expansion_Data[[#This Row],[Active Member]]=1,Gym_Expansion_Data[[#This Row],[Tier]],"Inactive")</f>
        <v>Inactive</v>
      </c>
    </row>
    <row r="1808" spans="1:8" x14ac:dyDescent="0.2">
      <c r="A1808">
        <v>2807</v>
      </c>
      <c r="B1808" t="s">
        <v>9</v>
      </c>
      <c r="C1808" t="s">
        <v>8</v>
      </c>
      <c r="D1808" s="1">
        <v>45564</v>
      </c>
      <c r="E1808">
        <v>129</v>
      </c>
      <c r="F1808">
        <v>0</v>
      </c>
      <c r="G1808">
        <f>IF(Gym_Expansion_Data[[#This Row],[Churned]]=0,1,0)</f>
        <v>1</v>
      </c>
      <c r="H1808" t="str">
        <f>IF(Gym_Expansion_Data[[#This Row],[Active Member]]=1,Gym_Expansion_Data[[#This Row],[Tier]],"Inactive")</f>
        <v>Elite</v>
      </c>
    </row>
    <row r="1809" spans="1:8" x14ac:dyDescent="0.2">
      <c r="A1809">
        <v>2808</v>
      </c>
      <c r="B1809" t="s">
        <v>9</v>
      </c>
      <c r="C1809" t="s">
        <v>8</v>
      </c>
      <c r="D1809" s="1">
        <v>45848</v>
      </c>
      <c r="E1809">
        <v>129</v>
      </c>
      <c r="F1809">
        <v>0</v>
      </c>
      <c r="G1809">
        <f>IF(Gym_Expansion_Data[[#This Row],[Churned]]=0,1,0)</f>
        <v>1</v>
      </c>
      <c r="H1809" t="str">
        <f>IF(Gym_Expansion_Data[[#This Row],[Active Member]]=1,Gym_Expansion_Data[[#This Row],[Tier]],"Inactive")</f>
        <v>Elite</v>
      </c>
    </row>
    <row r="1810" spans="1:8" x14ac:dyDescent="0.2">
      <c r="A1810">
        <v>2809</v>
      </c>
      <c r="B1810" t="s">
        <v>6</v>
      </c>
      <c r="C1810" t="s">
        <v>8</v>
      </c>
      <c r="D1810" s="1">
        <v>45296</v>
      </c>
      <c r="E1810">
        <v>129</v>
      </c>
      <c r="F1810">
        <v>0</v>
      </c>
      <c r="G1810">
        <f>IF(Gym_Expansion_Data[[#This Row],[Churned]]=0,1,0)</f>
        <v>1</v>
      </c>
      <c r="H1810" t="str">
        <f>IF(Gym_Expansion_Data[[#This Row],[Active Member]]=1,Gym_Expansion_Data[[#This Row],[Tier]],"Inactive")</f>
        <v>Elite</v>
      </c>
    </row>
    <row r="1811" spans="1:8" x14ac:dyDescent="0.2">
      <c r="A1811">
        <v>2810</v>
      </c>
      <c r="B1811" t="s">
        <v>10</v>
      </c>
      <c r="C1811" t="s">
        <v>12</v>
      </c>
      <c r="D1811" s="1">
        <v>45419</v>
      </c>
      <c r="E1811">
        <v>89</v>
      </c>
      <c r="F1811">
        <v>0</v>
      </c>
      <c r="G1811">
        <f>IF(Gym_Expansion_Data[[#This Row],[Churned]]=0,1,0)</f>
        <v>1</v>
      </c>
      <c r="H1811" t="str">
        <f>IF(Gym_Expansion_Data[[#This Row],[Active Member]]=1,Gym_Expansion_Data[[#This Row],[Tier]],"Inactive")</f>
        <v>Premium</v>
      </c>
    </row>
    <row r="1812" spans="1:8" x14ac:dyDescent="0.2">
      <c r="A1812">
        <v>2811</v>
      </c>
      <c r="B1812" t="s">
        <v>9</v>
      </c>
      <c r="C1812" t="s">
        <v>8</v>
      </c>
      <c r="D1812" s="1">
        <v>45673</v>
      </c>
      <c r="E1812">
        <v>129</v>
      </c>
      <c r="F1812">
        <v>0</v>
      </c>
      <c r="G1812">
        <f>IF(Gym_Expansion_Data[[#This Row],[Churned]]=0,1,0)</f>
        <v>1</v>
      </c>
      <c r="H1812" t="str">
        <f>IF(Gym_Expansion_Data[[#This Row],[Active Member]]=1,Gym_Expansion_Data[[#This Row],[Tier]],"Inactive")</f>
        <v>Elite</v>
      </c>
    </row>
    <row r="1813" spans="1:8" x14ac:dyDescent="0.2">
      <c r="A1813">
        <v>2812</v>
      </c>
      <c r="B1813" t="s">
        <v>11</v>
      </c>
      <c r="C1813" t="s">
        <v>12</v>
      </c>
      <c r="D1813" s="1">
        <v>45952</v>
      </c>
      <c r="E1813">
        <v>89</v>
      </c>
      <c r="F1813">
        <v>0</v>
      </c>
      <c r="G1813">
        <f>IF(Gym_Expansion_Data[[#This Row],[Churned]]=0,1,0)</f>
        <v>1</v>
      </c>
      <c r="H1813" t="str">
        <f>IF(Gym_Expansion_Data[[#This Row],[Active Member]]=1,Gym_Expansion_Data[[#This Row],[Tier]],"Inactive")</f>
        <v>Premium</v>
      </c>
    </row>
    <row r="1814" spans="1:8" x14ac:dyDescent="0.2">
      <c r="A1814">
        <v>2813</v>
      </c>
      <c r="B1814" t="s">
        <v>11</v>
      </c>
      <c r="C1814" t="s">
        <v>12</v>
      </c>
      <c r="D1814" s="1">
        <v>45790</v>
      </c>
      <c r="E1814">
        <v>89</v>
      </c>
      <c r="F1814">
        <v>0</v>
      </c>
      <c r="G1814">
        <f>IF(Gym_Expansion_Data[[#This Row],[Churned]]=0,1,0)</f>
        <v>1</v>
      </c>
      <c r="H1814" t="str">
        <f>IF(Gym_Expansion_Data[[#This Row],[Active Member]]=1,Gym_Expansion_Data[[#This Row],[Tier]],"Inactive")</f>
        <v>Premium</v>
      </c>
    </row>
    <row r="1815" spans="1:8" x14ac:dyDescent="0.2">
      <c r="A1815">
        <v>2814</v>
      </c>
      <c r="B1815" t="s">
        <v>11</v>
      </c>
      <c r="C1815" t="s">
        <v>8</v>
      </c>
      <c r="D1815" s="1">
        <v>45931</v>
      </c>
      <c r="E1815">
        <v>129</v>
      </c>
      <c r="F1815">
        <v>0</v>
      </c>
      <c r="G1815">
        <f>IF(Gym_Expansion_Data[[#This Row],[Churned]]=0,1,0)</f>
        <v>1</v>
      </c>
      <c r="H1815" t="str">
        <f>IF(Gym_Expansion_Data[[#This Row],[Active Member]]=1,Gym_Expansion_Data[[#This Row],[Tier]],"Inactive")</f>
        <v>Elite</v>
      </c>
    </row>
    <row r="1816" spans="1:8" x14ac:dyDescent="0.2">
      <c r="A1816">
        <v>2815</v>
      </c>
      <c r="B1816" t="s">
        <v>11</v>
      </c>
      <c r="C1816" t="s">
        <v>7</v>
      </c>
      <c r="D1816" s="1">
        <v>45381</v>
      </c>
      <c r="E1816">
        <v>49</v>
      </c>
      <c r="F1816">
        <v>0</v>
      </c>
      <c r="G1816">
        <f>IF(Gym_Expansion_Data[[#This Row],[Churned]]=0,1,0)</f>
        <v>1</v>
      </c>
      <c r="H1816" t="str">
        <f>IF(Gym_Expansion_Data[[#This Row],[Active Member]]=1,Gym_Expansion_Data[[#This Row],[Tier]],"Inactive")</f>
        <v>Basic</v>
      </c>
    </row>
    <row r="1817" spans="1:8" x14ac:dyDescent="0.2">
      <c r="A1817">
        <v>2816</v>
      </c>
      <c r="B1817" t="s">
        <v>11</v>
      </c>
      <c r="C1817" t="s">
        <v>7</v>
      </c>
      <c r="D1817" s="1">
        <v>45432</v>
      </c>
      <c r="E1817">
        <v>49</v>
      </c>
      <c r="F1817">
        <v>0</v>
      </c>
      <c r="G1817">
        <f>IF(Gym_Expansion_Data[[#This Row],[Churned]]=0,1,0)</f>
        <v>1</v>
      </c>
      <c r="H1817" t="str">
        <f>IF(Gym_Expansion_Data[[#This Row],[Active Member]]=1,Gym_Expansion_Data[[#This Row],[Tier]],"Inactive")</f>
        <v>Basic</v>
      </c>
    </row>
    <row r="1818" spans="1:8" x14ac:dyDescent="0.2">
      <c r="A1818">
        <v>2817</v>
      </c>
      <c r="B1818" t="s">
        <v>11</v>
      </c>
      <c r="C1818" t="s">
        <v>8</v>
      </c>
      <c r="D1818" s="1">
        <v>45421</v>
      </c>
      <c r="E1818">
        <v>129</v>
      </c>
      <c r="F1818">
        <v>0</v>
      </c>
      <c r="G1818">
        <f>IF(Gym_Expansion_Data[[#This Row],[Churned]]=0,1,0)</f>
        <v>1</v>
      </c>
      <c r="H1818" t="str">
        <f>IF(Gym_Expansion_Data[[#This Row],[Active Member]]=1,Gym_Expansion_Data[[#This Row],[Tier]],"Inactive")</f>
        <v>Elite</v>
      </c>
    </row>
    <row r="1819" spans="1:8" x14ac:dyDescent="0.2">
      <c r="A1819">
        <v>2818</v>
      </c>
      <c r="B1819" t="s">
        <v>9</v>
      </c>
      <c r="C1819" t="s">
        <v>7</v>
      </c>
      <c r="D1819" s="1">
        <v>45765</v>
      </c>
      <c r="E1819">
        <v>49</v>
      </c>
      <c r="F1819">
        <v>0</v>
      </c>
      <c r="G1819">
        <f>IF(Gym_Expansion_Data[[#This Row],[Churned]]=0,1,0)</f>
        <v>1</v>
      </c>
      <c r="H1819" t="str">
        <f>IF(Gym_Expansion_Data[[#This Row],[Active Member]]=1,Gym_Expansion_Data[[#This Row],[Tier]],"Inactive")</f>
        <v>Basic</v>
      </c>
    </row>
    <row r="1820" spans="1:8" x14ac:dyDescent="0.2">
      <c r="A1820">
        <v>2819</v>
      </c>
      <c r="B1820" t="s">
        <v>9</v>
      </c>
      <c r="C1820" t="s">
        <v>8</v>
      </c>
      <c r="D1820" s="1">
        <v>45864</v>
      </c>
      <c r="E1820">
        <v>129</v>
      </c>
      <c r="F1820">
        <v>0</v>
      </c>
      <c r="G1820">
        <f>IF(Gym_Expansion_Data[[#This Row],[Churned]]=0,1,0)</f>
        <v>1</v>
      </c>
      <c r="H1820" t="str">
        <f>IF(Gym_Expansion_Data[[#This Row],[Active Member]]=1,Gym_Expansion_Data[[#This Row],[Tier]],"Inactive")</f>
        <v>Elite</v>
      </c>
    </row>
    <row r="1821" spans="1:8" x14ac:dyDescent="0.2">
      <c r="A1821">
        <v>2820</v>
      </c>
      <c r="B1821" t="s">
        <v>6</v>
      </c>
      <c r="C1821" t="s">
        <v>8</v>
      </c>
      <c r="D1821" s="1">
        <v>45983</v>
      </c>
      <c r="E1821">
        <v>129</v>
      </c>
      <c r="F1821">
        <v>0</v>
      </c>
      <c r="G1821">
        <f>IF(Gym_Expansion_Data[[#This Row],[Churned]]=0,1,0)</f>
        <v>1</v>
      </c>
      <c r="H1821" t="str">
        <f>IF(Gym_Expansion_Data[[#This Row],[Active Member]]=1,Gym_Expansion_Data[[#This Row],[Tier]],"Inactive")</f>
        <v>Elite</v>
      </c>
    </row>
    <row r="1822" spans="1:8" x14ac:dyDescent="0.2">
      <c r="A1822">
        <v>2821</v>
      </c>
      <c r="B1822" t="s">
        <v>11</v>
      </c>
      <c r="C1822" t="s">
        <v>8</v>
      </c>
      <c r="D1822" s="1">
        <v>45562</v>
      </c>
      <c r="E1822">
        <v>129</v>
      </c>
      <c r="F1822">
        <v>0</v>
      </c>
      <c r="G1822">
        <f>IF(Gym_Expansion_Data[[#This Row],[Churned]]=0,1,0)</f>
        <v>1</v>
      </c>
      <c r="H1822" t="str">
        <f>IF(Gym_Expansion_Data[[#This Row],[Active Member]]=1,Gym_Expansion_Data[[#This Row],[Tier]],"Inactive")</f>
        <v>Elite</v>
      </c>
    </row>
    <row r="1823" spans="1:8" x14ac:dyDescent="0.2">
      <c r="A1823">
        <v>2822</v>
      </c>
      <c r="B1823" t="s">
        <v>6</v>
      </c>
      <c r="C1823" t="s">
        <v>7</v>
      </c>
      <c r="D1823" s="1">
        <v>45949</v>
      </c>
      <c r="E1823">
        <v>49</v>
      </c>
      <c r="F1823">
        <v>0</v>
      </c>
      <c r="G1823">
        <f>IF(Gym_Expansion_Data[[#This Row],[Churned]]=0,1,0)</f>
        <v>1</v>
      </c>
      <c r="H1823" t="str">
        <f>IF(Gym_Expansion_Data[[#This Row],[Active Member]]=1,Gym_Expansion_Data[[#This Row],[Tier]],"Inactive")</f>
        <v>Basic</v>
      </c>
    </row>
    <row r="1824" spans="1:8" x14ac:dyDescent="0.2">
      <c r="A1824">
        <v>2823</v>
      </c>
      <c r="B1824" t="s">
        <v>11</v>
      </c>
      <c r="C1824" t="s">
        <v>7</v>
      </c>
      <c r="D1824" s="1">
        <v>45491</v>
      </c>
      <c r="E1824">
        <v>49</v>
      </c>
      <c r="F1824">
        <v>0</v>
      </c>
      <c r="G1824">
        <f>IF(Gym_Expansion_Data[[#This Row],[Churned]]=0,1,0)</f>
        <v>1</v>
      </c>
      <c r="H1824" t="str">
        <f>IF(Gym_Expansion_Data[[#This Row],[Active Member]]=1,Gym_Expansion_Data[[#This Row],[Tier]],"Inactive")</f>
        <v>Basic</v>
      </c>
    </row>
    <row r="1825" spans="1:8" x14ac:dyDescent="0.2">
      <c r="A1825">
        <v>2824</v>
      </c>
      <c r="B1825" t="s">
        <v>9</v>
      </c>
      <c r="C1825" t="s">
        <v>8</v>
      </c>
      <c r="D1825" s="1">
        <v>45726</v>
      </c>
      <c r="E1825">
        <v>129</v>
      </c>
      <c r="F1825">
        <v>0</v>
      </c>
      <c r="G1825">
        <f>IF(Gym_Expansion_Data[[#This Row],[Churned]]=0,1,0)</f>
        <v>1</v>
      </c>
      <c r="H1825" t="str">
        <f>IF(Gym_Expansion_Data[[#This Row],[Active Member]]=1,Gym_Expansion_Data[[#This Row],[Tier]],"Inactive")</f>
        <v>Elite</v>
      </c>
    </row>
    <row r="1826" spans="1:8" x14ac:dyDescent="0.2">
      <c r="A1826">
        <v>2825</v>
      </c>
      <c r="B1826" t="s">
        <v>6</v>
      </c>
      <c r="C1826" t="s">
        <v>12</v>
      </c>
      <c r="D1826" s="1">
        <v>45478</v>
      </c>
      <c r="E1826">
        <v>89</v>
      </c>
      <c r="F1826">
        <v>0</v>
      </c>
      <c r="G1826">
        <f>IF(Gym_Expansion_Data[[#This Row],[Churned]]=0,1,0)</f>
        <v>1</v>
      </c>
      <c r="H1826" t="str">
        <f>IF(Gym_Expansion_Data[[#This Row],[Active Member]]=1,Gym_Expansion_Data[[#This Row],[Tier]],"Inactive")</f>
        <v>Premium</v>
      </c>
    </row>
    <row r="1827" spans="1:8" x14ac:dyDescent="0.2">
      <c r="A1827">
        <v>2826</v>
      </c>
      <c r="B1827" t="s">
        <v>9</v>
      </c>
      <c r="C1827" t="s">
        <v>7</v>
      </c>
      <c r="D1827" s="1">
        <v>45532</v>
      </c>
      <c r="E1827">
        <v>49</v>
      </c>
      <c r="F1827">
        <v>0</v>
      </c>
      <c r="G1827">
        <f>IF(Gym_Expansion_Data[[#This Row],[Churned]]=0,1,0)</f>
        <v>1</v>
      </c>
      <c r="H1827" t="str">
        <f>IF(Gym_Expansion_Data[[#This Row],[Active Member]]=1,Gym_Expansion_Data[[#This Row],[Tier]],"Inactive")</f>
        <v>Basic</v>
      </c>
    </row>
    <row r="1828" spans="1:8" x14ac:dyDescent="0.2">
      <c r="A1828">
        <v>2827</v>
      </c>
      <c r="B1828" t="s">
        <v>10</v>
      </c>
      <c r="C1828" t="s">
        <v>12</v>
      </c>
      <c r="D1828" s="1">
        <v>45315</v>
      </c>
      <c r="E1828">
        <v>89</v>
      </c>
      <c r="F1828">
        <v>0</v>
      </c>
      <c r="G1828">
        <f>IF(Gym_Expansion_Data[[#This Row],[Churned]]=0,1,0)</f>
        <v>1</v>
      </c>
      <c r="H1828" t="str">
        <f>IF(Gym_Expansion_Data[[#This Row],[Active Member]]=1,Gym_Expansion_Data[[#This Row],[Tier]],"Inactive")</f>
        <v>Premium</v>
      </c>
    </row>
    <row r="1829" spans="1:8" x14ac:dyDescent="0.2">
      <c r="A1829">
        <v>2828</v>
      </c>
      <c r="B1829" t="s">
        <v>9</v>
      </c>
      <c r="C1829" t="s">
        <v>12</v>
      </c>
      <c r="D1829" s="1">
        <v>45763</v>
      </c>
      <c r="E1829">
        <v>89</v>
      </c>
      <c r="F1829">
        <v>0</v>
      </c>
      <c r="G1829">
        <f>IF(Gym_Expansion_Data[[#This Row],[Churned]]=0,1,0)</f>
        <v>1</v>
      </c>
      <c r="H1829" t="str">
        <f>IF(Gym_Expansion_Data[[#This Row],[Active Member]]=1,Gym_Expansion_Data[[#This Row],[Tier]],"Inactive")</f>
        <v>Premium</v>
      </c>
    </row>
    <row r="1830" spans="1:8" x14ac:dyDescent="0.2">
      <c r="A1830">
        <v>2829</v>
      </c>
      <c r="B1830" t="s">
        <v>6</v>
      </c>
      <c r="C1830" t="s">
        <v>12</v>
      </c>
      <c r="D1830" s="1">
        <v>45834</v>
      </c>
      <c r="E1830">
        <v>89</v>
      </c>
      <c r="F1830">
        <v>0</v>
      </c>
      <c r="G1830">
        <f>IF(Gym_Expansion_Data[[#This Row],[Churned]]=0,1,0)</f>
        <v>1</v>
      </c>
      <c r="H1830" t="str">
        <f>IF(Gym_Expansion_Data[[#This Row],[Active Member]]=1,Gym_Expansion_Data[[#This Row],[Tier]],"Inactive")</f>
        <v>Premium</v>
      </c>
    </row>
    <row r="1831" spans="1:8" x14ac:dyDescent="0.2">
      <c r="A1831">
        <v>2830</v>
      </c>
      <c r="B1831" t="s">
        <v>6</v>
      </c>
      <c r="C1831" t="s">
        <v>8</v>
      </c>
      <c r="D1831" s="1">
        <v>45336</v>
      </c>
      <c r="E1831">
        <v>129</v>
      </c>
      <c r="F1831">
        <v>0</v>
      </c>
      <c r="G1831">
        <f>IF(Gym_Expansion_Data[[#This Row],[Churned]]=0,1,0)</f>
        <v>1</v>
      </c>
      <c r="H1831" t="str">
        <f>IF(Gym_Expansion_Data[[#This Row],[Active Member]]=1,Gym_Expansion_Data[[#This Row],[Tier]],"Inactive")</f>
        <v>Elite</v>
      </c>
    </row>
    <row r="1832" spans="1:8" x14ac:dyDescent="0.2">
      <c r="A1832">
        <v>2831</v>
      </c>
      <c r="B1832" t="s">
        <v>9</v>
      </c>
      <c r="C1832" t="s">
        <v>7</v>
      </c>
      <c r="D1832" s="1">
        <v>45619</v>
      </c>
      <c r="E1832">
        <v>49</v>
      </c>
      <c r="F1832">
        <v>0</v>
      </c>
      <c r="G1832">
        <f>IF(Gym_Expansion_Data[[#This Row],[Churned]]=0,1,0)</f>
        <v>1</v>
      </c>
      <c r="H1832" t="str">
        <f>IF(Gym_Expansion_Data[[#This Row],[Active Member]]=1,Gym_Expansion_Data[[#This Row],[Tier]],"Inactive")</f>
        <v>Basic</v>
      </c>
    </row>
    <row r="1833" spans="1:8" x14ac:dyDescent="0.2">
      <c r="A1833">
        <v>2832</v>
      </c>
      <c r="B1833" t="s">
        <v>6</v>
      </c>
      <c r="C1833" t="s">
        <v>7</v>
      </c>
      <c r="D1833" s="1">
        <v>45350</v>
      </c>
      <c r="E1833">
        <v>49</v>
      </c>
      <c r="F1833">
        <v>0</v>
      </c>
      <c r="G1833">
        <f>IF(Gym_Expansion_Data[[#This Row],[Churned]]=0,1,0)</f>
        <v>1</v>
      </c>
      <c r="H1833" t="str">
        <f>IF(Gym_Expansion_Data[[#This Row],[Active Member]]=1,Gym_Expansion_Data[[#This Row],[Tier]],"Inactive")</f>
        <v>Basic</v>
      </c>
    </row>
    <row r="1834" spans="1:8" x14ac:dyDescent="0.2">
      <c r="A1834">
        <v>2833</v>
      </c>
      <c r="B1834" t="s">
        <v>11</v>
      </c>
      <c r="C1834" t="s">
        <v>7</v>
      </c>
      <c r="D1834" s="1">
        <v>45945</v>
      </c>
      <c r="E1834">
        <v>49</v>
      </c>
      <c r="F1834">
        <v>0</v>
      </c>
      <c r="G1834">
        <f>IF(Gym_Expansion_Data[[#This Row],[Churned]]=0,1,0)</f>
        <v>1</v>
      </c>
      <c r="H1834" t="str">
        <f>IF(Gym_Expansion_Data[[#This Row],[Active Member]]=1,Gym_Expansion_Data[[#This Row],[Tier]],"Inactive")</f>
        <v>Basic</v>
      </c>
    </row>
    <row r="1835" spans="1:8" x14ac:dyDescent="0.2">
      <c r="A1835">
        <v>2834</v>
      </c>
      <c r="B1835" t="s">
        <v>9</v>
      </c>
      <c r="C1835" t="s">
        <v>7</v>
      </c>
      <c r="D1835" s="1">
        <v>45467</v>
      </c>
      <c r="E1835">
        <v>49</v>
      </c>
      <c r="F1835">
        <v>0</v>
      </c>
      <c r="G1835">
        <f>IF(Gym_Expansion_Data[[#This Row],[Churned]]=0,1,0)</f>
        <v>1</v>
      </c>
      <c r="H1835" t="str">
        <f>IF(Gym_Expansion_Data[[#This Row],[Active Member]]=1,Gym_Expansion_Data[[#This Row],[Tier]],"Inactive")</f>
        <v>Basic</v>
      </c>
    </row>
    <row r="1836" spans="1:8" x14ac:dyDescent="0.2">
      <c r="A1836">
        <v>2835</v>
      </c>
      <c r="B1836" t="s">
        <v>11</v>
      </c>
      <c r="C1836" t="s">
        <v>12</v>
      </c>
      <c r="D1836" s="1">
        <v>45903</v>
      </c>
      <c r="E1836">
        <v>89</v>
      </c>
      <c r="F1836">
        <v>1</v>
      </c>
      <c r="G1836">
        <f>IF(Gym_Expansion_Data[[#This Row],[Churned]]=0,1,0)</f>
        <v>0</v>
      </c>
      <c r="H1836" t="str">
        <f>IF(Gym_Expansion_Data[[#This Row],[Active Member]]=1,Gym_Expansion_Data[[#This Row],[Tier]],"Inactive")</f>
        <v>Inactive</v>
      </c>
    </row>
    <row r="1837" spans="1:8" x14ac:dyDescent="0.2">
      <c r="A1837">
        <v>2836</v>
      </c>
      <c r="B1837" t="s">
        <v>10</v>
      </c>
      <c r="C1837" t="s">
        <v>7</v>
      </c>
      <c r="D1837" s="1">
        <v>45462</v>
      </c>
      <c r="E1837">
        <v>49</v>
      </c>
      <c r="F1837">
        <v>0</v>
      </c>
      <c r="G1837">
        <f>IF(Gym_Expansion_Data[[#This Row],[Churned]]=0,1,0)</f>
        <v>1</v>
      </c>
      <c r="H1837" t="str">
        <f>IF(Gym_Expansion_Data[[#This Row],[Active Member]]=1,Gym_Expansion_Data[[#This Row],[Tier]],"Inactive")</f>
        <v>Basic</v>
      </c>
    </row>
    <row r="1838" spans="1:8" x14ac:dyDescent="0.2">
      <c r="A1838">
        <v>2837</v>
      </c>
      <c r="B1838" t="s">
        <v>10</v>
      </c>
      <c r="C1838" t="s">
        <v>8</v>
      </c>
      <c r="D1838" s="1">
        <v>45720</v>
      </c>
      <c r="E1838">
        <v>129</v>
      </c>
      <c r="F1838">
        <v>0</v>
      </c>
      <c r="G1838">
        <f>IF(Gym_Expansion_Data[[#This Row],[Churned]]=0,1,0)</f>
        <v>1</v>
      </c>
      <c r="H1838" t="str">
        <f>IF(Gym_Expansion_Data[[#This Row],[Active Member]]=1,Gym_Expansion_Data[[#This Row],[Tier]],"Inactive")</f>
        <v>Elite</v>
      </c>
    </row>
    <row r="1839" spans="1:8" x14ac:dyDescent="0.2">
      <c r="A1839">
        <v>2838</v>
      </c>
      <c r="B1839" t="s">
        <v>10</v>
      </c>
      <c r="C1839" t="s">
        <v>7</v>
      </c>
      <c r="D1839" s="1">
        <v>45725</v>
      </c>
      <c r="E1839">
        <v>49</v>
      </c>
      <c r="F1839">
        <v>0</v>
      </c>
      <c r="G1839">
        <f>IF(Gym_Expansion_Data[[#This Row],[Churned]]=0,1,0)</f>
        <v>1</v>
      </c>
      <c r="H1839" t="str">
        <f>IF(Gym_Expansion_Data[[#This Row],[Active Member]]=1,Gym_Expansion_Data[[#This Row],[Tier]],"Inactive")</f>
        <v>Basic</v>
      </c>
    </row>
    <row r="1840" spans="1:8" x14ac:dyDescent="0.2">
      <c r="A1840">
        <v>2839</v>
      </c>
      <c r="B1840" t="s">
        <v>9</v>
      </c>
      <c r="C1840" t="s">
        <v>8</v>
      </c>
      <c r="D1840" s="1">
        <v>45983</v>
      </c>
      <c r="E1840">
        <v>129</v>
      </c>
      <c r="F1840">
        <v>1</v>
      </c>
      <c r="G1840">
        <f>IF(Gym_Expansion_Data[[#This Row],[Churned]]=0,1,0)</f>
        <v>0</v>
      </c>
      <c r="H1840" t="str">
        <f>IF(Gym_Expansion_Data[[#This Row],[Active Member]]=1,Gym_Expansion_Data[[#This Row],[Tier]],"Inactive")</f>
        <v>Inactive</v>
      </c>
    </row>
    <row r="1841" spans="1:8" x14ac:dyDescent="0.2">
      <c r="A1841">
        <v>2840</v>
      </c>
      <c r="B1841" t="s">
        <v>6</v>
      </c>
      <c r="C1841" t="s">
        <v>7</v>
      </c>
      <c r="D1841" s="1">
        <v>45404</v>
      </c>
      <c r="E1841">
        <v>49</v>
      </c>
      <c r="F1841">
        <v>0</v>
      </c>
      <c r="G1841">
        <f>IF(Gym_Expansion_Data[[#This Row],[Churned]]=0,1,0)</f>
        <v>1</v>
      </c>
      <c r="H1841" t="str">
        <f>IF(Gym_Expansion_Data[[#This Row],[Active Member]]=1,Gym_Expansion_Data[[#This Row],[Tier]],"Inactive")</f>
        <v>Basic</v>
      </c>
    </row>
    <row r="1842" spans="1:8" x14ac:dyDescent="0.2">
      <c r="A1842">
        <v>2841</v>
      </c>
      <c r="B1842" t="s">
        <v>6</v>
      </c>
      <c r="C1842" t="s">
        <v>12</v>
      </c>
      <c r="D1842" s="1">
        <v>45639</v>
      </c>
      <c r="E1842">
        <v>89</v>
      </c>
      <c r="F1842">
        <v>0</v>
      </c>
      <c r="G1842">
        <f>IF(Gym_Expansion_Data[[#This Row],[Churned]]=0,1,0)</f>
        <v>1</v>
      </c>
      <c r="H1842" t="str">
        <f>IF(Gym_Expansion_Data[[#This Row],[Active Member]]=1,Gym_Expansion_Data[[#This Row],[Tier]],"Inactive")</f>
        <v>Premium</v>
      </c>
    </row>
    <row r="1843" spans="1:8" x14ac:dyDescent="0.2">
      <c r="A1843">
        <v>2842</v>
      </c>
      <c r="B1843" t="s">
        <v>10</v>
      </c>
      <c r="C1843" t="s">
        <v>12</v>
      </c>
      <c r="D1843" s="1">
        <v>45821</v>
      </c>
      <c r="E1843">
        <v>89</v>
      </c>
      <c r="F1843">
        <v>0</v>
      </c>
      <c r="G1843">
        <f>IF(Gym_Expansion_Data[[#This Row],[Churned]]=0,1,0)</f>
        <v>1</v>
      </c>
      <c r="H1843" t="str">
        <f>IF(Gym_Expansion_Data[[#This Row],[Active Member]]=1,Gym_Expansion_Data[[#This Row],[Tier]],"Inactive")</f>
        <v>Premium</v>
      </c>
    </row>
    <row r="1844" spans="1:8" x14ac:dyDescent="0.2">
      <c r="A1844">
        <v>2843</v>
      </c>
      <c r="B1844" t="s">
        <v>9</v>
      </c>
      <c r="C1844" t="s">
        <v>7</v>
      </c>
      <c r="D1844" s="1">
        <v>45327</v>
      </c>
      <c r="E1844">
        <v>49</v>
      </c>
      <c r="F1844">
        <v>0</v>
      </c>
      <c r="G1844">
        <f>IF(Gym_Expansion_Data[[#This Row],[Churned]]=0,1,0)</f>
        <v>1</v>
      </c>
      <c r="H1844" t="str">
        <f>IF(Gym_Expansion_Data[[#This Row],[Active Member]]=1,Gym_Expansion_Data[[#This Row],[Tier]],"Inactive")</f>
        <v>Basic</v>
      </c>
    </row>
    <row r="1845" spans="1:8" x14ac:dyDescent="0.2">
      <c r="A1845">
        <v>2844</v>
      </c>
      <c r="B1845" t="s">
        <v>6</v>
      </c>
      <c r="C1845" t="s">
        <v>7</v>
      </c>
      <c r="D1845" s="1">
        <v>45967</v>
      </c>
      <c r="E1845">
        <v>49</v>
      </c>
      <c r="F1845">
        <v>0</v>
      </c>
      <c r="G1845">
        <f>IF(Gym_Expansion_Data[[#This Row],[Churned]]=0,1,0)</f>
        <v>1</v>
      </c>
      <c r="H1845" t="str">
        <f>IF(Gym_Expansion_Data[[#This Row],[Active Member]]=1,Gym_Expansion_Data[[#This Row],[Tier]],"Inactive")</f>
        <v>Basic</v>
      </c>
    </row>
    <row r="1846" spans="1:8" x14ac:dyDescent="0.2">
      <c r="A1846">
        <v>2845</v>
      </c>
      <c r="B1846" t="s">
        <v>9</v>
      </c>
      <c r="C1846" t="s">
        <v>7</v>
      </c>
      <c r="D1846" s="1">
        <v>45842</v>
      </c>
      <c r="E1846">
        <v>49</v>
      </c>
      <c r="F1846">
        <v>0</v>
      </c>
      <c r="G1846">
        <f>IF(Gym_Expansion_Data[[#This Row],[Churned]]=0,1,0)</f>
        <v>1</v>
      </c>
      <c r="H1846" t="str">
        <f>IF(Gym_Expansion_Data[[#This Row],[Active Member]]=1,Gym_Expansion_Data[[#This Row],[Tier]],"Inactive")</f>
        <v>Basic</v>
      </c>
    </row>
    <row r="1847" spans="1:8" x14ac:dyDescent="0.2">
      <c r="A1847">
        <v>2846</v>
      </c>
      <c r="B1847" t="s">
        <v>11</v>
      </c>
      <c r="C1847" t="s">
        <v>12</v>
      </c>
      <c r="D1847" s="1">
        <v>45538</v>
      </c>
      <c r="E1847">
        <v>89</v>
      </c>
      <c r="F1847">
        <v>0</v>
      </c>
      <c r="G1847">
        <f>IF(Gym_Expansion_Data[[#This Row],[Churned]]=0,1,0)</f>
        <v>1</v>
      </c>
      <c r="H1847" t="str">
        <f>IF(Gym_Expansion_Data[[#This Row],[Active Member]]=1,Gym_Expansion_Data[[#This Row],[Tier]],"Inactive")</f>
        <v>Premium</v>
      </c>
    </row>
    <row r="1848" spans="1:8" x14ac:dyDescent="0.2">
      <c r="A1848">
        <v>2847</v>
      </c>
      <c r="B1848" t="s">
        <v>10</v>
      </c>
      <c r="C1848" t="s">
        <v>7</v>
      </c>
      <c r="D1848" s="1">
        <v>45474</v>
      </c>
      <c r="E1848">
        <v>49</v>
      </c>
      <c r="F1848">
        <v>0</v>
      </c>
      <c r="G1848">
        <f>IF(Gym_Expansion_Data[[#This Row],[Churned]]=0,1,0)</f>
        <v>1</v>
      </c>
      <c r="H1848" t="str">
        <f>IF(Gym_Expansion_Data[[#This Row],[Active Member]]=1,Gym_Expansion_Data[[#This Row],[Tier]],"Inactive")</f>
        <v>Basic</v>
      </c>
    </row>
    <row r="1849" spans="1:8" x14ac:dyDescent="0.2">
      <c r="A1849">
        <v>2848</v>
      </c>
      <c r="B1849" t="s">
        <v>10</v>
      </c>
      <c r="C1849" t="s">
        <v>12</v>
      </c>
      <c r="D1849" s="1">
        <v>45412</v>
      </c>
      <c r="E1849">
        <v>89</v>
      </c>
      <c r="F1849">
        <v>0</v>
      </c>
      <c r="G1849">
        <f>IF(Gym_Expansion_Data[[#This Row],[Churned]]=0,1,0)</f>
        <v>1</v>
      </c>
      <c r="H1849" t="str">
        <f>IF(Gym_Expansion_Data[[#This Row],[Active Member]]=1,Gym_Expansion_Data[[#This Row],[Tier]],"Inactive")</f>
        <v>Premium</v>
      </c>
    </row>
    <row r="1850" spans="1:8" x14ac:dyDescent="0.2">
      <c r="A1850">
        <v>2849</v>
      </c>
      <c r="B1850" t="s">
        <v>10</v>
      </c>
      <c r="C1850" t="s">
        <v>12</v>
      </c>
      <c r="D1850" s="1">
        <v>45421</v>
      </c>
      <c r="E1850">
        <v>89</v>
      </c>
      <c r="F1850">
        <v>1</v>
      </c>
      <c r="G1850">
        <f>IF(Gym_Expansion_Data[[#This Row],[Churned]]=0,1,0)</f>
        <v>0</v>
      </c>
      <c r="H1850" t="str">
        <f>IF(Gym_Expansion_Data[[#This Row],[Active Member]]=1,Gym_Expansion_Data[[#This Row],[Tier]],"Inactive")</f>
        <v>Inactive</v>
      </c>
    </row>
    <row r="1851" spans="1:8" x14ac:dyDescent="0.2">
      <c r="A1851">
        <v>2850</v>
      </c>
      <c r="B1851" t="s">
        <v>6</v>
      </c>
      <c r="C1851" t="s">
        <v>7</v>
      </c>
      <c r="D1851" s="1">
        <v>45536</v>
      </c>
      <c r="E1851">
        <v>49</v>
      </c>
      <c r="F1851">
        <v>0</v>
      </c>
      <c r="G1851">
        <f>IF(Gym_Expansion_Data[[#This Row],[Churned]]=0,1,0)</f>
        <v>1</v>
      </c>
      <c r="H1851" t="str">
        <f>IF(Gym_Expansion_Data[[#This Row],[Active Member]]=1,Gym_Expansion_Data[[#This Row],[Tier]],"Inactive")</f>
        <v>Basic</v>
      </c>
    </row>
    <row r="1852" spans="1:8" x14ac:dyDescent="0.2">
      <c r="A1852">
        <v>2851</v>
      </c>
      <c r="B1852" t="s">
        <v>6</v>
      </c>
      <c r="C1852" t="s">
        <v>7</v>
      </c>
      <c r="D1852" s="1">
        <v>45779</v>
      </c>
      <c r="E1852">
        <v>49</v>
      </c>
      <c r="F1852">
        <v>0</v>
      </c>
      <c r="G1852">
        <f>IF(Gym_Expansion_Data[[#This Row],[Churned]]=0,1,0)</f>
        <v>1</v>
      </c>
      <c r="H1852" t="str">
        <f>IF(Gym_Expansion_Data[[#This Row],[Active Member]]=1,Gym_Expansion_Data[[#This Row],[Tier]],"Inactive")</f>
        <v>Basic</v>
      </c>
    </row>
    <row r="1853" spans="1:8" x14ac:dyDescent="0.2">
      <c r="A1853">
        <v>2852</v>
      </c>
      <c r="B1853" t="s">
        <v>11</v>
      </c>
      <c r="C1853" t="s">
        <v>12</v>
      </c>
      <c r="D1853" s="1">
        <v>45960</v>
      </c>
      <c r="E1853">
        <v>89</v>
      </c>
      <c r="F1853">
        <v>0</v>
      </c>
      <c r="G1853">
        <f>IF(Gym_Expansion_Data[[#This Row],[Churned]]=0,1,0)</f>
        <v>1</v>
      </c>
      <c r="H1853" t="str">
        <f>IF(Gym_Expansion_Data[[#This Row],[Active Member]]=1,Gym_Expansion_Data[[#This Row],[Tier]],"Inactive")</f>
        <v>Premium</v>
      </c>
    </row>
    <row r="1854" spans="1:8" x14ac:dyDescent="0.2">
      <c r="A1854">
        <v>2853</v>
      </c>
      <c r="B1854" t="s">
        <v>9</v>
      </c>
      <c r="C1854" t="s">
        <v>8</v>
      </c>
      <c r="D1854" s="1">
        <v>45558</v>
      </c>
      <c r="E1854">
        <v>129</v>
      </c>
      <c r="F1854">
        <v>0</v>
      </c>
      <c r="G1854">
        <f>IF(Gym_Expansion_Data[[#This Row],[Churned]]=0,1,0)</f>
        <v>1</v>
      </c>
      <c r="H1854" t="str">
        <f>IF(Gym_Expansion_Data[[#This Row],[Active Member]]=1,Gym_Expansion_Data[[#This Row],[Tier]],"Inactive")</f>
        <v>Elite</v>
      </c>
    </row>
    <row r="1855" spans="1:8" x14ac:dyDescent="0.2">
      <c r="A1855">
        <v>2854</v>
      </c>
      <c r="B1855" t="s">
        <v>6</v>
      </c>
      <c r="C1855" t="s">
        <v>12</v>
      </c>
      <c r="D1855" s="1">
        <v>45596</v>
      </c>
      <c r="E1855">
        <v>89</v>
      </c>
      <c r="F1855">
        <v>0</v>
      </c>
      <c r="G1855">
        <f>IF(Gym_Expansion_Data[[#This Row],[Churned]]=0,1,0)</f>
        <v>1</v>
      </c>
      <c r="H1855" t="str">
        <f>IF(Gym_Expansion_Data[[#This Row],[Active Member]]=1,Gym_Expansion_Data[[#This Row],[Tier]],"Inactive")</f>
        <v>Premium</v>
      </c>
    </row>
    <row r="1856" spans="1:8" x14ac:dyDescent="0.2">
      <c r="A1856">
        <v>2855</v>
      </c>
      <c r="B1856" t="s">
        <v>11</v>
      </c>
      <c r="C1856" t="s">
        <v>7</v>
      </c>
      <c r="D1856" s="1">
        <v>45893</v>
      </c>
      <c r="E1856">
        <v>49</v>
      </c>
      <c r="F1856">
        <v>0</v>
      </c>
      <c r="G1856">
        <f>IF(Gym_Expansion_Data[[#This Row],[Churned]]=0,1,0)</f>
        <v>1</v>
      </c>
      <c r="H1856" t="str">
        <f>IF(Gym_Expansion_Data[[#This Row],[Active Member]]=1,Gym_Expansion_Data[[#This Row],[Tier]],"Inactive")</f>
        <v>Basic</v>
      </c>
    </row>
    <row r="1857" spans="1:8" x14ac:dyDescent="0.2">
      <c r="A1857">
        <v>2856</v>
      </c>
      <c r="B1857" t="s">
        <v>10</v>
      </c>
      <c r="C1857" t="s">
        <v>7</v>
      </c>
      <c r="D1857" s="1">
        <v>45412</v>
      </c>
      <c r="E1857">
        <v>49</v>
      </c>
      <c r="F1857">
        <v>0</v>
      </c>
      <c r="G1857">
        <f>IF(Gym_Expansion_Data[[#This Row],[Churned]]=0,1,0)</f>
        <v>1</v>
      </c>
      <c r="H1857" t="str">
        <f>IF(Gym_Expansion_Data[[#This Row],[Active Member]]=1,Gym_Expansion_Data[[#This Row],[Tier]],"Inactive")</f>
        <v>Basic</v>
      </c>
    </row>
    <row r="1858" spans="1:8" x14ac:dyDescent="0.2">
      <c r="A1858">
        <v>2857</v>
      </c>
      <c r="B1858" t="s">
        <v>9</v>
      </c>
      <c r="C1858" t="s">
        <v>12</v>
      </c>
      <c r="D1858" s="1">
        <v>45908</v>
      </c>
      <c r="E1858">
        <v>89</v>
      </c>
      <c r="F1858">
        <v>0</v>
      </c>
      <c r="G1858">
        <f>IF(Gym_Expansion_Data[[#This Row],[Churned]]=0,1,0)</f>
        <v>1</v>
      </c>
      <c r="H1858" t="str">
        <f>IF(Gym_Expansion_Data[[#This Row],[Active Member]]=1,Gym_Expansion_Data[[#This Row],[Tier]],"Inactive")</f>
        <v>Premium</v>
      </c>
    </row>
    <row r="1859" spans="1:8" x14ac:dyDescent="0.2">
      <c r="A1859">
        <v>2858</v>
      </c>
      <c r="B1859" t="s">
        <v>6</v>
      </c>
      <c r="C1859" t="s">
        <v>12</v>
      </c>
      <c r="D1859" s="1">
        <v>45592</v>
      </c>
      <c r="E1859">
        <v>89</v>
      </c>
      <c r="F1859">
        <v>0</v>
      </c>
      <c r="G1859">
        <f>IF(Gym_Expansion_Data[[#This Row],[Churned]]=0,1,0)</f>
        <v>1</v>
      </c>
      <c r="H1859" t="str">
        <f>IF(Gym_Expansion_Data[[#This Row],[Active Member]]=1,Gym_Expansion_Data[[#This Row],[Tier]],"Inactive")</f>
        <v>Premium</v>
      </c>
    </row>
    <row r="1860" spans="1:8" x14ac:dyDescent="0.2">
      <c r="A1860">
        <v>2859</v>
      </c>
      <c r="B1860" t="s">
        <v>6</v>
      </c>
      <c r="C1860" t="s">
        <v>7</v>
      </c>
      <c r="D1860" s="1">
        <v>45894</v>
      </c>
      <c r="E1860">
        <v>49</v>
      </c>
      <c r="F1860">
        <v>0</v>
      </c>
      <c r="G1860">
        <f>IF(Gym_Expansion_Data[[#This Row],[Churned]]=0,1,0)</f>
        <v>1</v>
      </c>
      <c r="H1860" t="str">
        <f>IF(Gym_Expansion_Data[[#This Row],[Active Member]]=1,Gym_Expansion_Data[[#This Row],[Tier]],"Inactive")</f>
        <v>Basic</v>
      </c>
    </row>
    <row r="1861" spans="1:8" x14ac:dyDescent="0.2">
      <c r="A1861">
        <v>2860</v>
      </c>
      <c r="B1861" t="s">
        <v>10</v>
      </c>
      <c r="C1861" t="s">
        <v>7</v>
      </c>
      <c r="D1861" s="1">
        <v>45458</v>
      </c>
      <c r="E1861">
        <v>49</v>
      </c>
      <c r="F1861">
        <v>0</v>
      </c>
      <c r="G1861">
        <f>IF(Gym_Expansion_Data[[#This Row],[Churned]]=0,1,0)</f>
        <v>1</v>
      </c>
      <c r="H1861" t="str">
        <f>IF(Gym_Expansion_Data[[#This Row],[Active Member]]=1,Gym_Expansion_Data[[#This Row],[Tier]],"Inactive")</f>
        <v>Basic</v>
      </c>
    </row>
    <row r="1862" spans="1:8" x14ac:dyDescent="0.2">
      <c r="A1862">
        <v>2861</v>
      </c>
      <c r="B1862" t="s">
        <v>10</v>
      </c>
      <c r="C1862" t="s">
        <v>7</v>
      </c>
      <c r="D1862" s="1">
        <v>45690</v>
      </c>
      <c r="E1862">
        <v>49</v>
      </c>
      <c r="F1862">
        <v>0</v>
      </c>
      <c r="G1862">
        <f>IF(Gym_Expansion_Data[[#This Row],[Churned]]=0,1,0)</f>
        <v>1</v>
      </c>
      <c r="H1862" t="str">
        <f>IF(Gym_Expansion_Data[[#This Row],[Active Member]]=1,Gym_Expansion_Data[[#This Row],[Tier]],"Inactive")</f>
        <v>Basic</v>
      </c>
    </row>
    <row r="1863" spans="1:8" x14ac:dyDescent="0.2">
      <c r="A1863">
        <v>2862</v>
      </c>
      <c r="B1863" t="s">
        <v>6</v>
      </c>
      <c r="C1863" t="s">
        <v>8</v>
      </c>
      <c r="D1863" s="1">
        <v>45933</v>
      </c>
      <c r="E1863">
        <v>129</v>
      </c>
      <c r="F1863">
        <v>0</v>
      </c>
      <c r="G1863">
        <f>IF(Gym_Expansion_Data[[#This Row],[Churned]]=0,1,0)</f>
        <v>1</v>
      </c>
      <c r="H1863" t="str">
        <f>IF(Gym_Expansion_Data[[#This Row],[Active Member]]=1,Gym_Expansion_Data[[#This Row],[Tier]],"Inactive")</f>
        <v>Elite</v>
      </c>
    </row>
    <row r="1864" spans="1:8" x14ac:dyDescent="0.2">
      <c r="A1864">
        <v>2863</v>
      </c>
      <c r="B1864" t="s">
        <v>6</v>
      </c>
      <c r="C1864" t="s">
        <v>8</v>
      </c>
      <c r="D1864" s="1">
        <v>45394</v>
      </c>
      <c r="E1864">
        <v>129</v>
      </c>
      <c r="F1864">
        <v>0</v>
      </c>
      <c r="G1864">
        <f>IF(Gym_Expansion_Data[[#This Row],[Churned]]=0,1,0)</f>
        <v>1</v>
      </c>
      <c r="H1864" t="str">
        <f>IF(Gym_Expansion_Data[[#This Row],[Active Member]]=1,Gym_Expansion_Data[[#This Row],[Tier]],"Inactive")</f>
        <v>Elite</v>
      </c>
    </row>
    <row r="1865" spans="1:8" x14ac:dyDescent="0.2">
      <c r="A1865">
        <v>2864</v>
      </c>
      <c r="B1865" t="s">
        <v>11</v>
      </c>
      <c r="C1865" t="s">
        <v>12</v>
      </c>
      <c r="D1865" s="1">
        <v>45471</v>
      </c>
      <c r="E1865">
        <v>89</v>
      </c>
      <c r="F1865">
        <v>0</v>
      </c>
      <c r="G1865">
        <f>IF(Gym_Expansion_Data[[#This Row],[Churned]]=0,1,0)</f>
        <v>1</v>
      </c>
      <c r="H1865" t="str">
        <f>IF(Gym_Expansion_Data[[#This Row],[Active Member]]=1,Gym_Expansion_Data[[#This Row],[Tier]],"Inactive")</f>
        <v>Premium</v>
      </c>
    </row>
    <row r="1866" spans="1:8" x14ac:dyDescent="0.2">
      <c r="A1866">
        <v>2865</v>
      </c>
      <c r="B1866" t="s">
        <v>10</v>
      </c>
      <c r="C1866" t="s">
        <v>7</v>
      </c>
      <c r="D1866" s="1">
        <v>45495</v>
      </c>
      <c r="E1866">
        <v>49</v>
      </c>
      <c r="F1866">
        <v>0</v>
      </c>
      <c r="G1866">
        <f>IF(Gym_Expansion_Data[[#This Row],[Churned]]=0,1,0)</f>
        <v>1</v>
      </c>
      <c r="H1866" t="str">
        <f>IF(Gym_Expansion_Data[[#This Row],[Active Member]]=1,Gym_Expansion_Data[[#This Row],[Tier]],"Inactive")</f>
        <v>Basic</v>
      </c>
    </row>
    <row r="1867" spans="1:8" x14ac:dyDescent="0.2">
      <c r="A1867">
        <v>2866</v>
      </c>
      <c r="B1867" t="s">
        <v>10</v>
      </c>
      <c r="C1867" t="s">
        <v>12</v>
      </c>
      <c r="D1867" s="1">
        <v>45326</v>
      </c>
      <c r="E1867">
        <v>89</v>
      </c>
      <c r="F1867">
        <v>1</v>
      </c>
      <c r="G1867">
        <f>IF(Gym_Expansion_Data[[#This Row],[Churned]]=0,1,0)</f>
        <v>0</v>
      </c>
      <c r="H1867" t="str">
        <f>IF(Gym_Expansion_Data[[#This Row],[Active Member]]=1,Gym_Expansion_Data[[#This Row],[Tier]],"Inactive")</f>
        <v>Inactive</v>
      </c>
    </row>
    <row r="1868" spans="1:8" x14ac:dyDescent="0.2">
      <c r="A1868">
        <v>2867</v>
      </c>
      <c r="B1868" t="s">
        <v>9</v>
      </c>
      <c r="C1868" t="s">
        <v>12</v>
      </c>
      <c r="D1868" s="1">
        <v>45426</v>
      </c>
      <c r="E1868">
        <v>89</v>
      </c>
      <c r="F1868">
        <v>0</v>
      </c>
      <c r="G1868">
        <f>IF(Gym_Expansion_Data[[#This Row],[Churned]]=0,1,0)</f>
        <v>1</v>
      </c>
      <c r="H1868" t="str">
        <f>IF(Gym_Expansion_Data[[#This Row],[Active Member]]=1,Gym_Expansion_Data[[#This Row],[Tier]],"Inactive")</f>
        <v>Premium</v>
      </c>
    </row>
    <row r="1869" spans="1:8" x14ac:dyDescent="0.2">
      <c r="A1869">
        <v>2868</v>
      </c>
      <c r="B1869" t="s">
        <v>10</v>
      </c>
      <c r="C1869" t="s">
        <v>7</v>
      </c>
      <c r="D1869" s="1">
        <v>45306</v>
      </c>
      <c r="E1869">
        <v>49</v>
      </c>
      <c r="F1869">
        <v>0</v>
      </c>
      <c r="G1869">
        <f>IF(Gym_Expansion_Data[[#This Row],[Churned]]=0,1,0)</f>
        <v>1</v>
      </c>
      <c r="H1869" t="str">
        <f>IF(Gym_Expansion_Data[[#This Row],[Active Member]]=1,Gym_Expansion_Data[[#This Row],[Tier]],"Inactive")</f>
        <v>Basic</v>
      </c>
    </row>
    <row r="1870" spans="1:8" x14ac:dyDescent="0.2">
      <c r="A1870">
        <v>2869</v>
      </c>
      <c r="B1870" t="s">
        <v>11</v>
      </c>
      <c r="C1870" t="s">
        <v>7</v>
      </c>
      <c r="D1870" s="1">
        <v>45668</v>
      </c>
      <c r="E1870">
        <v>49</v>
      </c>
      <c r="F1870">
        <v>0</v>
      </c>
      <c r="G1870">
        <f>IF(Gym_Expansion_Data[[#This Row],[Churned]]=0,1,0)</f>
        <v>1</v>
      </c>
      <c r="H1870" t="str">
        <f>IF(Gym_Expansion_Data[[#This Row],[Active Member]]=1,Gym_Expansion_Data[[#This Row],[Tier]],"Inactive")</f>
        <v>Basic</v>
      </c>
    </row>
    <row r="1871" spans="1:8" x14ac:dyDescent="0.2">
      <c r="A1871">
        <v>2870</v>
      </c>
      <c r="B1871" t="s">
        <v>6</v>
      </c>
      <c r="C1871" t="s">
        <v>7</v>
      </c>
      <c r="D1871" s="1">
        <v>45730</v>
      </c>
      <c r="E1871">
        <v>49</v>
      </c>
      <c r="F1871">
        <v>0</v>
      </c>
      <c r="G1871">
        <f>IF(Gym_Expansion_Data[[#This Row],[Churned]]=0,1,0)</f>
        <v>1</v>
      </c>
      <c r="H1871" t="str">
        <f>IF(Gym_Expansion_Data[[#This Row],[Active Member]]=1,Gym_Expansion_Data[[#This Row],[Tier]],"Inactive")</f>
        <v>Basic</v>
      </c>
    </row>
    <row r="1872" spans="1:8" x14ac:dyDescent="0.2">
      <c r="A1872">
        <v>2871</v>
      </c>
      <c r="B1872" t="s">
        <v>9</v>
      </c>
      <c r="C1872" t="s">
        <v>7</v>
      </c>
      <c r="D1872" s="1">
        <v>45751</v>
      </c>
      <c r="E1872">
        <v>49</v>
      </c>
      <c r="F1872">
        <v>0</v>
      </c>
      <c r="G1872">
        <f>IF(Gym_Expansion_Data[[#This Row],[Churned]]=0,1,0)</f>
        <v>1</v>
      </c>
      <c r="H1872" t="str">
        <f>IF(Gym_Expansion_Data[[#This Row],[Active Member]]=1,Gym_Expansion_Data[[#This Row],[Tier]],"Inactive")</f>
        <v>Basic</v>
      </c>
    </row>
    <row r="1873" spans="1:8" x14ac:dyDescent="0.2">
      <c r="A1873">
        <v>2872</v>
      </c>
      <c r="B1873" t="s">
        <v>10</v>
      </c>
      <c r="C1873" t="s">
        <v>8</v>
      </c>
      <c r="D1873" s="1">
        <v>45850</v>
      </c>
      <c r="E1873">
        <v>129</v>
      </c>
      <c r="F1873">
        <v>0</v>
      </c>
      <c r="G1873">
        <f>IF(Gym_Expansion_Data[[#This Row],[Churned]]=0,1,0)</f>
        <v>1</v>
      </c>
      <c r="H1873" t="str">
        <f>IF(Gym_Expansion_Data[[#This Row],[Active Member]]=1,Gym_Expansion_Data[[#This Row],[Tier]],"Inactive")</f>
        <v>Elite</v>
      </c>
    </row>
    <row r="1874" spans="1:8" x14ac:dyDescent="0.2">
      <c r="A1874">
        <v>2873</v>
      </c>
      <c r="B1874" t="s">
        <v>10</v>
      </c>
      <c r="C1874" t="s">
        <v>12</v>
      </c>
      <c r="D1874" s="1">
        <v>45764</v>
      </c>
      <c r="E1874">
        <v>89</v>
      </c>
      <c r="F1874">
        <v>0</v>
      </c>
      <c r="G1874">
        <f>IF(Gym_Expansion_Data[[#This Row],[Churned]]=0,1,0)</f>
        <v>1</v>
      </c>
      <c r="H1874" t="str">
        <f>IF(Gym_Expansion_Data[[#This Row],[Active Member]]=1,Gym_Expansion_Data[[#This Row],[Tier]],"Inactive")</f>
        <v>Premium</v>
      </c>
    </row>
    <row r="1875" spans="1:8" x14ac:dyDescent="0.2">
      <c r="A1875">
        <v>2874</v>
      </c>
      <c r="B1875" t="s">
        <v>11</v>
      </c>
      <c r="C1875" t="s">
        <v>12</v>
      </c>
      <c r="D1875" s="1">
        <v>45740</v>
      </c>
      <c r="E1875">
        <v>89</v>
      </c>
      <c r="F1875">
        <v>0</v>
      </c>
      <c r="G1875">
        <f>IF(Gym_Expansion_Data[[#This Row],[Churned]]=0,1,0)</f>
        <v>1</v>
      </c>
      <c r="H1875" t="str">
        <f>IF(Gym_Expansion_Data[[#This Row],[Active Member]]=1,Gym_Expansion_Data[[#This Row],[Tier]],"Inactive")</f>
        <v>Premium</v>
      </c>
    </row>
    <row r="1876" spans="1:8" x14ac:dyDescent="0.2">
      <c r="A1876">
        <v>2875</v>
      </c>
      <c r="B1876" t="s">
        <v>6</v>
      </c>
      <c r="C1876" t="s">
        <v>12</v>
      </c>
      <c r="D1876" s="1">
        <v>45298</v>
      </c>
      <c r="E1876">
        <v>89</v>
      </c>
      <c r="F1876">
        <v>1</v>
      </c>
      <c r="G1876">
        <f>IF(Gym_Expansion_Data[[#This Row],[Churned]]=0,1,0)</f>
        <v>0</v>
      </c>
      <c r="H1876" t="str">
        <f>IF(Gym_Expansion_Data[[#This Row],[Active Member]]=1,Gym_Expansion_Data[[#This Row],[Tier]],"Inactive")</f>
        <v>Inactive</v>
      </c>
    </row>
    <row r="1877" spans="1:8" x14ac:dyDescent="0.2">
      <c r="A1877">
        <v>2876</v>
      </c>
      <c r="B1877" t="s">
        <v>9</v>
      </c>
      <c r="C1877" t="s">
        <v>7</v>
      </c>
      <c r="D1877" s="1">
        <v>45919</v>
      </c>
      <c r="E1877">
        <v>49</v>
      </c>
      <c r="F1877">
        <v>0</v>
      </c>
      <c r="G1877">
        <f>IF(Gym_Expansion_Data[[#This Row],[Churned]]=0,1,0)</f>
        <v>1</v>
      </c>
      <c r="H1877" t="str">
        <f>IF(Gym_Expansion_Data[[#This Row],[Active Member]]=1,Gym_Expansion_Data[[#This Row],[Tier]],"Inactive")</f>
        <v>Basic</v>
      </c>
    </row>
    <row r="1878" spans="1:8" x14ac:dyDescent="0.2">
      <c r="A1878">
        <v>2877</v>
      </c>
      <c r="B1878" t="s">
        <v>9</v>
      </c>
      <c r="C1878" t="s">
        <v>7</v>
      </c>
      <c r="D1878" s="1">
        <v>45454</v>
      </c>
      <c r="E1878">
        <v>49</v>
      </c>
      <c r="F1878">
        <v>0</v>
      </c>
      <c r="G1878">
        <f>IF(Gym_Expansion_Data[[#This Row],[Churned]]=0,1,0)</f>
        <v>1</v>
      </c>
      <c r="H1878" t="str">
        <f>IF(Gym_Expansion_Data[[#This Row],[Active Member]]=1,Gym_Expansion_Data[[#This Row],[Tier]],"Inactive")</f>
        <v>Basic</v>
      </c>
    </row>
    <row r="1879" spans="1:8" x14ac:dyDescent="0.2">
      <c r="A1879">
        <v>2878</v>
      </c>
      <c r="B1879" t="s">
        <v>9</v>
      </c>
      <c r="C1879" t="s">
        <v>8</v>
      </c>
      <c r="D1879" s="1">
        <v>45593</v>
      </c>
      <c r="E1879">
        <v>129</v>
      </c>
      <c r="F1879">
        <v>0</v>
      </c>
      <c r="G1879">
        <f>IF(Gym_Expansion_Data[[#This Row],[Churned]]=0,1,0)</f>
        <v>1</v>
      </c>
      <c r="H1879" t="str">
        <f>IF(Gym_Expansion_Data[[#This Row],[Active Member]]=1,Gym_Expansion_Data[[#This Row],[Tier]],"Inactive")</f>
        <v>Elite</v>
      </c>
    </row>
    <row r="1880" spans="1:8" x14ac:dyDescent="0.2">
      <c r="A1880">
        <v>2879</v>
      </c>
      <c r="B1880" t="s">
        <v>9</v>
      </c>
      <c r="C1880" t="s">
        <v>8</v>
      </c>
      <c r="D1880" s="1">
        <v>45864</v>
      </c>
      <c r="E1880">
        <v>129</v>
      </c>
      <c r="F1880">
        <v>0</v>
      </c>
      <c r="G1880">
        <f>IF(Gym_Expansion_Data[[#This Row],[Churned]]=0,1,0)</f>
        <v>1</v>
      </c>
      <c r="H1880" t="str">
        <f>IF(Gym_Expansion_Data[[#This Row],[Active Member]]=1,Gym_Expansion_Data[[#This Row],[Tier]],"Inactive")</f>
        <v>Elite</v>
      </c>
    </row>
    <row r="1881" spans="1:8" x14ac:dyDescent="0.2">
      <c r="A1881">
        <v>2880</v>
      </c>
      <c r="B1881" t="s">
        <v>9</v>
      </c>
      <c r="C1881" t="s">
        <v>12</v>
      </c>
      <c r="D1881" s="1">
        <v>45571</v>
      </c>
      <c r="E1881">
        <v>89</v>
      </c>
      <c r="F1881">
        <v>1</v>
      </c>
      <c r="G1881">
        <f>IF(Gym_Expansion_Data[[#This Row],[Churned]]=0,1,0)</f>
        <v>0</v>
      </c>
      <c r="H1881" t="str">
        <f>IF(Gym_Expansion_Data[[#This Row],[Active Member]]=1,Gym_Expansion_Data[[#This Row],[Tier]],"Inactive")</f>
        <v>Inactive</v>
      </c>
    </row>
    <row r="1882" spans="1:8" x14ac:dyDescent="0.2">
      <c r="A1882">
        <v>2881</v>
      </c>
      <c r="B1882" t="s">
        <v>9</v>
      </c>
      <c r="C1882" t="s">
        <v>7</v>
      </c>
      <c r="D1882" s="1">
        <v>45508</v>
      </c>
      <c r="E1882">
        <v>49</v>
      </c>
      <c r="F1882">
        <v>0</v>
      </c>
      <c r="G1882">
        <f>IF(Gym_Expansion_Data[[#This Row],[Churned]]=0,1,0)</f>
        <v>1</v>
      </c>
      <c r="H1882" t="str">
        <f>IF(Gym_Expansion_Data[[#This Row],[Active Member]]=1,Gym_Expansion_Data[[#This Row],[Tier]],"Inactive")</f>
        <v>Basic</v>
      </c>
    </row>
    <row r="1883" spans="1:8" x14ac:dyDescent="0.2">
      <c r="A1883">
        <v>2882</v>
      </c>
      <c r="B1883" t="s">
        <v>6</v>
      </c>
      <c r="C1883" t="s">
        <v>7</v>
      </c>
      <c r="D1883" s="1">
        <v>45775</v>
      </c>
      <c r="E1883">
        <v>49</v>
      </c>
      <c r="F1883">
        <v>1</v>
      </c>
      <c r="G1883">
        <f>IF(Gym_Expansion_Data[[#This Row],[Churned]]=0,1,0)</f>
        <v>0</v>
      </c>
      <c r="H1883" t="str">
        <f>IF(Gym_Expansion_Data[[#This Row],[Active Member]]=1,Gym_Expansion_Data[[#This Row],[Tier]],"Inactive")</f>
        <v>Inactive</v>
      </c>
    </row>
    <row r="1884" spans="1:8" x14ac:dyDescent="0.2">
      <c r="A1884">
        <v>2883</v>
      </c>
      <c r="B1884" t="s">
        <v>9</v>
      </c>
      <c r="C1884" t="s">
        <v>7</v>
      </c>
      <c r="D1884" s="1">
        <v>45563</v>
      </c>
      <c r="E1884">
        <v>49</v>
      </c>
      <c r="F1884">
        <v>0</v>
      </c>
      <c r="G1884">
        <f>IF(Gym_Expansion_Data[[#This Row],[Churned]]=0,1,0)</f>
        <v>1</v>
      </c>
      <c r="H1884" t="str">
        <f>IF(Gym_Expansion_Data[[#This Row],[Active Member]]=1,Gym_Expansion_Data[[#This Row],[Tier]],"Inactive")</f>
        <v>Basic</v>
      </c>
    </row>
    <row r="1885" spans="1:8" x14ac:dyDescent="0.2">
      <c r="A1885">
        <v>2884</v>
      </c>
      <c r="B1885" t="s">
        <v>9</v>
      </c>
      <c r="C1885" t="s">
        <v>7</v>
      </c>
      <c r="D1885" s="1">
        <v>45791</v>
      </c>
      <c r="E1885">
        <v>49</v>
      </c>
      <c r="F1885">
        <v>1</v>
      </c>
      <c r="G1885">
        <f>IF(Gym_Expansion_Data[[#This Row],[Churned]]=0,1,0)</f>
        <v>0</v>
      </c>
      <c r="H1885" t="str">
        <f>IF(Gym_Expansion_Data[[#This Row],[Active Member]]=1,Gym_Expansion_Data[[#This Row],[Tier]],"Inactive")</f>
        <v>Inactive</v>
      </c>
    </row>
    <row r="1886" spans="1:8" x14ac:dyDescent="0.2">
      <c r="A1886">
        <v>2885</v>
      </c>
      <c r="B1886" t="s">
        <v>6</v>
      </c>
      <c r="C1886" t="s">
        <v>7</v>
      </c>
      <c r="D1886" s="1">
        <v>45380</v>
      </c>
      <c r="E1886">
        <v>49</v>
      </c>
      <c r="F1886">
        <v>0</v>
      </c>
      <c r="G1886">
        <f>IF(Gym_Expansion_Data[[#This Row],[Churned]]=0,1,0)</f>
        <v>1</v>
      </c>
      <c r="H1886" t="str">
        <f>IF(Gym_Expansion_Data[[#This Row],[Active Member]]=1,Gym_Expansion_Data[[#This Row],[Tier]],"Inactive")</f>
        <v>Basic</v>
      </c>
    </row>
    <row r="1887" spans="1:8" x14ac:dyDescent="0.2">
      <c r="A1887">
        <v>2886</v>
      </c>
      <c r="B1887" t="s">
        <v>10</v>
      </c>
      <c r="C1887" t="s">
        <v>7</v>
      </c>
      <c r="D1887" s="1">
        <v>45307</v>
      </c>
      <c r="E1887">
        <v>49</v>
      </c>
      <c r="F1887">
        <v>0</v>
      </c>
      <c r="G1887">
        <f>IF(Gym_Expansion_Data[[#This Row],[Churned]]=0,1,0)</f>
        <v>1</v>
      </c>
      <c r="H1887" t="str">
        <f>IF(Gym_Expansion_Data[[#This Row],[Active Member]]=1,Gym_Expansion_Data[[#This Row],[Tier]],"Inactive")</f>
        <v>Basic</v>
      </c>
    </row>
    <row r="1888" spans="1:8" x14ac:dyDescent="0.2">
      <c r="A1888">
        <v>2887</v>
      </c>
      <c r="B1888" t="s">
        <v>11</v>
      </c>
      <c r="C1888" t="s">
        <v>7</v>
      </c>
      <c r="D1888" s="1">
        <v>45434</v>
      </c>
      <c r="E1888">
        <v>49</v>
      </c>
      <c r="F1888">
        <v>0</v>
      </c>
      <c r="G1888">
        <f>IF(Gym_Expansion_Data[[#This Row],[Churned]]=0,1,0)</f>
        <v>1</v>
      </c>
      <c r="H1888" t="str">
        <f>IF(Gym_Expansion_Data[[#This Row],[Active Member]]=1,Gym_Expansion_Data[[#This Row],[Tier]],"Inactive")</f>
        <v>Basic</v>
      </c>
    </row>
    <row r="1889" spans="1:8" x14ac:dyDescent="0.2">
      <c r="A1889">
        <v>2888</v>
      </c>
      <c r="B1889" t="s">
        <v>9</v>
      </c>
      <c r="C1889" t="s">
        <v>12</v>
      </c>
      <c r="D1889" s="1">
        <v>45755</v>
      </c>
      <c r="E1889">
        <v>89</v>
      </c>
      <c r="F1889">
        <v>0</v>
      </c>
      <c r="G1889">
        <f>IF(Gym_Expansion_Data[[#This Row],[Churned]]=0,1,0)</f>
        <v>1</v>
      </c>
      <c r="H1889" t="str">
        <f>IF(Gym_Expansion_Data[[#This Row],[Active Member]]=1,Gym_Expansion_Data[[#This Row],[Tier]],"Inactive")</f>
        <v>Premium</v>
      </c>
    </row>
    <row r="1890" spans="1:8" x14ac:dyDescent="0.2">
      <c r="A1890">
        <v>2889</v>
      </c>
      <c r="B1890" t="s">
        <v>9</v>
      </c>
      <c r="C1890" t="s">
        <v>12</v>
      </c>
      <c r="D1890" s="1">
        <v>45508</v>
      </c>
      <c r="E1890">
        <v>89</v>
      </c>
      <c r="F1890">
        <v>0</v>
      </c>
      <c r="G1890">
        <f>IF(Gym_Expansion_Data[[#This Row],[Churned]]=0,1,0)</f>
        <v>1</v>
      </c>
      <c r="H1890" t="str">
        <f>IF(Gym_Expansion_Data[[#This Row],[Active Member]]=1,Gym_Expansion_Data[[#This Row],[Tier]],"Inactive")</f>
        <v>Premium</v>
      </c>
    </row>
    <row r="1891" spans="1:8" x14ac:dyDescent="0.2">
      <c r="A1891">
        <v>2890</v>
      </c>
      <c r="B1891" t="s">
        <v>6</v>
      </c>
      <c r="C1891" t="s">
        <v>12</v>
      </c>
      <c r="D1891" s="1">
        <v>45392</v>
      </c>
      <c r="E1891">
        <v>89</v>
      </c>
      <c r="F1891">
        <v>0</v>
      </c>
      <c r="G1891">
        <f>IF(Gym_Expansion_Data[[#This Row],[Churned]]=0,1,0)</f>
        <v>1</v>
      </c>
      <c r="H1891" t="str">
        <f>IF(Gym_Expansion_Data[[#This Row],[Active Member]]=1,Gym_Expansion_Data[[#This Row],[Tier]],"Inactive")</f>
        <v>Premium</v>
      </c>
    </row>
    <row r="1892" spans="1:8" x14ac:dyDescent="0.2">
      <c r="A1892">
        <v>2891</v>
      </c>
      <c r="B1892" t="s">
        <v>10</v>
      </c>
      <c r="C1892" t="s">
        <v>12</v>
      </c>
      <c r="D1892" s="1">
        <v>45979</v>
      </c>
      <c r="E1892">
        <v>89</v>
      </c>
      <c r="F1892">
        <v>0</v>
      </c>
      <c r="G1892">
        <f>IF(Gym_Expansion_Data[[#This Row],[Churned]]=0,1,0)</f>
        <v>1</v>
      </c>
      <c r="H1892" t="str">
        <f>IF(Gym_Expansion_Data[[#This Row],[Active Member]]=1,Gym_Expansion_Data[[#This Row],[Tier]],"Inactive")</f>
        <v>Premium</v>
      </c>
    </row>
    <row r="1893" spans="1:8" x14ac:dyDescent="0.2">
      <c r="A1893">
        <v>2892</v>
      </c>
      <c r="B1893" t="s">
        <v>6</v>
      </c>
      <c r="C1893" t="s">
        <v>7</v>
      </c>
      <c r="D1893" s="1">
        <v>45960</v>
      </c>
      <c r="E1893">
        <v>49</v>
      </c>
      <c r="F1893">
        <v>0</v>
      </c>
      <c r="G1893">
        <f>IF(Gym_Expansion_Data[[#This Row],[Churned]]=0,1,0)</f>
        <v>1</v>
      </c>
      <c r="H1893" t="str">
        <f>IF(Gym_Expansion_Data[[#This Row],[Active Member]]=1,Gym_Expansion_Data[[#This Row],[Tier]],"Inactive")</f>
        <v>Basic</v>
      </c>
    </row>
    <row r="1894" spans="1:8" x14ac:dyDescent="0.2">
      <c r="A1894">
        <v>2893</v>
      </c>
      <c r="B1894" t="s">
        <v>9</v>
      </c>
      <c r="C1894" t="s">
        <v>7</v>
      </c>
      <c r="D1894" s="1">
        <v>45475</v>
      </c>
      <c r="E1894">
        <v>49</v>
      </c>
      <c r="F1894">
        <v>0</v>
      </c>
      <c r="G1894">
        <f>IF(Gym_Expansion_Data[[#This Row],[Churned]]=0,1,0)</f>
        <v>1</v>
      </c>
      <c r="H1894" t="str">
        <f>IF(Gym_Expansion_Data[[#This Row],[Active Member]]=1,Gym_Expansion_Data[[#This Row],[Tier]],"Inactive")</f>
        <v>Basic</v>
      </c>
    </row>
    <row r="1895" spans="1:8" x14ac:dyDescent="0.2">
      <c r="A1895">
        <v>2894</v>
      </c>
      <c r="B1895" t="s">
        <v>9</v>
      </c>
      <c r="C1895" t="s">
        <v>12</v>
      </c>
      <c r="D1895" s="1">
        <v>45630</v>
      </c>
      <c r="E1895">
        <v>89</v>
      </c>
      <c r="F1895">
        <v>1</v>
      </c>
      <c r="G1895">
        <f>IF(Gym_Expansion_Data[[#This Row],[Churned]]=0,1,0)</f>
        <v>0</v>
      </c>
      <c r="H1895" t="str">
        <f>IF(Gym_Expansion_Data[[#This Row],[Active Member]]=1,Gym_Expansion_Data[[#This Row],[Tier]],"Inactive")</f>
        <v>Inactive</v>
      </c>
    </row>
    <row r="1896" spans="1:8" x14ac:dyDescent="0.2">
      <c r="A1896">
        <v>2895</v>
      </c>
      <c r="B1896" t="s">
        <v>11</v>
      </c>
      <c r="C1896" t="s">
        <v>12</v>
      </c>
      <c r="D1896" s="1">
        <v>45778</v>
      </c>
      <c r="E1896">
        <v>89</v>
      </c>
      <c r="F1896">
        <v>0</v>
      </c>
      <c r="G1896">
        <f>IF(Gym_Expansion_Data[[#This Row],[Churned]]=0,1,0)</f>
        <v>1</v>
      </c>
      <c r="H1896" t="str">
        <f>IF(Gym_Expansion_Data[[#This Row],[Active Member]]=1,Gym_Expansion_Data[[#This Row],[Tier]],"Inactive")</f>
        <v>Premium</v>
      </c>
    </row>
    <row r="1897" spans="1:8" x14ac:dyDescent="0.2">
      <c r="A1897">
        <v>2896</v>
      </c>
      <c r="B1897" t="s">
        <v>9</v>
      </c>
      <c r="C1897" t="s">
        <v>12</v>
      </c>
      <c r="D1897" s="1">
        <v>45309</v>
      </c>
      <c r="E1897">
        <v>89</v>
      </c>
      <c r="F1897">
        <v>1</v>
      </c>
      <c r="G1897">
        <f>IF(Gym_Expansion_Data[[#This Row],[Churned]]=0,1,0)</f>
        <v>0</v>
      </c>
      <c r="H1897" t="str">
        <f>IF(Gym_Expansion_Data[[#This Row],[Active Member]]=1,Gym_Expansion_Data[[#This Row],[Tier]],"Inactive")</f>
        <v>Inactive</v>
      </c>
    </row>
    <row r="1898" spans="1:8" x14ac:dyDescent="0.2">
      <c r="A1898">
        <v>2897</v>
      </c>
      <c r="B1898" t="s">
        <v>6</v>
      </c>
      <c r="C1898" t="s">
        <v>7</v>
      </c>
      <c r="D1898" s="1">
        <v>45898</v>
      </c>
      <c r="E1898">
        <v>49</v>
      </c>
      <c r="F1898">
        <v>1</v>
      </c>
      <c r="G1898">
        <f>IF(Gym_Expansion_Data[[#This Row],[Churned]]=0,1,0)</f>
        <v>0</v>
      </c>
      <c r="H1898" t="str">
        <f>IF(Gym_Expansion_Data[[#This Row],[Active Member]]=1,Gym_Expansion_Data[[#This Row],[Tier]],"Inactive")</f>
        <v>Inactive</v>
      </c>
    </row>
    <row r="1899" spans="1:8" x14ac:dyDescent="0.2">
      <c r="A1899">
        <v>2898</v>
      </c>
      <c r="B1899" t="s">
        <v>9</v>
      </c>
      <c r="C1899" t="s">
        <v>12</v>
      </c>
      <c r="D1899" s="1">
        <v>45868</v>
      </c>
      <c r="E1899">
        <v>89</v>
      </c>
      <c r="F1899">
        <v>0</v>
      </c>
      <c r="G1899">
        <f>IF(Gym_Expansion_Data[[#This Row],[Churned]]=0,1,0)</f>
        <v>1</v>
      </c>
      <c r="H1899" t="str">
        <f>IF(Gym_Expansion_Data[[#This Row],[Active Member]]=1,Gym_Expansion_Data[[#This Row],[Tier]],"Inactive")</f>
        <v>Premium</v>
      </c>
    </row>
    <row r="1900" spans="1:8" x14ac:dyDescent="0.2">
      <c r="A1900">
        <v>2899</v>
      </c>
      <c r="B1900" t="s">
        <v>11</v>
      </c>
      <c r="C1900" t="s">
        <v>12</v>
      </c>
      <c r="D1900" s="1">
        <v>45472</v>
      </c>
      <c r="E1900">
        <v>89</v>
      </c>
      <c r="F1900">
        <v>0</v>
      </c>
      <c r="G1900">
        <f>IF(Gym_Expansion_Data[[#This Row],[Churned]]=0,1,0)</f>
        <v>1</v>
      </c>
      <c r="H1900" t="str">
        <f>IF(Gym_Expansion_Data[[#This Row],[Active Member]]=1,Gym_Expansion_Data[[#This Row],[Tier]],"Inactive")</f>
        <v>Premium</v>
      </c>
    </row>
    <row r="1901" spans="1:8" x14ac:dyDescent="0.2">
      <c r="A1901">
        <v>2900</v>
      </c>
      <c r="B1901" t="s">
        <v>9</v>
      </c>
      <c r="C1901" t="s">
        <v>8</v>
      </c>
      <c r="D1901" s="1">
        <v>45444</v>
      </c>
      <c r="E1901">
        <v>129</v>
      </c>
      <c r="F1901">
        <v>0</v>
      </c>
      <c r="G1901">
        <f>IF(Gym_Expansion_Data[[#This Row],[Churned]]=0,1,0)</f>
        <v>1</v>
      </c>
      <c r="H1901" t="str">
        <f>IF(Gym_Expansion_Data[[#This Row],[Active Member]]=1,Gym_Expansion_Data[[#This Row],[Tier]],"Inactive")</f>
        <v>Elite</v>
      </c>
    </row>
    <row r="1902" spans="1:8" x14ac:dyDescent="0.2">
      <c r="A1902">
        <v>2901</v>
      </c>
      <c r="B1902" t="s">
        <v>6</v>
      </c>
      <c r="C1902" t="s">
        <v>12</v>
      </c>
      <c r="D1902" s="1">
        <v>45414</v>
      </c>
      <c r="E1902">
        <v>89</v>
      </c>
      <c r="F1902">
        <v>0</v>
      </c>
      <c r="G1902">
        <f>IF(Gym_Expansion_Data[[#This Row],[Churned]]=0,1,0)</f>
        <v>1</v>
      </c>
      <c r="H1902" t="str">
        <f>IF(Gym_Expansion_Data[[#This Row],[Active Member]]=1,Gym_Expansion_Data[[#This Row],[Tier]],"Inactive")</f>
        <v>Premium</v>
      </c>
    </row>
    <row r="1903" spans="1:8" x14ac:dyDescent="0.2">
      <c r="A1903">
        <v>2902</v>
      </c>
      <c r="B1903" t="s">
        <v>6</v>
      </c>
      <c r="C1903" t="s">
        <v>8</v>
      </c>
      <c r="D1903" s="1">
        <v>45747</v>
      </c>
      <c r="E1903">
        <v>129</v>
      </c>
      <c r="F1903">
        <v>0</v>
      </c>
      <c r="G1903">
        <f>IF(Gym_Expansion_Data[[#This Row],[Churned]]=0,1,0)</f>
        <v>1</v>
      </c>
      <c r="H1903" t="str">
        <f>IF(Gym_Expansion_Data[[#This Row],[Active Member]]=1,Gym_Expansion_Data[[#This Row],[Tier]],"Inactive")</f>
        <v>Elite</v>
      </c>
    </row>
    <row r="1904" spans="1:8" x14ac:dyDescent="0.2">
      <c r="A1904">
        <v>2903</v>
      </c>
      <c r="B1904" t="s">
        <v>6</v>
      </c>
      <c r="C1904" t="s">
        <v>7</v>
      </c>
      <c r="D1904" s="1">
        <v>45670</v>
      </c>
      <c r="E1904">
        <v>49</v>
      </c>
      <c r="F1904">
        <v>0</v>
      </c>
      <c r="G1904">
        <f>IF(Gym_Expansion_Data[[#This Row],[Churned]]=0,1,0)</f>
        <v>1</v>
      </c>
      <c r="H1904" t="str">
        <f>IF(Gym_Expansion_Data[[#This Row],[Active Member]]=1,Gym_Expansion_Data[[#This Row],[Tier]],"Inactive")</f>
        <v>Basic</v>
      </c>
    </row>
    <row r="1905" spans="1:8" x14ac:dyDescent="0.2">
      <c r="A1905">
        <v>2904</v>
      </c>
      <c r="B1905" t="s">
        <v>10</v>
      </c>
      <c r="C1905" t="s">
        <v>12</v>
      </c>
      <c r="D1905" s="1">
        <v>45911</v>
      </c>
      <c r="E1905">
        <v>89</v>
      </c>
      <c r="F1905">
        <v>0</v>
      </c>
      <c r="G1905">
        <f>IF(Gym_Expansion_Data[[#This Row],[Churned]]=0,1,0)</f>
        <v>1</v>
      </c>
      <c r="H1905" t="str">
        <f>IF(Gym_Expansion_Data[[#This Row],[Active Member]]=1,Gym_Expansion_Data[[#This Row],[Tier]],"Inactive")</f>
        <v>Premium</v>
      </c>
    </row>
    <row r="1906" spans="1:8" x14ac:dyDescent="0.2">
      <c r="A1906">
        <v>2905</v>
      </c>
      <c r="B1906" t="s">
        <v>9</v>
      </c>
      <c r="C1906" t="s">
        <v>7</v>
      </c>
      <c r="D1906" s="1">
        <v>45547</v>
      </c>
      <c r="E1906">
        <v>49</v>
      </c>
      <c r="F1906">
        <v>0</v>
      </c>
      <c r="G1906">
        <f>IF(Gym_Expansion_Data[[#This Row],[Churned]]=0,1,0)</f>
        <v>1</v>
      </c>
      <c r="H1906" t="str">
        <f>IF(Gym_Expansion_Data[[#This Row],[Active Member]]=1,Gym_Expansion_Data[[#This Row],[Tier]],"Inactive")</f>
        <v>Basic</v>
      </c>
    </row>
    <row r="1907" spans="1:8" x14ac:dyDescent="0.2">
      <c r="A1907">
        <v>2906</v>
      </c>
      <c r="B1907" t="s">
        <v>6</v>
      </c>
      <c r="C1907" t="s">
        <v>7</v>
      </c>
      <c r="D1907" s="1">
        <v>45506</v>
      </c>
      <c r="E1907">
        <v>49</v>
      </c>
      <c r="F1907">
        <v>0</v>
      </c>
      <c r="G1907">
        <f>IF(Gym_Expansion_Data[[#This Row],[Churned]]=0,1,0)</f>
        <v>1</v>
      </c>
      <c r="H1907" t="str">
        <f>IF(Gym_Expansion_Data[[#This Row],[Active Member]]=1,Gym_Expansion_Data[[#This Row],[Tier]],"Inactive")</f>
        <v>Basic</v>
      </c>
    </row>
    <row r="1908" spans="1:8" x14ac:dyDescent="0.2">
      <c r="A1908">
        <v>2907</v>
      </c>
      <c r="B1908" t="s">
        <v>9</v>
      </c>
      <c r="C1908" t="s">
        <v>7</v>
      </c>
      <c r="D1908" s="1">
        <v>45691</v>
      </c>
      <c r="E1908">
        <v>49</v>
      </c>
      <c r="F1908">
        <v>0</v>
      </c>
      <c r="G1908">
        <f>IF(Gym_Expansion_Data[[#This Row],[Churned]]=0,1,0)</f>
        <v>1</v>
      </c>
      <c r="H1908" t="str">
        <f>IF(Gym_Expansion_Data[[#This Row],[Active Member]]=1,Gym_Expansion_Data[[#This Row],[Tier]],"Inactive")</f>
        <v>Basic</v>
      </c>
    </row>
    <row r="1909" spans="1:8" x14ac:dyDescent="0.2">
      <c r="A1909">
        <v>2908</v>
      </c>
      <c r="B1909" t="s">
        <v>11</v>
      </c>
      <c r="C1909" t="s">
        <v>8</v>
      </c>
      <c r="D1909" s="1">
        <v>45725</v>
      </c>
      <c r="E1909">
        <v>129</v>
      </c>
      <c r="F1909">
        <v>0</v>
      </c>
      <c r="G1909">
        <f>IF(Gym_Expansion_Data[[#This Row],[Churned]]=0,1,0)</f>
        <v>1</v>
      </c>
      <c r="H1909" t="str">
        <f>IF(Gym_Expansion_Data[[#This Row],[Active Member]]=1,Gym_Expansion_Data[[#This Row],[Tier]],"Inactive")</f>
        <v>Elite</v>
      </c>
    </row>
    <row r="1910" spans="1:8" x14ac:dyDescent="0.2">
      <c r="A1910">
        <v>2909</v>
      </c>
      <c r="B1910" t="s">
        <v>9</v>
      </c>
      <c r="C1910" t="s">
        <v>8</v>
      </c>
      <c r="D1910" s="1">
        <v>45886</v>
      </c>
      <c r="E1910">
        <v>129</v>
      </c>
      <c r="F1910">
        <v>0</v>
      </c>
      <c r="G1910">
        <f>IF(Gym_Expansion_Data[[#This Row],[Churned]]=0,1,0)</f>
        <v>1</v>
      </c>
      <c r="H1910" t="str">
        <f>IF(Gym_Expansion_Data[[#This Row],[Active Member]]=1,Gym_Expansion_Data[[#This Row],[Tier]],"Inactive")</f>
        <v>Elite</v>
      </c>
    </row>
    <row r="1911" spans="1:8" x14ac:dyDescent="0.2">
      <c r="A1911">
        <v>2910</v>
      </c>
      <c r="B1911" t="s">
        <v>6</v>
      </c>
      <c r="C1911" t="s">
        <v>7</v>
      </c>
      <c r="D1911" s="1">
        <v>45597</v>
      </c>
      <c r="E1911">
        <v>49</v>
      </c>
      <c r="F1911">
        <v>0</v>
      </c>
      <c r="G1911">
        <f>IF(Gym_Expansion_Data[[#This Row],[Churned]]=0,1,0)</f>
        <v>1</v>
      </c>
      <c r="H1911" t="str">
        <f>IF(Gym_Expansion_Data[[#This Row],[Active Member]]=1,Gym_Expansion_Data[[#This Row],[Tier]],"Inactive")</f>
        <v>Basic</v>
      </c>
    </row>
    <row r="1912" spans="1:8" x14ac:dyDescent="0.2">
      <c r="A1912">
        <v>2911</v>
      </c>
      <c r="B1912" t="s">
        <v>10</v>
      </c>
      <c r="C1912" t="s">
        <v>7</v>
      </c>
      <c r="D1912" s="1">
        <v>45990</v>
      </c>
      <c r="E1912">
        <v>49</v>
      </c>
      <c r="F1912">
        <v>0</v>
      </c>
      <c r="G1912">
        <f>IF(Gym_Expansion_Data[[#This Row],[Churned]]=0,1,0)</f>
        <v>1</v>
      </c>
      <c r="H1912" t="str">
        <f>IF(Gym_Expansion_Data[[#This Row],[Active Member]]=1,Gym_Expansion_Data[[#This Row],[Tier]],"Inactive")</f>
        <v>Basic</v>
      </c>
    </row>
    <row r="1913" spans="1:8" x14ac:dyDescent="0.2">
      <c r="A1913">
        <v>2912</v>
      </c>
      <c r="B1913" t="s">
        <v>9</v>
      </c>
      <c r="C1913" t="s">
        <v>7</v>
      </c>
      <c r="D1913" s="1">
        <v>45393</v>
      </c>
      <c r="E1913">
        <v>49</v>
      </c>
      <c r="F1913">
        <v>1</v>
      </c>
      <c r="G1913">
        <f>IF(Gym_Expansion_Data[[#This Row],[Churned]]=0,1,0)</f>
        <v>0</v>
      </c>
      <c r="H1913" t="str">
        <f>IF(Gym_Expansion_Data[[#This Row],[Active Member]]=1,Gym_Expansion_Data[[#This Row],[Tier]],"Inactive")</f>
        <v>Inactive</v>
      </c>
    </row>
    <row r="1914" spans="1:8" x14ac:dyDescent="0.2">
      <c r="A1914">
        <v>2913</v>
      </c>
      <c r="B1914" t="s">
        <v>10</v>
      </c>
      <c r="C1914" t="s">
        <v>8</v>
      </c>
      <c r="D1914" s="1">
        <v>45766</v>
      </c>
      <c r="E1914">
        <v>129</v>
      </c>
      <c r="F1914">
        <v>1</v>
      </c>
      <c r="G1914">
        <f>IF(Gym_Expansion_Data[[#This Row],[Churned]]=0,1,0)</f>
        <v>0</v>
      </c>
      <c r="H1914" t="str">
        <f>IF(Gym_Expansion_Data[[#This Row],[Active Member]]=1,Gym_Expansion_Data[[#This Row],[Tier]],"Inactive")</f>
        <v>Inactive</v>
      </c>
    </row>
    <row r="1915" spans="1:8" x14ac:dyDescent="0.2">
      <c r="A1915">
        <v>2914</v>
      </c>
      <c r="B1915" t="s">
        <v>11</v>
      </c>
      <c r="C1915" t="s">
        <v>12</v>
      </c>
      <c r="D1915" s="1">
        <v>45344</v>
      </c>
      <c r="E1915">
        <v>89</v>
      </c>
      <c r="F1915">
        <v>0</v>
      </c>
      <c r="G1915">
        <f>IF(Gym_Expansion_Data[[#This Row],[Churned]]=0,1,0)</f>
        <v>1</v>
      </c>
      <c r="H1915" t="str">
        <f>IF(Gym_Expansion_Data[[#This Row],[Active Member]]=1,Gym_Expansion_Data[[#This Row],[Tier]],"Inactive")</f>
        <v>Premium</v>
      </c>
    </row>
    <row r="1916" spans="1:8" x14ac:dyDescent="0.2">
      <c r="A1916">
        <v>2915</v>
      </c>
      <c r="B1916" t="s">
        <v>6</v>
      </c>
      <c r="C1916" t="s">
        <v>8</v>
      </c>
      <c r="D1916" s="1">
        <v>45941</v>
      </c>
      <c r="E1916">
        <v>129</v>
      </c>
      <c r="F1916">
        <v>0</v>
      </c>
      <c r="G1916">
        <f>IF(Gym_Expansion_Data[[#This Row],[Churned]]=0,1,0)</f>
        <v>1</v>
      </c>
      <c r="H1916" t="str">
        <f>IF(Gym_Expansion_Data[[#This Row],[Active Member]]=1,Gym_Expansion_Data[[#This Row],[Tier]],"Inactive")</f>
        <v>Elite</v>
      </c>
    </row>
    <row r="1917" spans="1:8" x14ac:dyDescent="0.2">
      <c r="A1917">
        <v>2916</v>
      </c>
      <c r="B1917" t="s">
        <v>9</v>
      </c>
      <c r="C1917" t="s">
        <v>12</v>
      </c>
      <c r="D1917" s="1">
        <v>45323</v>
      </c>
      <c r="E1917">
        <v>89</v>
      </c>
      <c r="F1917">
        <v>0</v>
      </c>
      <c r="G1917">
        <f>IF(Gym_Expansion_Data[[#This Row],[Churned]]=0,1,0)</f>
        <v>1</v>
      </c>
      <c r="H1917" t="str">
        <f>IF(Gym_Expansion_Data[[#This Row],[Active Member]]=1,Gym_Expansion_Data[[#This Row],[Tier]],"Inactive")</f>
        <v>Premium</v>
      </c>
    </row>
    <row r="1918" spans="1:8" x14ac:dyDescent="0.2">
      <c r="A1918">
        <v>2917</v>
      </c>
      <c r="B1918" t="s">
        <v>6</v>
      </c>
      <c r="C1918" t="s">
        <v>12</v>
      </c>
      <c r="D1918" s="1">
        <v>45824</v>
      </c>
      <c r="E1918">
        <v>89</v>
      </c>
      <c r="F1918">
        <v>0</v>
      </c>
      <c r="G1918">
        <f>IF(Gym_Expansion_Data[[#This Row],[Churned]]=0,1,0)</f>
        <v>1</v>
      </c>
      <c r="H1918" t="str">
        <f>IF(Gym_Expansion_Data[[#This Row],[Active Member]]=1,Gym_Expansion_Data[[#This Row],[Tier]],"Inactive")</f>
        <v>Premium</v>
      </c>
    </row>
    <row r="1919" spans="1:8" x14ac:dyDescent="0.2">
      <c r="A1919">
        <v>2918</v>
      </c>
      <c r="B1919" t="s">
        <v>6</v>
      </c>
      <c r="C1919" t="s">
        <v>7</v>
      </c>
      <c r="D1919" s="1">
        <v>45605</v>
      </c>
      <c r="E1919">
        <v>49</v>
      </c>
      <c r="F1919">
        <v>0</v>
      </c>
      <c r="G1919">
        <f>IF(Gym_Expansion_Data[[#This Row],[Churned]]=0,1,0)</f>
        <v>1</v>
      </c>
      <c r="H1919" t="str">
        <f>IF(Gym_Expansion_Data[[#This Row],[Active Member]]=1,Gym_Expansion_Data[[#This Row],[Tier]],"Inactive")</f>
        <v>Basic</v>
      </c>
    </row>
    <row r="1920" spans="1:8" x14ac:dyDescent="0.2">
      <c r="A1920">
        <v>2919</v>
      </c>
      <c r="B1920" t="s">
        <v>6</v>
      </c>
      <c r="C1920" t="s">
        <v>7</v>
      </c>
      <c r="D1920" s="1">
        <v>45671</v>
      </c>
      <c r="E1920">
        <v>49</v>
      </c>
      <c r="F1920">
        <v>0</v>
      </c>
      <c r="G1920">
        <f>IF(Gym_Expansion_Data[[#This Row],[Churned]]=0,1,0)</f>
        <v>1</v>
      </c>
      <c r="H1920" t="str">
        <f>IF(Gym_Expansion_Data[[#This Row],[Active Member]]=1,Gym_Expansion_Data[[#This Row],[Tier]],"Inactive")</f>
        <v>Basic</v>
      </c>
    </row>
    <row r="1921" spans="1:8" x14ac:dyDescent="0.2">
      <c r="A1921">
        <v>2920</v>
      </c>
      <c r="B1921" t="s">
        <v>11</v>
      </c>
      <c r="C1921" t="s">
        <v>7</v>
      </c>
      <c r="D1921" s="1">
        <v>45578</v>
      </c>
      <c r="E1921">
        <v>49</v>
      </c>
      <c r="F1921">
        <v>0</v>
      </c>
      <c r="G1921">
        <f>IF(Gym_Expansion_Data[[#This Row],[Churned]]=0,1,0)</f>
        <v>1</v>
      </c>
      <c r="H1921" t="str">
        <f>IF(Gym_Expansion_Data[[#This Row],[Active Member]]=1,Gym_Expansion_Data[[#This Row],[Tier]],"Inactive")</f>
        <v>Basic</v>
      </c>
    </row>
    <row r="1922" spans="1:8" x14ac:dyDescent="0.2">
      <c r="A1922">
        <v>2921</v>
      </c>
      <c r="B1922" t="s">
        <v>6</v>
      </c>
      <c r="C1922" t="s">
        <v>12</v>
      </c>
      <c r="D1922" s="1">
        <v>45417</v>
      </c>
      <c r="E1922">
        <v>89</v>
      </c>
      <c r="F1922">
        <v>0</v>
      </c>
      <c r="G1922">
        <f>IF(Gym_Expansion_Data[[#This Row],[Churned]]=0,1,0)</f>
        <v>1</v>
      </c>
      <c r="H1922" t="str">
        <f>IF(Gym_Expansion_Data[[#This Row],[Active Member]]=1,Gym_Expansion_Data[[#This Row],[Tier]],"Inactive")</f>
        <v>Premium</v>
      </c>
    </row>
    <row r="1923" spans="1:8" x14ac:dyDescent="0.2">
      <c r="A1923">
        <v>2922</v>
      </c>
      <c r="B1923" t="s">
        <v>6</v>
      </c>
      <c r="C1923" t="s">
        <v>12</v>
      </c>
      <c r="D1923" s="1">
        <v>45981</v>
      </c>
      <c r="E1923">
        <v>89</v>
      </c>
      <c r="F1923">
        <v>1</v>
      </c>
      <c r="G1923">
        <f>IF(Gym_Expansion_Data[[#This Row],[Churned]]=0,1,0)</f>
        <v>0</v>
      </c>
      <c r="H1923" t="str">
        <f>IF(Gym_Expansion_Data[[#This Row],[Active Member]]=1,Gym_Expansion_Data[[#This Row],[Tier]],"Inactive")</f>
        <v>Inactive</v>
      </c>
    </row>
    <row r="1924" spans="1:8" x14ac:dyDescent="0.2">
      <c r="A1924">
        <v>2923</v>
      </c>
      <c r="B1924" t="s">
        <v>11</v>
      </c>
      <c r="C1924" t="s">
        <v>7</v>
      </c>
      <c r="D1924" s="1">
        <v>45822</v>
      </c>
      <c r="E1924">
        <v>49</v>
      </c>
      <c r="F1924">
        <v>0</v>
      </c>
      <c r="G1924">
        <f>IF(Gym_Expansion_Data[[#This Row],[Churned]]=0,1,0)</f>
        <v>1</v>
      </c>
      <c r="H1924" t="str">
        <f>IF(Gym_Expansion_Data[[#This Row],[Active Member]]=1,Gym_Expansion_Data[[#This Row],[Tier]],"Inactive")</f>
        <v>Basic</v>
      </c>
    </row>
    <row r="1925" spans="1:8" x14ac:dyDescent="0.2">
      <c r="A1925">
        <v>2924</v>
      </c>
      <c r="B1925" t="s">
        <v>11</v>
      </c>
      <c r="C1925" t="s">
        <v>12</v>
      </c>
      <c r="D1925" s="1">
        <v>45338</v>
      </c>
      <c r="E1925">
        <v>89</v>
      </c>
      <c r="F1925">
        <v>0</v>
      </c>
      <c r="G1925">
        <f>IF(Gym_Expansion_Data[[#This Row],[Churned]]=0,1,0)</f>
        <v>1</v>
      </c>
      <c r="H1925" t="str">
        <f>IF(Gym_Expansion_Data[[#This Row],[Active Member]]=1,Gym_Expansion_Data[[#This Row],[Tier]],"Inactive")</f>
        <v>Premium</v>
      </c>
    </row>
    <row r="1926" spans="1:8" x14ac:dyDescent="0.2">
      <c r="A1926">
        <v>2925</v>
      </c>
      <c r="B1926" t="s">
        <v>9</v>
      </c>
      <c r="C1926" t="s">
        <v>7</v>
      </c>
      <c r="D1926" s="1">
        <v>45848</v>
      </c>
      <c r="E1926">
        <v>49</v>
      </c>
      <c r="F1926">
        <v>0</v>
      </c>
      <c r="G1926">
        <f>IF(Gym_Expansion_Data[[#This Row],[Churned]]=0,1,0)</f>
        <v>1</v>
      </c>
      <c r="H1926" t="str">
        <f>IF(Gym_Expansion_Data[[#This Row],[Active Member]]=1,Gym_Expansion_Data[[#This Row],[Tier]],"Inactive")</f>
        <v>Basic</v>
      </c>
    </row>
    <row r="1927" spans="1:8" x14ac:dyDescent="0.2">
      <c r="A1927">
        <v>2926</v>
      </c>
      <c r="B1927" t="s">
        <v>6</v>
      </c>
      <c r="C1927" t="s">
        <v>7</v>
      </c>
      <c r="D1927" s="1">
        <v>45376</v>
      </c>
      <c r="E1927">
        <v>49</v>
      </c>
      <c r="F1927">
        <v>0</v>
      </c>
      <c r="G1927">
        <f>IF(Gym_Expansion_Data[[#This Row],[Churned]]=0,1,0)</f>
        <v>1</v>
      </c>
      <c r="H1927" t="str">
        <f>IF(Gym_Expansion_Data[[#This Row],[Active Member]]=1,Gym_Expansion_Data[[#This Row],[Tier]],"Inactive")</f>
        <v>Basic</v>
      </c>
    </row>
    <row r="1928" spans="1:8" x14ac:dyDescent="0.2">
      <c r="A1928">
        <v>2927</v>
      </c>
      <c r="B1928" t="s">
        <v>9</v>
      </c>
      <c r="C1928" t="s">
        <v>12</v>
      </c>
      <c r="D1928" s="1">
        <v>45375</v>
      </c>
      <c r="E1928">
        <v>89</v>
      </c>
      <c r="F1928">
        <v>0</v>
      </c>
      <c r="G1928">
        <f>IF(Gym_Expansion_Data[[#This Row],[Churned]]=0,1,0)</f>
        <v>1</v>
      </c>
      <c r="H1928" t="str">
        <f>IF(Gym_Expansion_Data[[#This Row],[Active Member]]=1,Gym_Expansion_Data[[#This Row],[Tier]],"Inactive")</f>
        <v>Premium</v>
      </c>
    </row>
    <row r="1929" spans="1:8" x14ac:dyDescent="0.2">
      <c r="A1929">
        <v>2928</v>
      </c>
      <c r="B1929" t="s">
        <v>6</v>
      </c>
      <c r="C1929" t="s">
        <v>7</v>
      </c>
      <c r="D1929" s="1">
        <v>45542</v>
      </c>
      <c r="E1929">
        <v>49</v>
      </c>
      <c r="F1929">
        <v>0</v>
      </c>
      <c r="G1929">
        <f>IF(Gym_Expansion_Data[[#This Row],[Churned]]=0,1,0)</f>
        <v>1</v>
      </c>
      <c r="H1929" t="str">
        <f>IF(Gym_Expansion_Data[[#This Row],[Active Member]]=1,Gym_Expansion_Data[[#This Row],[Tier]],"Inactive")</f>
        <v>Basic</v>
      </c>
    </row>
    <row r="1930" spans="1:8" x14ac:dyDescent="0.2">
      <c r="A1930">
        <v>2929</v>
      </c>
      <c r="B1930" t="s">
        <v>10</v>
      </c>
      <c r="C1930" t="s">
        <v>12</v>
      </c>
      <c r="D1930" s="1">
        <v>45479</v>
      </c>
      <c r="E1930">
        <v>89</v>
      </c>
      <c r="F1930">
        <v>0</v>
      </c>
      <c r="G1930">
        <f>IF(Gym_Expansion_Data[[#This Row],[Churned]]=0,1,0)</f>
        <v>1</v>
      </c>
      <c r="H1930" t="str">
        <f>IF(Gym_Expansion_Data[[#This Row],[Active Member]]=1,Gym_Expansion_Data[[#This Row],[Tier]],"Inactive")</f>
        <v>Premium</v>
      </c>
    </row>
    <row r="1931" spans="1:8" x14ac:dyDescent="0.2">
      <c r="A1931">
        <v>2930</v>
      </c>
      <c r="B1931" t="s">
        <v>9</v>
      </c>
      <c r="C1931" t="s">
        <v>7</v>
      </c>
      <c r="D1931" s="1">
        <v>45779</v>
      </c>
      <c r="E1931">
        <v>49</v>
      </c>
      <c r="F1931">
        <v>0</v>
      </c>
      <c r="G1931">
        <f>IF(Gym_Expansion_Data[[#This Row],[Churned]]=0,1,0)</f>
        <v>1</v>
      </c>
      <c r="H1931" t="str">
        <f>IF(Gym_Expansion_Data[[#This Row],[Active Member]]=1,Gym_Expansion_Data[[#This Row],[Tier]],"Inactive")</f>
        <v>Basic</v>
      </c>
    </row>
    <row r="1932" spans="1:8" x14ac:dyDescent="0.2">
      <c r="A1932">
        <v>2931</v>
      </c>
      <c r="B1932" t="s">
        <v>6</v>
      </c>
      <c r="C1932" t="s">
        <v>12</v>
      </c>
      <c r="D1932" s="1">
        <v>45820</v>
      </c>
      <c r="E1932">
        <v>89</v>
      </c>
      <c r="F1932">
        <v>0</v>
      </c>
      <c r="G1932">
        <f>IF(Gym_Expansion_Data[[#This Row],[Churned]]=0,1,0)</f>
        <v>1</v>
      </c>
      <c r="H1932" t="str">
        <f>IF(Gym_Expansion_Data[[#This Row],[Active Member]]=1,Gym_Expansion_Data[[#This Row],[Tier]],"Inactive")</f>
        <v>Premium</v>
      </c>
    </row>
    <row r="1933" spans="1:8" x14ac:dyDescent="0.2">
      <c r="A1933">
        <v>2932</v>
      </c>
      <c r="B1933" t="s">
        <v>9</v>
      </c>
      <c r="C1933" t="s">
        <v>7</v>
      </c>
      <c r="D1933" s="1">
        <v>45815</v>
      </c>
      <c r="E1933">
        <v>49</v>
      </c>
      <c r="F1933">
        <v>0</v>
      </c>
      <c r="G1933">
        <f>IF(Gym_Expansion_Data[[#This Row],[Churned]]=0,1,0)</f>
        <v>1</v>
      </c>
      <c r="H1933" t="str">
        <f>IF(Gym_Expansion_Data[[#This Row],[Active Member]]=1,Gym_Expansion_Data[[#This Row],[Tier]],"Inactive")</f>
        <v>Basic</v>
      </c>
    </row>
    <row r="1934" spans="1:8" x14ac:dyDescent="0.2">
      <c r="A1934">
        <v>2933</v>
      </c>
      <c r="B1934" t="s">
        <v>6</v>
      </c>
      <c r="C1934" t="s">
        <v>7</v>
      </c>
      <c r="D1934" s="1">
        <v>45375</v>
      </c>
      <c r="E1934">
        <v>49</v>
      </c>
      <c r="F1934">
        <v>0</v>
      </c>
      <c r="G1934">
        <f>IF(Gym_Expansion_Data[[#This Row],[Churned]]=0,1,0)</f>
        <v>1</v>
      </c>
      <c r="H1934" t="str">
        <f>IF(Gym_Expansion_Data[[#This Row],[Active Member]]=1,Gym_Expansion_Data[[#This Row],[Tier]],"Inactive")</f>
        <v>Basic</v>
      </c>
    </row>
    <row r="1935" spans="1:8" x14ac:dyDescent="0.2">
      <c r="A1935">
        <v>2934</v>
      </c>
      <c r="B1935" t="s">
        <v>10</v>
      </c>
      <c r="C1935" t="s">
        <v>12</v>
      </c>
      <c r="D1935" s="1">
        <v>45756</v>
      </c>
      <c r="E1935">
        <v>89</v>
      </c>
      <c r="F1935">
        <v>0</v>
      </c>
      <c r="G1935">
        <f>IF(Gym_Expansion_Data[[#This Row],[Churned]]=0,1,0)</f>
        <v>1</v>
      </c>
      <c r="H1935" t="str">
        <f>IF(Gym_Expansion_Data[[#This Row],[Active Member]]=1,Gym_Expansion_Data[[#This Row],[Tier]],"Inactive")</f>
        <v>Premium</v>
      </c>
    </row>
    <row r="1936" spans="1:8" x14ac:dyDescent="0.2">
      <c r="A1936">
        <v>2935</v>
      </c>
      <c r="B1936" t="s">
        <v>9</v>
      </c>
      <c r="C1936" t="s">
        <v>12</v>
      </c>
      <c r="D1936" s="1">
        <v>45847</v>
      </c>
      <c r="E1936">
        <v>89</v>
      </c>
      <c r="F1936">
        <v>0</v>
      </c>
      <c r="G1936">
        <f>IF(Gym_Expansion_Data[[#This Row],[Churned]]=0,1,0)</f>
        <v>1</v>
      </c>
      <c r="H1936" t="str">
        <f>IF(Gym_Expansion_Data[[#This Row],[Active Member]]=1,Gym_Expansion_Data[[#This Row],[Tier]],"Inactive")</f>
        <v>Premium</v>
      </c>
    </row>
    <row r="1937" spans="1:8" x14ac:dyDescent="0.2">
      <c r="A1937">
        <v>2936</v>
      </c>
      <c r="B1937" t="s">
        <v>11</v>
      </c>
      <c r="C1937" t="s">
        <v>8</v>
      </c>
      <c r="D1937" s="1">
        <v>45472</v>
      </c>
      <c r="E1937">
        <v>129</v>
      </c>
      <c r="F1937">
        <v>0</v>
      </c>
      <c r="G1937">
        <f>IF(Gym_Expansion_Data[[#This Row],[Churned]]=0,1,0)</f>
        <v>1</v>
      </c>
      <c r="H1937" t="str">
        <f>IF(Gym_Expansion_Data[[#This Row],[Active Member]]=1,Gym_Expansion_Data[[#This Row],[Tier]],"Inactive")</f>
        <v>Elite</v>
      </c>
    </row>
    <row r="1938" spans="1:8" x14ac:dyDescent="0.2">
      <c r="A1938">
        <v>2937</v>
      </c>
      <c r="B1938" t="s">
        <v>9</v>
      </c>
      <c r="C1938" t="s">
        <v>7</v>
      </c>
      <c r="D1938" s="1">
        <v>45708</v>
      </c>
      <c r="E1938">
        <v>49</v>
      </c>
      <c r="F1938">
        <v>0</v>
      </c>
      <c r="G1938">
        <f>IF(Gym_Expansion_Data[[#This Row],[Churned]]=0,1,0)</f>
        <v>1</v>
      </c>
      <c r="H1938" t="str">
        <f>IF(Gym_Expansion_Data[[#This Row],[Active Member]]=1,Gym_Expansion_Data[[#This Row],[Tier]],"Inactive")</f>
        <v>Basic</v>
      </c>
    </row>
    <row r="1939" spans="1:8" x14ac:dyDescent="0.2">
      <c r="A1939">
        <v>2938</v>
      </c>
      <c r="B1939" t="s">
        <v>10</v>
      </c>
      <c r="C1939" t="s">
        <v>8</v>
      </c>
      <c r="D1939" s="1">
        <v>45951</v>
      </c>
      <c r="E1939">
        <v>129</v>
      </c>
      <c r="F1939">
        <v>0</v>
      </c>
      <c r="G1939">
        <f>IF(Gym_Expansion_Data[[#This Row],[Churned]]=0,1,0)</f>
        <v>1</v>
      </c>
      <c r="H1939" t="str">
        <f>IF(Gym_Expansion_Data[[#This Row],[Active Member]]=1,Gym_Expansion_Data[[#This Row],[Tier]],"Inactive")</f>
        <v>Elite</v>
      </c>
    </row>
    <row r="1940" spans="1:8" x14ac:dyDescent="0.2">
      <c r="A1940">
        <v>2939</v>
      </c>
      <c r="B1940" t="s">
        <v>6</v>
      </c>
      <c r="C1940" t="s">
        <v>7</v>
      </c>
      <c r="D1940" s="1">
        <v>45440</v>
      </c>
      <c r="E1940">
        <v>49</v>
      </c>
      <c r="F1940">
        <v>0</v>
      </c>
      <c r="G1940">
        <f>IF(Gym_Expansion_Data[[#This Row],[Churned]]=0,1,0)</f>
        <v>1</v>
      </c>
      <c r="H1940" t="str">
        <f>IF(Gym_Expansion_Data[[#This Row],[Active Member]]=1,Gym_Expansion_Data[[#This Row],[Tier]],"Inactive")</f>
        <v>Basic</v>
      </c>
    </row>
    <row r="1941" spans="1:8" x14ac:dyDescent="0.2">
      <c r="A1941">
        <v>2940</v>
      </c>
      <c r="B1941" t="s">
        <v>11</v>
      </c>
      <c r="C1941" t="s">
        <v>12</v>
      </c>
      <c r="D1941" s="1">
        <v>45751</v>
      </c>
      <c r="E1941">
        <v>89</v>
      </c>
      <c r="F1941">
        <v>0</v>
      </c>
      <c r="G1941">
        <f>IF(Gym_Expansion_Data[[#This Row],[Churned]]=0,1,0)</f>
        <v>1</v>
      </c>
      <c r="H1941" t="str">
        <f>IF(Gym_Expansion_Data[[#This Row],[Active Member]]=1,Gym_Expansion_Data[[#This Row],[Tier]],"Inactive")</f>
        <v>Premium</v>
      </c>
    </row>
    <row r="1942" spans="1:8" x14ac:dyDescent="0.2">
      <c r="A1942">
        <v>2941</v>
      </c>
      <c r="B1942" t="s">
        <v>9</v>
      </c>
      <c r="C1942" t="s">
        <v>8</v>
      </c>
      <c r="D1942" s="1">
        <v>45676</v>
      </c>
      <c r="E1942">
        <v>129</v>
      </c>
      <c r="F1942">
        <v>0</v>
      </c>
      <c r="G1942">
        <f>IF(Gym_Expansion_Data[[#This Row],[Churned]]=0,1,0)</f>
        <v>1</v>
      </c>
      <c r="H1942" t="str">
        <f>IF(Gym_Expansion_Data[[#This Row],[Active Member]]=1,Gym_Expansion_Data[[#This Row],[Tier]],"Inactive")</f>
        <v>Elite</v>
      </c>
    </row>
    <row r="1943" spans="1:8" x14ac:dyDescent="0.2">
      <c r="A1943">
        <v>2942</v>
      </c>
      <c r="B1943" t="s">
        <v>11</v>
      </c>
      <c r="C1943" t="s">
        <v>7</v>
      </c>
      <c r="D1943" s="1">
        <v>45305</v>
      </c>
      <c r="E1943">
        <v>49</v>
      </c>
      <c r="F1943">
        <v>1</v>
      </c>
      <c r="G1943">
        <f>IF(Gym_Expansion_Data[[#This Row],[Churned]]=0,1,0)</f>
        <v>0</v>
      </c>
      <c r="H1943" t="str">
        <f>IF(Gym_Expansion_Data[[#This Row],[Active Member]]=1,Gym_Expansion_Data[[#This Row],[Tier]],"Inactive")</f>
        <v>Inactive</v>
      </c>
    </row>
    <row r="1944" spans="1:8" x14ac:dyDescent="0.2">
      <c r="A1944">
        <v>2943</v>
      </c>
      <c r="B1944" t="s">
        <v>9</v>
      </c>
      <c r="C1944" t="s">
        <v>7</v>
      </c>
      <c r="D1944" s="1">
        <v>45524</v>
      </c>
      <c r="E1944">
        <v>49</v>
      </c>
      <c r="F1944">
        <v>0</v>
      </c>
      <c r="G1944">
        <f>IF(Gym_Expansion_Data[[#This Row],[Churned]]=0,1,0)</f>
        <v>1</v>
      </c>
      <c r="H1944" t="str">
        <f>IF(Gym_Expansion_Data[[#This Row],[Active Member]]=1,Gym_Expansion_Data[[#This Row],[Tier]],"Inactive")</f>
        <v>Basic</v>
      </c>
    </row>
    <row r="1945" spans="1:8" x14ac:dyDescent="0.2">
      <c r="A1945">
        <v>2944</v>
      </c>
      <c r="B1945" t="s">
        <v>9</v>
      </c>
      <c r="C1945" t="s">
        <v>12</v>
      </c>
      <c r="D1945" s="1">
        <v>45758</v>
      </c>
      <c r="E1945">
        <v>89</v>
      </c>
      <c r="F1945">
        <v>0</v>
      </c>
      <c r="G1945">
        <f>IF(Gym_Expansion_Data[[#This Row],[Churned]]=0,1,0)</f>
        <v>1</v>
      </c>
      <c r="H1945" t="str">
        <f>IF(Gym_Expansion_Data[[#This Row],[Active Member]]=1,Gym_Expansion_Data[[#This Row],[Tier]],"Inactive")</f>
        <v>Premium</v>
      </c>
    </row>
    <row r="1946" spans="1:8" x14ac:dyDescent="0.2">
      <c r="A1946">
        <v>2945</v>
      </c>
      <c r="B1946" t="s">
        <v>10</v>
      </c>
      <c r="C1946" t="s">
        <v>8</v>
      </c>
      <c r="D1946" s="1">
        <v>45832</v>
      </c>
      <c r="E1946">
        <v>129</v>
      </c>
      <c r="F1946">
        <v>0</v>
      </c>
      <c r="G1946">
        <f>IF(Gym_Expansion_Data[[#This Row],[Churned]]=0,1,0)</f>
        <v>1</v>
      </c>
      <c r="H1946" t="str">
        <f>IF(Gym_Expansion_Data[[#This Row],[Active Member]]=1,Gym_Expansion_Data[[#This Row],[Tier]],"Inactive")</f>
        <v>Elite</v>
      </c>
    </row>
    <row r="1947" spans="1:8" x14ac:dyDescent="0.2">
      <c r="A1947">
        <v>2946</v>
      </c>
      <c r="B1947" t="s">
        <v>9</v>
      </c>
      <c r="C1947" t="s">
        <v>12</v>
      </c>
      <c r="D1947" s="1">
        <v>45793</v>
      </c>
      <c r="E1947">
        <v>89</v>
      </c>
      <c r="F1947">
        <v>0</v>
      </c>
      <c r="G1947">
        <f>IF(Gym_Expansion_Data[[#This Row],[Churned]]=0,1,0)</f>
        <v>1</v>
      </c>
      <c r="H1947" t="str">
        <f>IF(Gym_Expansion_Data[[#This Row],[Active Member]]=1,Gym_Expansion_Data[[#This Row],[Tier]],"Inactive")</f>
        <v>Premium</v>
      </c>
    </row>
    <row r="1948" spans="1:8" x14ac:dyDescent="0.2">
      <c r="A1948">
        <v>2947</v>
      </c>
      <c r="B1948" t="s">
        <v>6</v>
      </c>
      <c r="C1948" t="s">
        <v>12</v>
      </c>
      <c r="D1948" s="1">
        <v>45689</v>
      </c>
      <c r="E1948">
        <v>89</v>
      </c>
      <c r="F1948">
        <v>0</v>
      </c>
      <c r="G1948">
        <f>IF(Gym_Expansion_Data[[#This Row],[Churned]]=0,1,0)</f>
        <v>1</v>
      </c>
      <c r="H1948" t="str">
        <f>IF(Gym_Expansion_Data[[#This Row],[Active Member]]=1,Gym_Expansion_Data[[#This Row],[Tier]],"Inactive")</f>
        <v>Premium</v>
      </c>
    </row>
    <row r="1949" spans="1:8" x14ac:dyDescent="0.2">
      <c r="A1949">
        <v>2948</v>
      </c>
      <c r="B1949" t="s">
        <v>9</v>
      </c>
      <c r="C1949" t="s">
        <v>7</v>
      </c>
      <c r="D1949" s="1">
        <v>45333</v>
      </c>
      <c r="E1949">
        <v>49</v>
      </c>
      <c r="F1949">
        <v>0</v>
      </c>
      <c r="G1949">
        <f>IF(Gym_Expansion_Data[[#This Row],[Churned]]=0,1,0)</f>
        <v>1</v>
      </c>
      <c r="H1949" t="str">
        <f>IF(Gym_Expansion_Data[[#This Row],[Active Member]]=1,Gym_Expansion_Data[[#This Row],[Tier]],"Inactive")</f>
        <v>Basic</v>
      </c>
    </row>
    <row r="1950" spans="1:8" x14ac:dyDescent="0.2">
      <c r="A1950">
        <v>2949</v>
      </c>
      <c r="B1950" t="s">
        <v>6</v>
      </c>
      <c r="C1950" t="s">
        <v>7</v>
      </c>
      <c r="D1950" s="1">
        <v>45821</v>
      </c>
      <c r="E1950">
        <v>49</v>
      </c>
      <c r="F1950">
        <v>0</v>
      </c>
      <c r="G1950">
        <f>IF(Gym_Expansion_Data[[#This Row],[Churned]]=0,1,0)</f>
        <v>1</v>
      </c>
      <c r="H1950" t="str">
        <f>IF(Gym_Expansion_Data[[#This Row],[Active Member]]=1,Gym_Expansion_Data[[#This Row],[Tier]],"Inactive")</f>
        <v>Basic</v>
      </c>
    </row>
    <row r="1951" spans="1:8" x14ac:dyDescent="0.2">
      <c r="A1951">
        <v>2950</v>
      </c>
      <c r="B1951" t="s">
        <v>11</v>
      </c>
      <c r="C1951" t="s">
        <v>12</v>
      </c>
      <c r="D1951" s="1">
        <v>45352</v>
      </c>
      <c r="E1951">
        <v>89</v>
      </c>
      <c r="F1951">
        <v>0</v>
      </c>
      <c r="G1951">
        <f>IF(Gym_Expansion_Data[[#This Row],[Churned]]=0,1,0)</f>
        <v>1</v>
      </c>
      <c r="H1951" t="str">
        <f>IF(Gym_Expansion_Data[[#This Row],[Active Member]]=1,Gym_Expansion_Data[[#This Row],[Tier]],"Inactive")</f>
        <v>Premium</v>
      </c>
    </row>
    <row r="1952" spans="1:8" x14ac:dyDescent="0.2">
      <c r="A1952">
        <v>2951</v>
      </c>
      <c r="B1952" t="s">
        <v>10</v>
      </c>
      <c r="C1952" t="s">
        <v>8</v>
      </c>
      <c r="D1952" s="1">
        <v>45957</v>
      </c>
      <c r="E1952">
        <v>129</v>
      </c>
      <c r="F1952">
        <v>1</v>
      </c>
      <c r="G1952">
        <f>IF(Gym_Expansion_Data[[#This Row],[Churned]]=0,1,0)</f>
        <v>0</v>
      </c>
      <c r="H1952" t="str">
        <f>IF(Gym_Expansion_Data[[#This Row],[Active Member]]=1,Gym_Expansion_Data[[#This Row],[Tier]],"Inactive")</f>
        <v>Inactive</v>
      </c>
    </row>
    <row r="1953" spans="1:8" x14ac:dyDescent="0.2">
      <c r="A1953">
        <v>2952</v>
      </c>
      <c r="B1953" t="s">
        <v>10</v>
      </c>
      <c r="C1953" t="s">
        <v>7</v>
      </c>
      <c r="D1953" s="1">
        <v>45462</v>
      </c>
      <c r="E1953">
        <v>49</v>
      </c>
      <c r="F1953">
        <v>0</v>
      </c>
      <c r="G1953">
        <f>IF(Gym_Expansion_Data[[#This Row],[Churned]]=0,1,0)</f>
        <v>1</v>
      </c>
      <c r="H1953" t="str">
        <f>IF(Gym_Expansion_Data[[#This Row],[Active Member]]=1,Gym_Expansion_Data[[#This Row],[Tier]],"Inactive")</f>
        <v>Basic</v>
      </c>
    </row>
    <row r="1954" spans="1:8" x14ac:dyDescent="0.2">
      <c r="A1954">
        <v>2953</v>
      </c>
      <c r="B1954" t="s">
        <v>10</v>
      </c>
      <c r="C1954" t="s">
        <v>7</v>
      </c>
      <c r="D1954" s="1">
        <v>45894</v>
      </c>
      <c r="E1954">
        <v>49</v>
      </c>
      <c r="F1954">
        <v>1</v>
      </c>
      <c r="G1954">
        <f>IF(Gym_Expansion_Data[[#This Row],[Churned]]=0,1,0)</f>
        <v>0</v>
      </c>
      <c r="H1954" t="str">
        <f>IF(Gym_Expansion_Data[[#This Row],[Active Member]]=1,Gym_Expansion_Data[[#This Row],[Tier]],"Inactive")</f>
        <v>Inactive</v>
      </c>
    </row>
    <row r="1955" spans="1:8" x14ac:dyDescent="0.2">
      <c r="A1955">
        <v>2954</v>
      </c>
      <c r="B1955" t="s">
        <v>6</v>
      </c>
      <c r="C1955" t="s">
        <v>8</v>
      </c>
      <c r="D1955" s="1">
        <v>45313</v>
      </c>
      <c r="E1955">
        <v>129</v>
      </c>
      <c r="F1955">
        <v>0</v>
      </c>
      <c r="G1955">
        <f>IF(Gym_Expansion_Data[[#This Row],[Churned]]=0,1,0)</f>
        <v>1</v>
      </c>
      <c r="H1955" t="str">
        <f>IF(Gym_Expansion_Data[[#This Row],[Active Member]]=1,Gym_Expansion_Data[[#This Row],[Tier]],"Inactive")</f>
        <v>Elite</v>
      </c>
    </row>
    <row r="1956" spans="1:8" x14ac:dyDescent="0.2">
      <c r="A1956">
        <v>2955</v>
      </c>
      <c r="B1956" t="s">
        <v>10</v>
      </c>
      <c r="C1956" t="s">
        <v>8</v>
      </c>
      <c r="D1956" s="1">
        <v>45482</v>
      </c>
      <c r="E1956">
        <v>129</v>
      </c>
      <c r="F1956">
        <v>0</v>
      </c>
      <c r="G1956">
        <f>IF(Gym_Expansion_Data[[#This Row],[Churned]]=0,1,0)</f>
        <v>1</v>
      </c>
      <c r="H1956" t="str">
        <f>IF(Gym_Expansion_Data[[#This Row],[Active Member]]=1,Gym_Expansion_Data[[#This Row],[Tier]],"Inactive")</f>
        <v>Elite</v>
      </c>
    </row>
    <row r="1957" spans="1:8" x14ac:dyDescent="0.2">
      <c r="A1957">
        <v>2956</v>
      </c>
      <c r="B1957" t="s">
        <v>9</v>
      </c>
      <c r="C1957" t="s">
        <v>7</v>
      </c>
      <c r="D1957" s="1">
        <v>45639</v>
      </c>
      <c r="E1957">
        <v>49</v>
      </c>
      <c r="F1957">
        <v>0</v>
      </c>
      <c r="G1957">
        <f>IF(Gym_Expansion_Data[[#This Row],[Churned]]=0,1,0)</f>
        <v>1</v>
      </c>
      <c r="H1957" t="str">
        <f>IF(Gym_Expansion_Data[[#This Row],[Active Member]]=1,Gym_Expansion_Data[[#This Row],[Tier]],"Inactive")</f>
        <v>Basic</v>
      </c>
    </row>
    <row r="1958" spans="1:8" x14ac:dyDescent="0.2">
      <c r="A1958">
        <v>2957</v>
      </c>
      <c r="B1958" t="s">
        <v>11</v>
      </c>
      <c r="C1958" t="s">
        <v>12</v>
      </c>
      <c r="D1958" s="1">
        <v>45533</v>
      </c>
      <c r="E1958">
        <v>89</v>
      </c>
      <c r="F1958">
        <v>0</v>
      </c>
      <c r="G1958">
        <f>IF(Gym_Expansion_Data[[#This Row],[Churned]]=0,1,0)</f>
        <v>1</v>
      </c>
      <c r="H1958" t="str">
        <f>IF(Gym_Expansion_Data[[#This Row],[Active Member]]=1,Gym_Expansion_Data[[#This Row],[Tier]],"Inactive")</f>
        <v>Premium</v>
      </c>
    </row>
    <row r="1959" spans="1:8" x14ac:dyDescent="0.2">
      <c r="A1959">
        <v>2958</v>
      </c>
      <c r="B1959" t="s">
        <v>10</v>
      </c>
      <c r="C1959" t="s">
        <v>8</v>
      </c>
      <c r="D1959" s="1">
        <v>45831</v>
      </c>
      <c r="E1959">
        <v>129</v>
      </c>
      <c r="F1959">
        <v>1</v>
      </c>
      <c r="G1959">
        <f>IF(Gym_Expansion_Data[[#This Row],[Churned]]=0,1,0)</f>
        <v>0</v>
      </c>
      <c r="H1959" t="str">
        <f>IF(Gym_Expansion_Data[[#This Row],[Active Member]]=1,Gym_Expansion_Data[[#This Row],[Tier]],"Inactive")</f>
        <v>Inactive</v>
      </c>
    </row>
    <row r="1960" spans="1:8" x14ac:dyDescent="0.2">
      <c r="A1960">
        <v>2959</v>
      </c>
      <c r="B1960" t="s">
        <v>9</v>
      </c>
      <c r="C1960" t="s">
        <v>12</v>
      </c>
      <c r="D1960" s="1">
        <v>45318</v>
      </c>
      <c r="E1960">
        <v>89</v>
      </c>
      <c r="F1960">
        <v>0</v>
      </c>
      <c r="G1960">
        <f>IF(Gym_Expansion_Data[[#This Row],[Churned]]=0,1,0)</f>
        <v>1</v>
      </c>
      <c r="H1960" t="str">
        <f>IF(Gym_Expansion_Data[[#This Row],[Active Member]]=1,Gym_Expansion_Data[[#This Row],[Tier]],"Inactive")</f>
        <v>Premium</v>
      </c>
    </row>
    <row r="1961" spans="1:8" x14ac:dyDescent="0.2">
      <c r="A1961">
        <v>2960</v>
      </c>
      <c r="B1961" t="s">
        <v>9</v>
      </c>
      <c r="C1961" t="s">
        <v>8</v>
      </c>
      <c r="D1961" s="1">
        <v>45911</v>
      </c>
      <c r="E1961">
        <v>129</v>
      </c>
      <c r="F1961">
        <v>1</v>
      </c>
      <c r="G1961">
        <f>IF(Gym_Expansion_Data[[#This Row],[Churned]]=0,1,0)</f>
        <v>0</v>
      </c>
      <c r="H1961" t="str">
        <f>IF(Gym_Expansion_Data[[#This Row],[Active Member]]=1,Gym_Expansion_Data[[#This Row],[Tier]],"Inactive")</f>
        <v>Inactive</v>
      </c>
    </row>
    <row r="1962" spans="1:8" x14ac:dyDescent="0.2">
      <c r="A1962">
        <v>2961</v>
      </c>
      <c r="B1962" t="s">
        <v>10</v>
      </c>
      <c r="C1962" t="s">
        <v>7</v>
      </c>
      <c r="D1962" s="1">
        <v>45773</v>
      </c>
      <c r="E1962">
        <v>49</v>
      </c>
      <c r="F1962">
        <v>0</v>
      </c>
      <c r="G1962">
        <f>IF(Gym_Expansion_Data[[#This Row],[Churned]]=0,1,0)</f>
        <v>1</v>
      </c>
      <c r="H1962" t="str">
        <f>IF(Gym_Expansion_Data[[#This Row],[Active Member]]=1,Gym_Expansion_Data[[#This Row],[Tier]],"Inactive")</f>
        <v>Basic</v>
      </c>
    </row>
    <row r="1963" spans="1:8" x14ac:dyDescent="0.2">
      <c r="A1963">
        <v>2962</v>
      </c>
      <c r="B1963" t="s">
        <v>9</v>
      </c>
      <c r="C1963" t="s">
        <v>12</v>
      </c>
      <c r="D1963" s="1">
        <v>45844</v>
      </c>
      <c r="E1963">
        <v>89</v>
      </c>
      <c r="F1963">
        <v>0</v>
      </c>
      <c r="G1963">
        <f>IF(Gym_Expansion_Data[[#This Row],[Churned]]=0,1,0)</f>
        <v>1</v>
      </c>
      <c r="H1963" t="str">
        <f>IF(Gym_Expansion_Data[[#This Row],[Active Member]]=1,Gym_Expansion_Data[[#This Row],[Tier]],"Inactive")</f>
        <v>Premium</v>
      </c>
    </row>
    <row r="1964" spans="1:8" x14ac:dyDescent="0.2">
      <c r="A1964">
        <v>2963</v>
      </c>
      <c r="B1964" t="s">
        <v>9</v>
      </c>
      <c r="C1964" t="s">
        <v>7</v>
      </c>
      <c r="D1964" s="1">
        <v>45599</v>
      </c>
      <c r="E1964">
        <v>49</v>
      </c>
      <c r="F1964">
        <v>0</v>
      </c>
      <c r="G1964">
        <f>IF(Gym_Expansion_Data[[#This Row],[Churned]]=0,1,0)</f>
        <v>1</v>
      </c>
      <c r="H1964" t="str">
        <f>IF(Gym_Expansion_Data[[#This Row],[Active Member]]=1,Gym_Expansion_Data[[#This Row],[Tier]],"Inactive")</f>
        <v>Basic</v>
      </c>
    </row>
    <row r="1965" spans="1:8" x14ac:dyDescent="0.2">
      <c r="A1965">
        <v>2964</v>
      </c>
      <c r="B1965" t="s">
        <v>10</v>
      </c>
      <c r="C1965" t="s">
        <v>8</v>
      </c>
      <c r="D1965" s="1">
        <v>45635</v>
      </c>
      <c r="E1965">
        <v>129</v>
      </c>
      <c r="F1965">
        <v>0</v>
      </c>
      <c r="G1965">
        <f>IF(Gym_Expansion_Data[[#This Row],[Churned]]=0,1,0)</f>
        <v>1</v>
      </c>
      <c r="H1965" t="str">
        <f>IF(Gym_Expansion_Data[[#This Row],[Active Member]]=1,Gym_Expansion_Data[[#This Row],[Tier]],"Inactive")</f>
        <v>Elite</v>
      </c>
    </row>
    <row r="1966" spans="1:8" x14ac:dyDescent="0.2">
      <c r="A1966">
        <v>2965</v>
      </c>
      <c r="B1966" t="s">
        <v>6</v>
      </c>
      <c r="C1966" t="s">
        <v>7</v>
      </c>
      <c r="D1966" s="1">
        <v>45784</v>
      </c>
      <c r="E1966">
        <v>49</v>
      </c>
      <c r="F1966">
        <v>0</v>
      </c>
      <c r="G1966">
        <f>IF(Gym_Expansion_Data[[#This Row],[Churned]]=0,1,0)</f>
        <v>1</v>
      </c>
      <c r="H1966" t="str">
        <f>IF(Gym_Expansion_Data[[#This Row],[Active Member]]=1,Gym_Expansion_Data[[#This Row],[Tier]],"Inactive")</f>
        <v>Basic</v>
      </c>
    </row>
    <row r="1967" spans="1:8" x14ac:dyDescent="0.2">
      <c r="A1967">
        <v>2966</v>
      </c>
      <c r="B1967" t="s">
        <v>9</v>
      </c>
      <c r="C1967" t="s">
        <v>7</v>
      </c>
      <c r="D1967" s="1">
        <v>45334</v>
      </c>
      <c r="E1967">
        <v>49</v>
      </c>
      <c r="F1967">
        <v>1</v>
      </c>
      <c r="G1967">
        <f>IF(Gym_Expansion_Data[[#This Row],[Churned]]=0,1,0)</f>
        <v>0</v>
      </c>
      <c r="H1967" t="str">
        <f>IF(Gym_Expansion_Data[[#This Row],[Active Member]]=1,Gym_Expansion_Data[[#This Row],[Tier]],"Inactive")</f>
        <v>Inactive</v>
      </c>
    </row>
    <row r="1968" spans="1:8" x14ac:dyDescent="0.2">
      <c r="A1968">
        <v>2967</v>
      </c>
      <c r="B1968" t="s">
        <v>9</v>
      </c>
      <c r="C1968" t="s">
        <v>7</v>
      </c>
      <c r="D1968" s="1">
        <v>45908</v>
      </c>
      <c r="E1968">
        <v>49</v>
      </c>
      <c r="F1968">
        <v>0</v>
      </c>
      <c r="G1968">
        <f>IF(Gym_Expansion_Data[[#This Row],[Churned]]=0,1,0)</f>
        <v>1</v>
      </c>
      <c r="H1968" t="str">
        <f>IF(Gym_Expansion_Data[[#This Row],[Active Member]]=1,Gym_Expansion_Data[[#This Row],[Tier]],"Inactive")</f>
        <v>Basic</v>
      </c>
    </row>
    <row r="1969" spans="1:8" x14ac:dyDescent="0.2">
      <c r="A1969">
        <v>2968</v>
      </c>
      <c r="B1969" t="s">
        <v>10</v>
      </c>
      <c r="C1969" t="s">
        <v>8</v>
      </c>
      <c r="D1969" s="1">
        <v>45403</v>
      </c>
      <c r="E1969">
        <v>129</v>
      </c>
      <c r="F1969">
        <v>0</v>
      </c>
      <c r="G1969">
        <f>IF(Gym_Expansion_Data[[#This Row],[Churned]]=0,1,0)</f>
        <v>1</v>
      </c>
      <c r="H1969" t="str">
        <f>IF(Gym_Expansion_Data[[#This Row],[Active Member]]=1,Gym_Expansion_Data[[#This Row],[Tier]],"Inactive")</f>
        <v>Elite</v>
      </c>
    </row>
    <row r="1970" spans="1:8" x14ac:dyDescent="0.2">
      <c r="A1970">
        <v>2969</v>
      </c>
      <c r="B1970" t="s">
        <v>9</v>
      </c>
      <c r="C1970" t="s">
        <v>12</v>
      </c>
      <c r="D1970" s="1">
        <v>45481</v>
      </c>
      <c r="E1970">
        <v>89</v>
      </c>
      <c r="F1970">
        <v>0</v>
      </c>
      <c r="G1970">
        <f>IF(Gym_Expansion_Data[[#This Row],[Churned]]=0,1,0)</f>
        <v>1</v>
      </c>
      <c r="H1970" t="str">
        <f>IF(Gym_Expansion_Data[[#This Row],[Active Member]]=1,Gym_Expansion_Data[[#This Row],[Tier]],"Inactive")</f>
        <v>Premium</v>
      </c>
    </row>
    <row r="1971" spans="1:8" x14ac:dyDescent="0.2">
      <c r="A1971">
        <v>2970</v>
      </c>
      <c r="B1971" t="s">
        <v>9</v>
      </c>
      <c r="C1971" t="s">
        <v>8</v>
      </c>
      <c r="D1971" s="1">
        <v>45849</v>
      </c>
      <c r="E1971">
        <v>129</v>
      </c>
      <c r="F1971">
        <v>0</v>
      </c>
      <c r="G1971">
        <f>IF(Gym_Expansion_Data[[#This Row],[Churned]]=0,1,0)</f>
        <v>1</v>
      </c>
      <c r="H1971" t="str">
        <f>IF(Gym_Expansion_Data[[#This Row],[Active Member]]=1,Gym_Expansion_Data[[#This Row],[Tier]],"Inactive")</f>
        <v>Elite</v>
      </c>
    </row>
    <row r="1972" spans="1:8" x14ac:dyDescent="0.2">
      <c r="A1972">
        <v>2971</v>
      </c>
      <c r="B1972" t="s">
        <v>6</v>
      </c>
      <c r="C1972" t="s">
        <v>7</v>
      </c>
      <c r="D1972" s="1">
        <v>45305</v>
      </c>
      <c r="E1972">
        <v>49</v>
      </c>
      <c r="F1972">
        <v>0</v>
      </c>
      <c r="G1972">
        <f>IF(Gym_Expansion_Data[[#This Row],[Churned]]=0,1,0)</f>
        <v>1</v>
      </c>
      <c r="H1972" t="str">
        <f>IF(Gym_Expansion_Data[[#This Row],[Active Member]]=1,Gym_Expansion_Data[[#This Row],[Tier]],"Inactive")</f>
        <v>Basic</v>
      </c>
    </row>
    <row r="1973" spans="1:8" x14ac:dyDescent="0.2">
      <c r="A1973">
        <v>2972</v>
      </c>
      <c r="B1973" t="s">
        <v>9</v>
      </c>
      <c r="C1973" t="s">
        <v>7</v>
      </c>
      <c r="D1973" s="1">
        <v>45667</v>
      </c>
      <c r="E1973">
        <v>49</v>
      </c>
      <c r="F1973">
        <v>0</v>
      </c>
      <c r="G1973">
        <f>IF(Gym_Expansion_Data[[#This Row],[Churned]]=0,1,0)</f>
        <v>1</v>
      </c>
      <c r="H1973" t="str">
        <f>IF(Gym_Expansion_Data[[#This Row],[Active Member]]=1,Gym_Expansion_Data[[#This Row],[Tier]],"Inactive")</f>
        <v>Basic</v>
      </c>
    </row>
    <row r="1974" spans="1:8" x14ac:dyDescent="0.2">
      <c r="A1974">
        <v>2973</v>
      </c>
      <c r="B1974" t="s">
        <v>11</v>
      </c>
      <c r="C1974" t="s">
        <v>7</v>
      </c>
      <c r="D1974" s="1">
        <v>45927</v>
      </c>
      <c r="E1974">
        <v>49</v>
      </c>
      <c r="F1974">
        <v>0</v>
      </c>
      <c r="G1974">
        <f>IF(Gym_Expansion_Data[[#This Row],[Churned]]=0,1,0)</f>
        <v>1</v>
      </c>
      <c r="H1974" t="str">
        <f>IF(Gym_Expansion_Data[[#This Row],[Active Member]]=1,Gym_Expansion_Data[[#This Row],[Tier]],"Inactive")</f>
        <v>Basic</v>
      </c>
    </row>
    <row r="1975" spans="1:8" x14ac:dyDescent="0.2">
      <c r="A1975">
        <v>2974</v>
      </c>
      <c r="B1975" t="s">
        <v>9</v>
      </c>
      <c r="C1975" t="s">
        <v>7</v>
      </c>
      <c r="D1975" s="1">
        <v>45616</v>
      </c>
      <c r="E1975">
        <v>49</v>
      </c>
      <c r="F1975">
        <v>0</v>
      </c>
      <c r="G1975">
        <f>IF(Gym_Expansion_Data[[#This Row],[Churned]]=0,1,0)</f>
        <v>1</v>
      </c>
      <c r="H1975" t="str">
        <f>IF(Gym_Expansion_Data[[#This Row],[Active Member]]=1,Gym_Expansion_Data[[#This Row],[Tier]],"Inactive")</f>
        <v>Basic</v>
      </c>
    </row>
    <row r="1976" spans="1:8" x14ac:dyDescent="0.2">
      <c r="A1976">
        <v>2975</v>
      </c>
      <c r="B1976" t="s">
        <v>6</v>
      </c>
      <c r="C1976" t="s">
        <v>7</v>
      </c>
      <c r="D1976" s="1">
        <v>45498</v>
      </c>
      <c r="E1976">
        <v>49</v>
      </c>
      <c r="F1976">
        <v>0</v>
      </c>
      <c r="G1976">
        <f>IF(Gym_Expansion_Data[[#This Row],[Churned]]=0,1,0)</f>
        <v>1</v>
      </c>
      <c r="H1976" t="str">
        <f>IF(Gym_Expansion_Data[[#This Row],[Active Member]]=1,Gym_Expansion_Data[[#This Row],[Tier]],"Inactive")</f>
        <v>Basic</v>
      </c>
    </row>
    <row r="1977" spans="1:8" x14ac:dyDescent="0.2">
      <c r="A1977">
        <v>2976</v>
      </c>
      <c r="B1977" t="s">
        <v>11</v>
      </c>
      <c r="C1977" t="s">
        <v>12</v>
      </c>
      <c r="D1977" s="1">
        <v>45504</v>
      </c>
      <c r="E1977">
        <v>89</v>
      </c>
      <c r="F1977">
        <v>0</v>
      </c>
      <c r="G1977">
        <f>IF(Gym_Expansion_Data[[#This Row],[Churned]]=0,1,0)</f>
        <v>1</v>
      </c>
      <c r="H1977" t="str">
        <f>IF(Gym_Expansion_Data[[#This Row],[Active Member]]=1,Gym_Expansion_Data[[#This Row],[Tier]],"Inactive")</f>
        <v>Premium</v>
      </c>
    </row>
    <row r="1978" spans="1:8" x14ac:dyDescent="0.2">
      <c r="A1978">
        <v>2977</v>
      </c>
      <c r="B1978" t="s">
        <v>6</v>
      </c>
      <c r="C1978" t="s">
        <v>12</v>
      </c>
      <c r="D1978" s="1">
        <v>45486</v>
      </c>
      <c r="E1978">
        <v>89</v>
      </c>
      <c r="F1978">
        <v>0</v>
      </c>
      <c r="G1978">
        <f>IF(Gym_Expansion_Data[[#This Row],[Churned]]=0,1,0)</f>
        <v>1</v>
      </c>
      <c r="H1978" t="str">
        <f>IF(Gym_Expansion_Data[[#This Row],[Active Member]]=1,Gym_Expansion_Data[[#This Row],[Tier]],"Inactive")</f>
        <v>Premium</v>
      </c>
    </row>
    <row r="1979" spans="1:8" x14ac:dyDescent="0.2">
      <c r="A1979">
        <v>2978</v>
      </c>
      <c r="B1979" t="s">
        <v>10</v>
      </c>
      <c r="C1979" t="s">
        <v>7</v>
      </c>
      <c r="D1979" s="1">
        <v>45309</v>
      </c>
      <c r="E1979">
        <v>49</v>
      </c>
      <c r="F1979">
        <v>0</v>
      </c>
      <c r="G1979">
        <f>IF(Gym_Expansion_Data[[#This Row],[Churned]]=0,1,0)</f>
        <v>1</v>
      </c>
      <c r="H1979" t="str">
        <f>IF(Gym_Expansion_Data[[#This Row],[Active Member]]=1,Gym_Expansion_Data[[#This Row],[Tier]],"Inactive")</f>
        <v>Basic</v>
      </c>
    </row>
    <row r="1980" spans="1:8" x14ac:dyDescent="0.2">
      <c r="A1980">
        <v>2979</v>
      </c>
      <c r="B1980" t="s">
        <v>6</v>
      </c>
      <c r="C1980" t="s">
        <v>7</v>
      </c>
      <c r="D1980" s="1">
        <v>45808</v>
      </c>
      <c r="E1980">
        <v>49</v>
      </c>
      <c r="F1980">
        <v>0</v>
      </c>
      <c r="G1980">
        <f>IF(Gym_Expansion_Data[[#This Row],[Churned]]=0,1,0)</f>
        <v>1</v>
      </c>
      <c r="H1980" t="str">
        <f>IF(Gym_Expansion_Data[[#This Row],[Active Member]]=1,Gym_Expansion_Data[[#This Row],[Tier]],"Inactive")</f>
        <v>Basic</v>
      </c>
    </row>
    <row r="1981" spans="1:8" x14ac:dyDescent="0.2">
      <c r="A1981">
        <v>2980</v>
      </c>
      <c r="B1981" t="s">
        <v>10</v>
      </c>
      <c r="C1981" t="s">
        <v>8</v>
      </c>
      <c r="D1981" s="1">
        <v>45787</v>
      </c>
      <c r="E1981">
        <v>129</v>
      </c>
      <c r="F1981">
        <v>0</v>
      </c>
      <c r="G1981">
        <f>IF(Gym_Expansion_Data[[#This Row],[Churned]]=0,1,0)</f>
        <v>1</v>
      </c>
      <c r="H1981" t="str">
        <f>IF(Gym_Expansion_Data[[#This Row],[Active Member]]=1,Gym_Expansion_Data[[#This Row],[Tier]],"Inactive")</f>
        <v>Elite</v>
      </c>
    </row>
    <row r="1982" spans="1:8" x14ac:dyDescent="0.2">
      <c r="A1982">
        <v>2981</v>
      </c>
      <c r="B1982" t="s">
        <v>10</v>
      </c>
      <c r="C1982" t="s">
        <v>8</v>
      </c>
      <c r="D1982" s="1">
        <v>45361</v>
      </c>
      <c r="E1982">
        <v>129</v>
      </c>
      <c r="F1982">
        <v>0</v>
      </c>
      <c r="G1982">
        <f>IF(Gym_Expansion_Data[[#This Row],[Churned]]=0,1,0)</f>
        <v>1</v>
      </c>
      <c r="H1982" t="str">
        <f>IF(Gym_Expansion_Data[[#This Row],[Active Member]]=1,Gym_Expansion_Data[[#This Row],[Tier]],"Inactive")</f>
        <v>Elite</v>
      </c>
    </row>
    <row r="1983" spans="1:8" x14ac:dyDescent="0.2">
      <c r="A1983">
        <v>2982</v>
      </c>
      <c r="B1983" t="s">
        <v>9</v>
      </c>
      <c r="C1983" t="s">
        <v>12</v>
      </c>
      <c r="D1983" s="1">
        <v>45917</v>
      </c>
      <c r="E1983">
        <v>89</v>
      </c>
      <c r="F1983">
        <v>0</v>
      </c>
      <c r="G1983">
        <f>IF(Gym_Expansion_Data[[#This Row],[Churned]]=0,1,0)</f>
        <v>1</v>
      </c>
      <c r="H1983" t="str">
        <f>IF(Gym_Expansion_Data[[#This Row],[Active Member]]=1,Gym_Expansion_Data[[#This Row],[Tier]],"Inactive")</f>
        <v>Premium</v>
      </c>
    </row>
    <row r="1984" spans="1:8" x14ac:dyDescent="0.2">
      <c r="A1984">
        <v>2983</v>
      </c>
      <c r="B1984" t="s">
        <v>9</v>
      </c>
      <c r="C1984" t="s">
        <v>12</v>
      </c>
      <c r="D1984" s="1">
        <v>45585</v>
      </c>
      <c r="E1984">
        <v>89</v>
      </c>
      <c r="F1984">
        <v>0</v>
      </c>
      <c r="G1984">
        <f>IF(Gym_Expansion_Data[[#This Row],[Churned]]=0,1,0)</f>
        <v>1</v>
      </c>
      <c r="H1984" t="str">
        <f>IF(Gym_Expansion_Data[[#This Row],[Active Member]]=1,Gym_Expansion_Data[[#This Row],[Tier]],"Inactive")</f>
        <v>Premium</v>
      </c>
    </row>
    <row r="1985" spans="1:8" x14ac:dyDescent="0.2">
      <c r="A1985">
        <v>2984</v>
      </c>
      <c r="B1985" t="s">
        <v>9</v>
      </c>
      <c r="C1985" t="s">
        <v>12</v>
      </c>
      <c r="D1985" s="1">
        <v>45981</v>
      </c>
      <c r="E1985">
        <v>89</v>
      </c>
      <c r="F1985">
        <v>1</v>
      </c>
      <c r="G1985">
        <f>IF(Gym_Expansion_Data[[#This Row],[Churned]]=0,1,0)</f>
        <v>0</v>
      </c>
      <c r="H1985" t="str">
        <f>IF(Gym_Expansion_Data[[#This Row],[Active Member]]=1,Gym_Expansion_Data[[#This Row],[Tier]],"Inactive")</f>
        <v>Inactive</v>
      </c>
    </row>
    <row r="1986" spans="1:8" x14ac:dyDescent="0.2">
      <c r="A1986">
        <v>2985</v>
      </c>
      <c r="B1986" t="s">
        <v>11</v>
      </c>
      <c r="C1986" t="s">
        <v>7</v>
      </c>
      <c r="D1986" s="1">
        <v>45501</v>
      </c>
      <c r="E1986">
        <v>49</v>
      </c>
      <c r="F1986">
        <v>0</v>
      </c>
      <c r="G1986">
        <f>IF(Gym_Expansion_Data[[#This Row],[Churned]]=0,1,0)</f>
        <v>1</v>
      </c>
      <c r="H1986" t="str">
        <f>IF(Gym_Expansion_Data[[#This Row],[Active Member]]=1,Gym_Expansion_Data[[#This Row],[Tier]],"Inactive")</f>
        <v>Basic</v>
      </c>
    </row>
    <row r="1987" spans="1:8" x14ac:dyDescent="0.2">
      <c r="A1987">
        <v>2986</v>
      </c>
      <c r="B1987" t="s">
        <v>9</v>
      </c>
      <c r="C1987" t="s">
        <v>12</v>
      </c>
      <c r="D1987" s="1">
        <v>45659</v>
      </c>
      <c r="E1987">
        <v>89</v>
      </c>
      <c r="F1987">
        <v>1</v>
      </c>
      <c r="G1987">
        <f>IF(Gym_Expansion_Data[[#This Row],[Churned]]=0,1,0)</f>
        <v>0</v>
      </c>
      <c r="H1987" t="str">
        <f>IF(Gym_Expansion_Data[[#This Row],[Active Member]]=1,Gym_Expansion_Data[[#This Row],[Tier]],"Inactive")</f>
        <v>Inactive</v>
      </c>
    </row>
    <row r="1988" spans="1:8" x14ac:dyDescent="0.2">
      <c r="A1988">
        <v>2987</v>
      </c>
      <c r="B1988" t="s">
        <v>6</v>
      </c>
      <c r="C1988" t="s">
        <v>7</v>
      </c>
      <c r="D1988" s="1">
        <v>45510</v>
      </c>
      <c r="E1988">
        <v>49</v>
      </c>
      <c r="F1988">
        <v>0</v>
      </c>
      <c r="G1988">
        <f>IF(Gym_Expansion_Data[[#This Row],[Churned]]=0,1,0)</f>
        <v>1</v>
      </c>
      <c r="H1988" t="str">
        <f>IF(Gym_Expansion_Data[[#This Row],[Active Member]]=1,Gym_Expansion_Data[[#This Row],[Tier]],"Inactive")</f>
        <v>Basic</v>
      </c>
    </row>
    <row r="1989" spans="1:8" x14ac:dyDescent="0.2">
      <c r="A1989">
        <v>2988</v>
      </c>
      <c r="B1989" t="s">
        <v>10</v>
      </c>
      <c r="C1989" t="s">
        <v>12</v>
      </c>
      <c r="D1989" s="1">
        <v>45535</v>
      </c>
      <c r="E1989">
        <v>89</v>
      </c>
      <c r="F1989">
        <v>0</v>
      </c>
      <c r="G1989">
        <f>IF(Gym_Expansion_Data[[#This Row],[Churned]]=0,1,0)</f>
        <v>1</v>
      </c>
      <c r="H1989" t="str">
        <f>IF(Gym_Expansion_Data[[#This Row],[Active Member]]=1,Gym_Expansion_Data[[#This Row],[Tier]],"Inactive")</f>
        <v>Premium</v>
      </c>
    </row>
    <row r="1990" spans="1:8" x14ac:dyDescent="0.2">
      <c r="A1990">
        <v>2989</v>
      </c>
      <c r="B1990" t="s">
        <v>6</v>
      </c>
      <c r="C1990" t="s">
        <v>7</v>
      </c>
      <c r="D1990" s="1">
        <v>45486</v>
      </c>
      <c r="E1990">
        <v>49</v>
      </c>
      <c r="F1990">
        <v>0</v>
      </c>
      <c r="G1990">
        <f>IF(Gym_Expansion_Data[[#This Row],[Churned]]=0,1,0)</f>
        <v>1</v>
      </c>
      <c r="H1990" t="str">
        <f>IF(Gym_Expansion_Data[[#This Row],[Active Member]]=1,Gym_Expansion_Data[[#This Row],[Tier]],"Inactive")</f>
        <v>Basic</v>
      </c>
    </row>
    <row r="1991" spans="1:8" x14ac:dyDescent="0.2">
      <c r="A1991">
        <v>2990</v>
      </c>
      <c r="B1991" t="s">
        <v>10</v>
      </c>
      <c r="C1991" t="s">
        <v>8</v>
      </c>
      <c r="D1991" s="1">
        <v>45434</v>
      </c>
      <c r="E1991">
        <v>129</v>
      </c>
      <c r="F1991">
        <v>0</v>
      </c>
      <c r="G1991">
        <f>IF(Gym_Expansion_Data[[#This Row],[Churned]]=0,1,0)</f>
        <v>1</v>
      </c>
      <c r="H1991" t="str">
        <f>IF(Gym_Expansion_Data[[#This Row],[Active Member]]=1,Gym_Expansion_Data[[#This Row],[Tier]],"Inactive")</f>
        <v>Elite</v>
      </c>
    </row>
    <row r="1992" spans="1:8" x14ac:dyDescent="0.2">
      <c r="A1992">
        <v>2991</v>
      </c>
      <c r="B1992" t="s">
        <v>10</v>
      </c>
      <c r="C1992" t="s">
        <v>12</v>
      </c>
      <c r="D1992" s="1">
        <v>45912</v>
      </c>
      <c r="E1992">
        <v>89</v>
      </c>
      <c r="F1992">
        <v>0</v>
      </c>
      <c r="G1992">
        <f>IF(Gym_Expansion_Data[[#This Row],[Churned]]=0,1,0)</f>
        <v>1</v>
      </c>
      <c r="H1992" t="str">
        <f>IF(Gym_Expansion_Data[[#This Row],[Active Member]]=1,Gym_Expansion_Data[[#This Row],[Tier]],"Inactive")</f>
        <v>Premium</v>
      </c>
    </row>
    <row r="1993" spans="1:8" x14ac:dyDescent="0.2">
      <c r="A1993">
        <v>2992</v>
      </c>
      <c r="B1993" t="s">
        <v>6</v>
      </c>
      <c r="C1993" t="s">
        <v>12</v>
      </c>
      <c r="D1993" s="1">
        <v>45647</v>
      </c>
      <c r="E1993">
        <v>89</v>
      </c>
      <c r="F1993">
        <v>0</v>
      </c>
      <c r="G1993">
        <f>IF(Gym_Expansion_Data[[#This Row],[Churned]]=0,1,0)</f>
        <v>1</v>
      </c>
      <c r="H1993" t="str">
        <f>IF(Gym_Expansion_Data[[#This Row],[Active Member]]=1,Gym_Expansion_Data[[#This Row],[Tier]],"Inactive")</f>
        <v>Premium</v>
      </c>
    </row>
    <row r="1994" spans="1:8" x14ac:dyDescent="0.2">
      <c r="A1994">
        <v>2993</v>
      </c>
      <c r="B1994" t="s">
        <v>9</v>
      </c>
      <c r="C1994" t="s">
        <v>7</v>
      </c>
      <c r="D1994" s="1">
        <v>45933</v>
      </c>
      <c r="E1994">
        <v>49</v>
      </c>
      <c r="F1994">
        <v>0</v>
      </c>
      <c r="G1994">
        <f>IF(Gym_Expansion_Data[[#This Row],[Churned]]=0,1,0)</f>
        <v>1</v>
      </c>
      <c r="H1994" t="str">
        <f>IF(Gym_Expansion_Data[[#This Row],[Active Member]]=1,Gym_Expansion_Data[[#This Row],[Tier]],"Inactive")</f>
        <v>Basic</v>
      </c>
    </row>
    <row r="1995" spans="1:8" x14ac:dyDescent="0.2">
      <c r="A1995">
        <v>2994</v>
      </c>
      <c r="B1995" t="s">
        <v>10</v>
      </c>
      <c r="C1995" t="s">
        <v>12</v>
      </c>
      <c r="D1995" s="1">
        <v>45511</v>
      </c>
      <c r="E1995">
        <v>89</v>
      </c>
      <c r="F1995">
        <v>0</v>
      </c>
      <c r="G1995">
        <f>IF(Gym_Expansion_Data[[#This Row],[Churned]]=0,1,0)</f>
        <v>1</v>
      </c>
      <c r="H1995" t="str">
        <f>IF(Gym_Expansion_Data[[#This Row],[Active Member]]=1,Gym_Expansion_Data[[#This Row],[Tier]],"Inactive")</f>
        <v>Premium</v>
      </c>
    </row>
    <row r="1996" spans="1:8" x14ac:dyDescent="0.2">
      <c r="A1996">
        <v>2995</v>
      </c>
      <c r="B1996" t="s">
        <v>6</v>
      </c>
      <c r="C1996" t="s">
        <v>8</v>
      </c>
      <c r="D1996" s="1">
        <v>45549</v>
      </c>
      <c r="E1996">
        <v>129</v>
      </c>
      <c r="F1996">
        <v>0</v>
      </c>
      <c r="G1996">
        <f>IF(Gym_Expansion_Data[[#This Row],[Churned]]=0,1,0)</f>
        <v>1</v>
      </c>
      <c r="H1996" t="str">
        <f>IF(Gym_Expansion_Data[[#This Row],[Active Member]]=1,Gym_Expansion_Data[[#This Row],[Tier]],"Inactive")</f>
        <v>Elite</v>
      </c>
    </row>
    <row r="1997" spans="1:8" x14ac:dyDescent="0.2">
      <c r="A1997">
        <v>2996</v>
      </c>
      <c r="B1997" t="s">
        <v>9</v>
      </c>
      <c r="C1997" t="s">
        <v>12</v>
      </c>
      <c r="D1997" s="1">
        <v>45605</v>
      </c>
      <c r="E1997">
        <v>89</v>
      </c>
      <c r="F1997">
        <v>0</v>
      </c>
      <c r="G1997">
        <f>IF(Gym_Expansion_Data[[#This Row],[Churned]]=0,1,0)</f>
        <v>1</v>
      </c>
      <c r="H1997" t="str">
        <f>IF(Gym_Expansion_Data[[#This Row],[Active Member]]=1,Gym_Expansion_Data[[#This Row],[Tier]],"Inactive")</f>
        <v>Premium</v>
      </c>
    </row>
    <row r="1998" spans="1:8" x14ac:dyDescent="0.2">
      <c r="A1998">
        <v>2997</v>
      </c>
      <c r="B1998" t="s">
        <v>9</v>
      </c>
      <c r="C1998" t="s">
        <v>7</v>
      </c>
      <c r="D1998" s="1">
        <v>45358</v>
      </c>
      <c r="E1998">
        <v>49</v>
      </c>
      <c r="F1998">
        <v>0</v>
      </c>
      <c r="G1998">
        <f>IF(Gym_Expansion_Data[[#This Row],[Churned]]=0,1,0)</f>
        <v>1</v>
      </c>
      <c r="H1998" t="str">
        <f>IF(Gym_Expansion_Data[[#This Row],[Active Member]]=1,Gym_Expansion_Data[[#This Row],[Tier]],"Inactive")</f>
        <v>Basic</v>
      </c>
    </row>
    <row r="1999" spans="1:8" x14ac:dyDescent="0.2">
      <c r="A1999">
        <v>2998</v>
      </c>
      <c r="B1999" t="s">
        <v>9</v>
      </c>
      <c r="C1999" t="s">
        <v>8</v>
      </c>
      <c r="D1999" s="1">
        <v>45934</v>
      </c>
      <c r="E1999">
        <v>129</v>
      </c>
      <c r="F1999">
        <v>0</v>
      </c>
      <c r="G1999">
        <f>IF(Gym_Expansion_Data[[#This Row],[Churned]]=0,1,0)</f>
        <v>1</v>
      </c>
      <c r="H1999" t="str">
        <f>IF(Gym_Expansion_Data[[#This Row],[Active Member]]=1,Gym_Expansion_Data[[#This Row],[Tier]],"Inactive")</f>
        <v>Elite</v>
      </c>
    </row>
    <row r="2000" spans="1:8" x14ac:dyDescent="0.2">
      <c r="A2000">
        <v>2999</v>
      </c>
      <c r="B2000" t="s">
        <v>9</v>
      </c>
      <c r="C2000" t="s">
        <v>12</v>
      </c>
      <c r="D2000" s="1">
        <v>45584</v>
      </c>
      <c r="E2000">
        <v>89</v>
      </c>
      <c r="F2000">
        <v>0</v>
      </c>
      <c r="G2000">
        <f>IF(Gym_Expansion_Data[[#This Row],[Churned]]=0,1,0)</f>
        <v>1</v>
      </c>
      <c r="H2000" t="str">
        <f>IF(Gym_Expansion_Data[[#This Row],[Active Member]]=1,Gym_Expansion_Data[[#This Row],[Tier]],"Inactive")</f>
        <v>Premium</v>
      </c>
    </row>
    <row r="2001" spans="1:8" x14ac:dyDescent="0.2">
      <c r="A2001">
        <v>3000</v>
      </c>
      <c r="B2001" t="s">
        <v>6</v>
      </c>
      <c r="C2001" t="s">
        <v>7</v>
      </c>
      <c r="D2001" s="1">
        <v>45440</v>
      </c>
      <c r="E2001">
        <v>49</v>
      </c>
      <c r="F2001">
        <v>1</v>
      </c>
      <c r="G2001">
        <f>IF(Gym_Expansion_Data[[#This Row],[Churned]]=0,1,0)</f>
        <v>0</v>
      </c>
      <c r="H2001" t="str">
        <f>IF(Gym_Expansion_Data[[#This Row],[Active Member]]=1,Gym_Expansion_Data[[#This Row],[Tier]],"Inactive")</f>
        <v>Inactive</v>
      </c>
    </row>
    <row r="2002" spans="1:8" x14ac:dyDescent="0.2">
      <c r="A2002">
        <v>3001</v>
      </c>
      <c r="B2002" t="s">
        <v>6</v>
      </c>
      <c r="C2002" t="s">
        <v>7</v>
      </c>
      <c r="D2002" s="1">
        <v>45406</v>
      </c>
      <c r="E2002">
        <v>49</v>
      </c>
      <c r="F2002">
        <v>0</v>
      </c>
      <c r="G2002">
        <f>IF(Gym_Expansion_Data[[#This Row],[Churned]]=0,1,0)</f>
        <v>1</v>
      </c>
      <c r="H2002" t="str">
        <f>IF(Gym_Expansion_Data[[#This Row],[Active Member]]=1,Gym_Expansion_Data[[#This Row],[Tier]],"Inactive")</f>
        <v>Basic</v>
      </c>
    </row>
    <row r="2003" spans="1:8" x14ac:dyDescent="0.2">
      <c r="A2003">
        <v>3002</v>
      </c>
      <c r="B2003" t="s">
        <v>11</v>
      </c>
      <c r="C2003" t="s">
        <v>7</v>
      </c>
      <c r="D2003" s="1">
        <v>45928</v>
      </c>
      <c r="E2003">
        <v>49</v>
      </c>
      <c r="F2003">
        <v>0</v>
      </c>
      <c r="G2003">
        <f>IF(Gym_Expansion_Data[[#This Row],[Churned]]=0,1,0)</f>
        <v>1</v>
      </c>
      <c r="H2003" t="str">
        <f>IF(Gym_Expansion_Data[[#This Row],[Active Member]]=1,Gym_Expansion_Data[[#This Row],[Tier]],"Inactive")</f>
        <v>Basic</v>
      </c>
    </row>
    <row r="2004" spans="1:8" x14ac:dyDescent="0.2">
      <c r="A2004">
        <v>3003</v>
      </c>
      <c r="B2004" t="s">
        <v>10</v>
      </c>
      <c r="C2004" t="s">
        <v>8</v>
      </c>
      <c r="D2004" s="1">
        <v>45876</v>
      </c>
      <c r="E2004">
        <v>129</v>
      </c>
      <c r="F2004">
        <v>0</v>
      </c>
      <c r="G2004">
        <f>IF(Gym_Expansion_Data[[#This Row],[Churned]]=0,1,0)</f>
        <v>1</v>
      </c>
      <c r="H2004" t="str">
        <f>IF(Gym_Expansion_Data[[#This Row],[Active Member]]=1,Gym_Expansion_Data[[#This Row],[Tier]],"Inactive")</f>
        <v>Elite</v>
      </c>
    </row>
    <row r="2005" spans="1:8" x14ac:dyDescent="0.2">
      <c r="A2005">
        <v>3004</v>
      </c>
      <c r="B2005" t="s">
        <v>6</v>
      </c>
      <c r="C2005" t="s">
        <v>7</v>
      </c>
      <c r="D2005" s="1">
        <v>45771</v>
      </c>
      <c r="E2005">
        <v>49</v>
      </c>
      <c r="F2005">
        <v>0</v>
      </c>
      <c r="G2005">
        <f>IF(Gym_Expansion_Data[[#This Row],[Churned]]=0,1,0)</f>
        <v>1</v>
      </c>
      <c r="H2005" t="str">
        <f>IF(Gym_Expansion_Data[[#This Row],[Active Member]]=1,Gym_Expansion_Data[[#This Row],[Tier]],"Inactive")</f>
        <v>Basic</v>
      </c>
    </row>
    <row r="2006" spans="1:8" x14ac:dyDescent="0.2">
      <c r="A2006">
        <v>3005</v>
      </c>
      <c r="B2006" t="s">
        <v>6</v>
      </c>
      <c r="C2006" t="s">
        <v>12</v>
      </c>
      <c r="D2006" s="1">
        <v>45452</v>
      </c>
      <c r="E2006">
        <v>89</v>
      </c>
      <c r="F2006">
        <v>0</v>
      </c>
      <c r="G2006">
        <f>IF(Gym_Expansion_Data[[#This Row],[Churned]]=0,1,0)</f>
        <v>1</v>
      </c>
      <c r="H2006" t="str">
        <f>IF(Gym_Expansion_Data[[#This Row],[Active Member]]=1,Gym_Expansion_Data[[#This Row],[Tier]],"Inactive")</f>
        <v>Premium</v>
      </c>
    </row>
    <row r="2007" spans="1:8" x14ac:dyDescent="0.2">
      <c r="A2007">
        <v>3006</v>
      </c>
      <c r="B2007" t="s">
        <v>10</v>
      </c>
      <c r="C2007" t="s">
        <v>7</v>
      </c>
      <c r="D2007" s="1">
        <v>45338</v>
      </c>
      <c r="E2007">
        <v>49</v>
      </c>
      <c r="F2007">
        <v>0</v>
      </c>
      <c r="G2007">
        <f>IF(Gym_Expansion_Data[[#This Row],[Churned]]=0,1,0)</f>
        <v>1</v>
      </c>
      <c r="H2007" t="str">
        <f>IF(Gym_Expansion_Data[[#This Row],[Active Member]]=1,Gym_Expansion_Data[[#This Row],[Tier]],"Inactive")</f>
        <v>Basic</v>
      </c>
    </row>
    <row r="2008" spans="1:8" x14ac:dyDescent="0.2">
      <c r="A2008">
        <v>3007</v>
      </c>
      <c r="B2008" t="s">
        <v>10</v>
      </c>
      <c r="C2008" t="s">
        <v>7</v>
      </c>
      <c r="D2008" s="1">
        <v>45412</v>
      </c>
      <c r="E2008">
        <v>49</v>
      </c>
      <c r="F2008">
        <v>0</v>
      </c>
      <c r="G2008">
        <f>IF(Gym_Expansion_Data[[#This Row],[Churned]]=0,1,0)</f>
        <v>1</v>
      </c>
      <c r="H2008" t="str">
        <f>IF(Gym_Expansion_Data[[#This Row],[Active Member]]=1,Gym_Expansion_Data[[#This Row],[Tier]],"Inactive")</f>
        <v>Basic</v>
      </c>
    </row>
    <row r="2009" spans="1:8" x14ac:dyDescent="0.2">
      <c r="A2009">
        <v>3008</v>
      </c>
      <c r="B2009" t="s">
        <v>6</v>
      </c>
      <c r="C2009" t="s">
        <v>7</v>
      </c>
      <c r="D2009" s="1">
        <v>45347</v>
      </c>
      <c r="E2009">
        <v>49</v>
      </c>
      <c r="F2009">
        <v>1</v>
      </c>
      <c r="G2009">
        <f>IF(Gym_Expansion_Data[[#This Row],[Churned]]=0,1,0)</f>
        <v>0</v>
      </c>
      <c r="H2009" t="str">
        <f>IF(Gym_Expansion_Data[[#This Row],[Active Member]]=1,Gym_Expansion_Data[[#This Row],[Tier]],"Inactive")</f>
        <v>Inactive</v>
      </c>
    </row>
    <row r="2010" spans="1:8" x14ac:dyDescent="0.2">
      <c r="A2010">
        <v>3009</v>
      </c>
      <c r="B2010" t="s">
        <v>9</v>
      </c>
      <c r="C2010" t="s">
        <v>7</v>
      </c>
      <c r="D2010" s="1">
        <v>45644</v>
      </c>
      <c r="E2010">
        <v>49</v>
      </c>
      <c r="F2010">
        <v>1</v>
      </c>
      <c r="G2010">
        <f>IF(Gym_Expansion_Data[[#This Row],[Churned]]=0,1,0)</f>
        <v>0</v>
      </c>
      <c r="H2010" t="str">
        <f>IF(Gym_Expansion_Data[[#This Row],[Active Member]]=1,Gym_Expansion_Data[[#This Row],[Tier]],"Inactive")</f>
        <v>Inactive</v>
      </c>
    </row>
    <row r="2011" spans="1:8" x14ac:dyDescent="0.2">
      <c r="A2011">
        <v>3010</v>
      </c>
      <c r="B2011" t="s">
        <v>11</v>
      </c>
      <c r="C2011" t="s">
        <v>7</v>
      </c>
      <c r="D2011" s="1">
        <v>45844</v>
      </c>
      <c r="E2011">
        <v>49</v>
      </c>
      <c r="F2011">
        <v>0</v>
      </c>
      <c r="G2011">
        <f>IF(Gym_Expansion_Data[[#This Row],[Churned]]=0,1,0)</f>
        <v>1</v>
      </c>
      <c r="H2011" t="str">
        <f>IF(Gym_Expansion_Data[[#This Row],[Active Member]]=1,Gym_Expansion_Data[[#This Row],[Tier]],"Inactive")</f>
        <v>Basic</v>
      </c>
    </row>
    <row r="2012" spans="1:8" x14ac:dyDescent="0.2">
      <c r="A2012">
        <v>3011</v>
      </c>
      <c r="B2012" t="s">
        <v>9</v>
      </c>
      <c r="C2012" t="s">
        <v>12</v>
      </c>
      <c r="D2012" s="1">
        <v>45500</v>
      </c>
      <c r="E2012">
        <v>89</v>
      </c>
      <c r="F2012">
        <v>0</v>
      </c>
      <c r="G2012">
        <f>IF(Gym_Expansion_Data[[#This Row],[Churned]]=0,1,0)</f>
        <v>1</v>
      </c>
      <c r="H2012" t="str">
        <f>IF(Gym_Expansion_Data[[#This Row],[Active Member]]=1,Gym_Expansion_Data[[#This Row],[Tier]],"Inactive")</f>
        <v>Premium</v>
      </c>
    </row>
    <row r="2013" spans="1:8" x14ac:dyDescent="0.2">
      <c r="A2013">
        <v>3012</v>
      </c>
      <c r="B2013" t="s">
        <v>9</v>
      </c>
      <c r="C2013" t="s">
        <v>7</v>
      </c>
      <c r="D2013" s="1">
        <v>45966</v>
      </c>
      <c r="E2013">
        <v>49</v>
      </c>
      <c r="F2013">
        <v>0</v>
      </c>
      <c r="G2013">
        <f>IF(Gym_Expansion_Data[[#This Row],[Churned]]=0,1,0)</f>
        <v>1</v>
      </c>
      <c r="H2013" t="str">
        <f>IF(Gym_Expansion_Data[[#This Row],[Active Member]]=1,Gym_Expansion_Data[[#This Row],[Tier]],"Inactive")</f>
        <v>Basic</v>
      </c>
    </row>
    <row r="2014" spans="1:8" x14ac:dyDescent="0.2">
      <c r="A2014">
        <v>3013</v>
      </c>
      <c r="B2014" t="s">
        <v>11</v>
      </c>
      <c r="C2014" t="s">
        <v>7</v>
      </c>
      <c r="D2014" s="1">
        <v>45315</v>
      </c>
      <c r="E2014">
        <v>49</v>
      </c>
      <c r="F2014">
        <v>0</v>
      </c>
      <c r="G2014">
        <f>IF(Gym_Expansion_Data[[#This Row],[Churned]]=0,1,0)</f>
        <v>1</v>
      </c>
      <c r="H2014" t="str">
        <f>IF(Gym_Expansion_Data[[#This Row],[Active Member]]=1,Gym_Expansion_Data[[#This Row],[Tier]],"Inactive")</f>
        <v>Basic</v>
      </c>
    </row>
    <row r="2015" spans="1:8" x14ac:dyDescent="0.2">
      <c r="A2015">
        <v>3014</v>
      </c>
      <c r="B2015" t="s">
        <v>10</v>
      </c>
      <c r="C2015" t="s">
        <v>12</v>
      </c>
      <c r="D2015" s="1">
        <v>45596</v>
      </c>
      <c r="E2015">
        <v>89</v>
      </c>
      <c r="F2015">
        <v>1</v>
      </c>
      <c r="G2015">
        <f>IF(Gym_Expansion_Data[[#This Row],[Churned]]=0,1,0)</f>
        <v>0</v>
      </c>
      <c r="H2015" t="str">
        <f>IF(Gym_Expansion_Data[[#This Row],[Active Member]]=1,Gym_Expansion_Data[[#This Row],[Tier]],"Inactive")</f>
        <v>Inactive</v>
      </c>
    </row>
    <row r="2016" spans="1:8" x14ac:dyDescent="0.2">
      <c r="A2016">
        <v>3015</v>
      </c>
      <c r="B2016" t="s">
        <v>9</v>
      </c>
      <c r="C2016" t="s">
        <v>7</v>
      </c>
      <c r="D2016" s="1">
        <v>45306</v>
      </c>
      <c r="E2016">
        <v>49</v>
      </c>
      <c r="F2016">
        <v>1</v>
      </c>
      <c r="G2016">
        <f>IF(Gym_Expansion_Data[[#This Row],[Churned]]=0,1,0)</f>
        <v>0</v>
      </c>
      <c r="H2016" t="str">
        <f>IF(Gym_Expansion_Data[[#This Row],[Active Member]]=1,Gym_Expansion_Data[[#This Row],[Tier]],"Inactive")</f>
        <v>Inactive</v>
      </c>
    </row>
    <row r="2017" spans="1:8" x14ac:dyDescent="0.2">
      <c r="A2017">
        <v>3016</v>
      </c>
      <c r="B2017" t="s">
        <v>6</v>
      </c>
      <c r="C2017" t="s">
        <v>7</v>
      </c>
      <c r="D2017" s="1">
        <v>45544</v>
      </c>
      <c r="E2017">
        <v>49</v>
      </c>
      <c r="F2017">
        <v>0</v>
      </c>
      <c r="G2017">
        <f>IF(Gym_Expansion_Data[[#This Row],[Churned]]=0,1,0)</f>
        <v>1</v>
      </c>
      <c r="H2017" t="str">
        <f>IF(Gym_Expansion_Data[[#This Row],[Active Member]]=1,Gym_Expansion_Data[[#This Row],[Tier]],"Inactive")</f>
        <v>Basic</v>
      </c>
    </row>
    <row r="2018" spans="1:8" x14ac:dyDescent="0.2">
      <c r="A2018">
        <v>3017</v>
      </c>
      <c r="B2018" t="s">
        <v>9</v>
      </c>
      <c r="C2018" t="s">
        <v>7</v>
      </c>
      <c r="D2018" s="1">
        <v>45746</v>
      </c>
      <c r="E2018">
        <v>49</v>
      </c>
      <c r="F2018">
        <v>0</v>
      </c>
      <c r="G2018">
        <f>IF(Gym_Expansion_Data[[#This Row],[Churned]]=0,1,0)</f>
        <v>1</v>
      </c>
      <c r="H2018" t="str">
        <f>IF(Gym_Expansion_Data[[#This Row],[Active Member]]=1,Gym_Expansion_Data[[#This Row],[Tier]],"Inactive")</f>
        <v>Basic</v>
      </c>
    </row>
    <row r="2019" spans="1:8" x14ac:dyDescent="0.2">
      <c r="A2019">
        <v>3018</v>
      </c>
      <c r="B2019" t="s">
        <v>10</v>
      </c>
      <c r="C2019" t="s">
        <v>7</v>
      </c>
      <c r="D2019" s="1">
        <v>45691</v>
      </c>
      <c r="E2019">
        <v>49</v>
      </c>
      <c r="F2019">
        <v>0</v>
      </c>
      <c r="G2019">
        <f>IF(Gym_Expansion_Data[[#This Row],[Churned]]=0,1,0)</f>
        <v>1</v>
      </c>
      <c r="H2019" t="str">
        <f>IF(Gym_Expansion_Data[[#This Row],[Active Member]]=1,Gym_Expansion_Data[[#This Row],[Tier]],"Inactive")</f>
        <v>Basic</v>
      </c>
    </row>
    <row r="2020" spans="1:8" x14ac:dyDescent="0.2">
      <c r="A2020">
        <v>3019</v>
      </c>
      <c r="B2020" t="s">
        <v>10</v>
      </c>
      <c r="C2020" t="s">
        <v>12</v>
      </c>
      <c r="D2020" s="1">
        <v>45798</v>
      </c>
      <c r="E2020">
        <v>89</v>
      </c>
      <c r="F2020">
        <v>0</v>
      </c>
      <c r="G2020">
        <f>IF(Gym_Expansion_Data[[#This Row],[Churned]]=0,1,0)</f>
        <v>1</v>
      </c>
      <c r="H2020" t="str">
        <f>IF(Gym_Expansion_Data[[#This Row],[Active Member]]=1,Gym_Expansion_Data[[#This Row],[Tier]],"Inactive")</f>
        <v>Premium</v>
      </c>
    </row>
    <row r="2021" spans="1:8" x14ac:dyDescent="0.2">
      <c r="A2021">
        <v>3020</v>
      </c>
      <c r="B2021" t="s">
        <v>6</v>
      </c>
      <c r="C2021" t="s">
        <v>8</v>
      </c>
      <c r="D2021" s="1">
        <v>45815</v>
      </c>
      <c r="E2021">
        <v>129</v>
      </c>
      <c r="F2021">
        <v>0</v>
      </c>
      <c r="G2021">
        <f>IF(Gym_Expansion_Data[[#This Row],[Churned]]=0,1,0)</f>
        <v>1</v>
      </c>
      <c r="H2021" t="str">
        <f>IF(Gym_Expansion_Data[[#This Row],[Active Member]]=1,Gym_Expansion_Data[[#This Row],[Tier]],"Inactive")</f>
        <v>Elite</v>
      </c>
    </row>
    <row r="2022" spans="1:8" x14ac:dyDescent="0.2">
      <c r="A2022">
        <v>3021</v>
      </c>
      <c r="B2022" t="s">
        <v>11</v>
      </c>
      <c r="C2022" t="s">
        <v>7</v>
      </c>
      <c r="D2022" s="1">
        <v>45329</v>
      </c>
      <c r="E2022">
        <v>49</v>
      </c>
      <c r="F2022">
        <v>0</v>
      </c>
      <c r="G2022">
        <f>IF(Gym_Expansion_Data[[#This Row],[Churned]]=0,1,0)</f>
        <v>1</v>
      </c>
      <c r="H2022" t="str">
        <f>IF(Gym_Expansion_Data[[#This Row],[Active Member]]=1,Gym_Expansion_Data[[#This Row],[Tier]],"Inactive")</f>
        <v>Basic</v>
      </c>
    </row>
    <row r="2023" spans="1:8" x14ac:dyDescent="0.2">
      <c r="A2023">
        <v>3022</v>
      </c>
      <c r="B2023" t="s">
        <v>11</v>
      </c>
      <c r="C2023" t="s">
        <v>7</v>
      </c>
      <c r="D2023" s="1">
        <v>45309</v>
      </c>
      <c r="E2023">
        <v>49</v>
      </c>
      <c r="F2023">
        <v>0</v>
      </c>
      <c r="G2023">
        <f>IF(Gym_Expansion_Data[[#This Row],[Churned]]=0,1,0)</f>
        <v>1</v>
      </c>
      <c r="H2023" t="str">
        <f>IF(Gym_Expansion_Data[[#This Row],[Active Member]]=1,Gym_Expansion_Data[[#This Row],[Tier]],"Inactive")</f>
        <v>Basic</v>
      </c>
    </row>
    <row r="2024" spans="1:8" x14ac:dyDescent="0.2">
      <c r="A2024">
        <v>3023</v>
      </c>
      <c r="B2024" t="s">
        <v>11</v>
      </c>
      <c r="C2024" t="s">
        <v>8</v>
      </c>
      <c r="D2024" s="1">
        <v>45321</v>
      </c>
      <c r="E2024">
        <v>129</v>
      </c>
      <c r="F2024">
        <v>0</v>
      </c>
      <c r="G2024">
        <f>IF(Gym_Expansion_Data[[#This Row],[Churned]]=0,1,0)</f>
        <v>1</v>
      </c>
      <c r="H2024" t="str">
        <f>IF(Gym_Expansion_Data[[#This Row],[Active Member]]=1,Gym_Expansion_Data[[#This Row],[Tier]],"Inactive")</f>
        <v>Elite</v>
      </c>
    </row>
    <row r="2025" spans="1:8" x14ac:dyDescent="0.2">
      <c r="A2025">
        <v>3024</v>
      </c>
      <c r="B2025" t="s">
        <v>9</v>
      </c>
      <c r="C2025" t="s">
        <v>12</v>
      </c>
      <c r="D2025" s="1">
        <v>45458</v>
      </c>
      <c r="E2025">
        <v>89</v>
      </c>
      <c r="F2025">
        <v>0</v>
      </c>
      <c r="G2025">
        <f>IF(Gym_Expansion_Data[[#This Row],[Churned]]=0,1,0)</f>
        <v>1</v>
      </c>
      <c r="H2025" t="str">
        <f>IF(Gym_Expansion_Data[[#This Row],[Active Member]]=1,Gym_Expansion_Data[[#This Row],[Tier]],"Inactive")</f>
        <v>Premium</v>
      </c>
    </row>
    <row r="2026" spans="1:8" x14ac:dyDescent="0.2">
      <c r="A2026">
        <v>3025</v>
      </c>
      <c r="B2026" t="s">
        <v>6</v>
      </c>
      <c r="C2026" t="s">
        <v>12</v>
      </c>
      <c r="D2026" s="1">
        <v>45865</v>
      </c>
      <c r="E2026">
        <v>89</v>
      </c>
      <c r="F2026">
        <v>0</v>
      </c>
      <c r="G2026">
        <f>IF(Gym_Expansion_Data[[#This Row],[Churned]]=0,1,0)</f>
        <v>1</v>
      </c>
      <c r="H2026" t="str">
        <f>IF(Gym_Expansion_Data[[#This Row],[Active Member]]=1,Gym_Expansion_Data[[#This Row],[Tier]],"Inactive")</f>
        <v>Premium</v>
      </c>
    </row>
    <row r="2027" spans="1:8" x14ac:dyDescent="0.2">
      <c r="A2027">
        <v>3026</v>
      </c>
      <c r="B2027" t="s">
        <v>10</v>
      </c>
      <c r="C2027" t="s">
        <v>12</v>
      </c>
      <c r="D2027" s="1">
        <v>45684</v>
      </c>
      <c r="E2027">
        <v>89</v>
      </c>
      <c r="F2027">
        <v>1</v>
      </c>
      <c r="G2027">
        <f>IF(Gym_Expansion_Data[[#This Row],[Churned]]=0,1,0)</f>
        <v>0</v>
      </c>
      <c r="H2027" t="str">
        <f>IF(Gym_Expansion_Data[[#This Row],[Active Member]]=1,Gym_Expansion_Data[[#This Row],[Tier]],"Inactive")</f>
        <v>Inactive</v>
      </c>
    </row>
    <row r="2028" spans="1:8" x14ac:dyDescent="0.2">
      <c r="A2028">
        <v>3027</v>
      </c>
      <c r="B2028" t="s">
        <v>9</v>
      </c>
      <c r="C2028" t="s">
        <v>7</v>
      </c>
      <c r="D2028" s="1">
        <v>45647</v>
      </c>
      <c r="E2028">
        <v>49</v>
      </c>
      <c r="F2028">
        <v>0</v>
      </c>
      <c r="G2028">
        <f>IF(Gym_Expansion_Data[[#This Row],[Churned]]=0,1,0)</f>
        <v>1</v>
      </c>
      <c r="H2028" t="str">
        <f>IF(Gym_Expansion_Data[[#This Row],[Active Member]]=1,Gym_Expansion_Data[[#This Row],[Tier]],"Inactive")</f>
        <v>Basic</v>
      </c>
    </row>
    <row r="2029" spans="1:8" x14ac:dyDescent="0.2">
      <c r="A2029">
        <v>3028</v>
      </c>
      <c r="B2029" t="s">
        <v>11</v>
      </c>
      <c r="C2029" t="s">
        <v>7</v>
      </c>
      <c r="D2029" s="1">
        <v>45316</v>
      </c>
      <c r="E2029">
        <v>49</v>
      </c>
      <c r="F2029">
        <v>0</v>
      </c>
      <c r="G2029">
        <f>IF(Gym_Expansion_Data[[#This Row],[Churned]]=0,1,0)</f>
        <v>1</v>
      </c>
      <c r="H2029" t="str">
        <f>IF(Gym_Expansion_Data[[#This Row],[Active Member]]=1,Gym_Expansion_Data[[#This Row],[Tier]],"Inactive")</f>
        <v>Basic</v>
      </c>
    </row>
    <row r="2030" spans="1:8" x14ac:dyDescent="0.2">
      <c r="A2030">
        <v>3029</v>
      </c>
      <c r="B2030" t="s">
        <v>10</v>
      </c>
      <c r="C2030" t="s">
        <v>7</v>
      </c>
      <c r="D2030" s="1">
        <v>45621</v>
      </c>
      <c r="E2030">
        <v>49</v>
      </c>
      <c r="F2030">
        <v>1</v>
      </c>
      <c r="G2030">
        <f>IF(Gym_Expansion_Data[[#This Row],[Churned]]=0,1,0)</f>
        <v>0</v>
      </c>
      <c r="H2030" t="str">
        <f>IF(Gym_Expansion_Data[[#This Row],[Active Member]]=1,Gym_Expansion_Data[[#This Row],[Tier]],"Inactive")</f>
        <v>Inactive</v>
      </c>
    </row>
    <row r="2031" spans="1:8" x14ac:dyDescent="0.2">
      <c r="A2031">
        <v>3030</v>
      </c>
      <c r="B2031" t="s">
        <v>6</v>
      </c>
      <c r="C2031" t="s">
        <v>7</v>
      </c>
      <c r="D2031" s="1">
        <v>45932</v>
      </c>
      <c r="E2031">
        <v>49</v>
      </c>
      <c r="F2031">
        <v>0</v>
      </c>
      <c r="G2031">
        <f>IF(Gym_Expansion_Data[[#This Row],[Churned]]=0,1,0)</f>
        <v>1</v>
      </c>
      <c r="H2031" t="str">
        <f>IF(Gym_Expansion_Data[[#This Row],[Active Member]]=1,Gym_Expansion_Data[[#This Row],[Tier]],"Inactive")</f>
        <v>Basic</v>
      </c>
    </row>
    <row r="2032" spans="1:8" x14ac:dyDescent="0.2">
      <c r="A2032">
        <v>3031</v>
      </c>
      <c r="B2032" t="s">
        <v>9</v>
      </c>
      <c r="C2032" t="s">
        <v>12</v>
      </c>
      <c r="D2032" s="1">
        <v>45844</v>
      </c>
      <c r="E2032">
        <v>89</v>
      </c>
      <c r="F2032">
        <v>0</v>
      </c>
      <c r="G2032">
        <f>IF(Gym_Expansion_Data[[#This Row],[Churned]]=0,1,0)</f>
        <v>1</v>
      </c>
      <c r="H2032" t="str">
        <f>IF(Gym_Expansion_Data[[#This Row],[Active Member]]=1,Gym_Expansion_Data[[#This Row],[Tier]],"Inactive")</f>
        <v>Premium</v>
      </c>
    </row>
    <row r="2033" spans="1:8" x14ac:dyDescent="0.2">
      <c r="A2033">
        <v>3032</v>
      </c>
      <c r="B2033" t="s">
        <v>9</v>
      </c>
      <c r="C2033" t="s">
        <v>7</v>
      </c>
      <c r="D2033" s="1">
        <v>45522</v>
      </c>
      <c r="E2033">
        <v>49</v>
      </c>
      <c r="F2033">
        <v>0</v>
      </c>
      <c r="G2033">
        <f>IF(Gym_Expansion_Data[[#This Row],[Churned]]=0,1,0)</f>
        <v>1</v>
      </c>
      <c r="H2033" t="str">
        <f>IF(Gym_Expansion_Data[[#This Row],[Active Member]]=1,Gym_Expansion_Data[[#This Row],[Tier]],"Inactive")</f>
        <v>Basic</v>
      </c>
    </row>
    <row r="2034" spans="1:8" x14ac:dyDescent="0.2">
      <c r="A2034">
        <v>3033</v>
      </c>
      <c r="B2034" t="s">
        <v>9</v>
      </c>
      <c r="C2034" t="s">
        <v>12</v>
      </c>
      <c r="D2034" s="1">
        <v>45481</v>
      </c>
      <c r="E2034">
        <v>89</v>
      </c>
      <c r="F2034">
        <v>0</v>
      </c>
      <c r="G2034">
        <f>IF(Gym_Expansion_Data[[#This Row],[Churned]]=0,1,0)</f>
        <v>1</v>
      </c>
      <c r="H2034" t="str">
        <f>IF(Gym_Expansion_Data[[#This Row],[Active Member]]=1,Gym_Expansion_Data[[#This Row],[Tier]],"Inactive")</f>
        <v>Premium</v>
      </c>
    </row>
    <row r="2035" spans="1:8" x14ac:dyDescent="0.2">
      <c r="A2035">
        <v>3034</v>
      </c>
      <c r="B2035" t="s">
        <v>9</v>
      </c>
      <c r="C2035" t="s">
        <v>7</v>
      </c>
      <c r="D2035" s="1">
        <v>45721</v>
      </c>
      <c r="E2035">
        <v>49</v>
      </c>
      <c r="F2035">
        <v>0</v>
      </c>
      <c r="G2035">
        <f>IF(Gym_Expansion_Data[[#This Row],[Churned]]=0,1,0)</f>
        <v>1</v>
      </c>
      <c r="H2035" t="str">
        <f>IF(Gym_Expansion_Data[[#This Row],[Active Member]]=1,Gym_Expansion_Data[[#This Row],[Tier]],"Inactive")</f>
        <v>Basic</v>
      </c>
    </row>
    <row r="2036" spans="1:8" x14ac:dyDescent="0.2">
      <c r="A2036">
        <v>3035</v>
      </c>
      <c r="B2036" t="s">
        <v>9</v>
      </c>
      <c r="C2036" t="s">
        <v>7</v>
      </c>
      <c r="D2036" s="1">
        <v>45626</v>
      </c>
      <c r="E2036">
        <v>49</v>
      </c>
      <c r="F2036">
        <v>0</v>
      </c>
      <c r="G2036">
        <f>IF(Gym_Expansion_Data[[#This Row],[Churned]]=0,1,0)</f>
        <v>1</v>
      </c>
      <c r="H2036" t="str">
        <f>IF(Gym_Expansion_Data[[#This Row],[Active Member]]=1,Gym_Expansion_Data[[#This Row],[Tier]],"Inactive")</f>
        <v>Basic</v>
      </c>
    </row>
    <row r="2037" spans="1:8" x14ac:dyDescent="0.2">
      <c r="A2037">
        <v>3036</v>
      </c>
      <c r="B2037" t="s">
        <v>9</v>
      </c>
      <c r="C2037" t="s">
        <v>7</v>
      </c>
      <c r="D2037" s="1">
        <v>45729</v>
      </c>
      <c r="E2037">
        <v>49</v>
      </c>
      <c r="F2037">
        <v>1</v>
      </c>
      <c r="G2037">
        <f>IF(Gym_Expansion_Data[[#This Row],[Churned]]=0,1,0)</f>
        <v>0</v>
      </c>
      <c r="H2037" t="str">
        <f>IF(Gym_Expansion_Data[[#This Row],[Active Member]]=1,Gym_Expansion_Data[[#This Row],[Tier]],"Inactive")</f>
        <v>Inactive</v>
      </c>
    </row>
    <row r="2038" spans="1:8" x14ac:dyDescent="0.2">
      <c r="A2038">
        <v>3037</v>
      </c>
      <c r="B2038" t="s">
        <v>11</v>
      </c>
      <c r="C2038" t="s">
        <v>7</v>
      </c>
      <c r="D2038" s="1">
        <v>45916</v>
      </c>
      <c r="E2038">
        <v>49</v>
      </c>
      <c r="F2038">
        <v>0</v>
      </c>
      <c r="G2038">
        <f>IF(Gym_Expansion_Data[[#This Row],[Churned]]=0,1,0)</f>
        <v>1</v>
      </c>
      <c r="H2038" t="str">
        <f>IF(Gym_Expansion_Data[[#This Row],[Active Member]]=1,Gym_Expansion_Data[[#This Row],[Tier]],"Inactive")</f>
        <v>Basic</v>
      </c>
    </row>
    <row r="2039" spans="1:8" x14ac:dyDescent="0.2">
      <c r="A2039">
        <v>3038</v>
      </c>
      <c r="B2039" t="s">
        <v>9</v>
      </c>
      <c r="C2039" t="s">
        <v>7</v>
      </c>
      <c r="D2039" s="1">
        <v>45964</v>
      </c>
      <c r="E2039">
        <v>49</v>
      </c>
      <c r="F2039">
        <v>0</v>
      </c>
      <c r="G2039">
        <f>IF(Gym_Expansion_Data[[#This Row],[Churned]]=0,1,0)</f>
        <v>1</v>
      </c>
      <c r="H2039" t="str">
        <f>IF(Gym_Expansion_Data[[#This Row],[Active Member]]=1,Gym_Expansion_Data[[#This Row],[Tier]],"Inactive")</f>
        <v>Basic</v>
      </c>
    </row>
    <row r="2040" spans="1:8" x14ac:dyDescent="0.2">
      <c r="A2040">
        <v>3039</v>
      </c>
      <c r="B2040" t="s">
        <v>11</v>
      </c>
      <c r="C2040" t="s">
        <v>7</v>
      </c>
      <c r="D2040" s="1">
        <v>45853</v>
      </c>
      <c r="E2040">
        <v>49</v>
      </c>
      <c r="F2040">
        <v>0</v>
      </c>
      <c r="G2040">
        <f>IF(Gym_Expansion_Data[[#This Row],[Churned]]=0,1,0)</f>
        <v>1</v>
      </c>
      <c r="H2040" t="str">
        <f>IF(Gym_Expansion_Data[[#This Row],[Active Member]]=1,Gym_Expansion_Data[[#This Row],[Tier]],"Inactive")</f>
        <v>Basic</v>
      </c>
    </row>
    <row r="2041" spans="1:8" x14ac:dyDescent="0.2">
      <c r="A2041">
        <v>3040</v>
      </c>
      <c r="B2041" t="s">
        <v>9</v>
      </c>
      <c r="C2041" t="s">
        <v>8</v>
      </c>
      <c r="D2041" s="1">
        <v>45878</v>
      </c>
      <c r="E2041">
        <v>129</v>
      </c>
      <c r="F2041">
        <v>0</v>
      </c>
      <c r="G2041">
        <f>IF(Gym_Expansion_Data[[#This Row],[Churned]]=0,1,0)</f>
        <v>1</v>
      </c>
      <c r="H2041" t="str">
        <f>IF(Gym_Expansion_Data[[#This Row],[Active Member]]=1,Gym_Expansion_Data[[#This Row],[Tier]],"Inactive")</f>
        <v>Elite</v>
      </c>
    </row>
    <row r="2042" spans="1:8" x14ac:dyDescent="0.2">
      <c r="A2042">
        <v>3041</v>
      </c>
      <c r="B2042" t="s">
        <v>6</v>
      </c>
      <c r="C2042" t="s">
        <v>12</v>
      </c>
      <c r="D2042" s="1">
        <v>45791</v>
      </c>
      <c r="E2042">
        <v>89</v>
      </c>
      <c r="F2042">
        <v>0</v>
      </c>
      <c r="G2042">
        <f>IF(Gym_Expansion_Data[[#This Row],[Churned]]=0,1,0)</f>
        <v>1</v>
      </c>
      <c r="H2042" t="str">
        <f>IF(Gym_Expansion_Data[[#This Row],[Active Member]]=1,Gym_Expansion_Data[[#This Row],[Tier]],"Inactive")</f>
        <v>Premium</v>
      </c>
    </row>
    <row r="2043" spans="1:8" x14ac:dyDescent="0.2">
      <c r="A2043">
        <v>3042</v>
      </c>
      <c r="B2043" t="s">
        <v>9</v>
      </c>
      <c r="C2043" t="s">
        <v>7</v>
      </c>
      <c r="D2043" s="1">
        <v>45532</v>
      </c>
      <c r="E2043">
        <v>49</v>
      </c>
      <c r="F2043">
        <v>0</v>
      </c>
      <c r="G2043">
        <f>IF(Gym_Expansion_Data[[#This Row],[Churned]]=0,1,0)</f>
        <v>1</v>
      </c>
      <c r="H2043" t="str">
        <f>IF(Gym_Expansion_Data[[#This Row],[Active Member]]=1,Gym_Expansion_Data[[#This Row],[Tier]],"Inactive")</f>
        <v>Basic</v>
      </c>
    </row>
    <row r="2044" spans="1:8" x14ac:dyDescent="0.2">
      <c r="A2044">
        <v>3043</v>
      </c>
      <c r="B2044" t="s">
        <v>11</v>
      </c>
      <c r="C2044" t="s">
        <v>12</v>
      </c>
      <c r="D2044" s="1">
        <v>45657</v>
      </c>
      <c r="E2044">
        <v>89</v>
      </c>
      <c r="F2044">
        <v>0</v>
      </c>
      <c r="G2044">
        <f>IF(Gym_Expansion_Data[[#This Row],[Churned]]=0,1,0)</f>
        <v>1</v>
      </c>
      <c r="H2044" t="str">
        <f>IF(Gym_Expansion_Data[[#This Row],[Active Member]]=1,Gym_Expansion_Data[[#This Row],[Tier]],"Inactive")</f>
        <v>Premium</v>
      </c>
    </row>
    <row r="2045" spans="1:8" x14ac:dyDescent="0.2">
      <c r="A2045">
        <v>3044</v>
      </c>
      <c r="B2045" t="s">
        <v>10</v>
      </c>
      <c r="C2045" t="s">
        <v>7</v>
      </c>
      <c r="D2045" s="1">
        <v>45692</v>
      </c>
      <c r="E2045">
        <v>49</v>
      </c>
      <c r="F2045">
        <v>0</v>
      </c>
      <c r="G2045">
        <f>IF(Gym_Expansion_Data[[#This Row],[Churned]]=0,1,0)</f>
        <v>1</v>
      </c>
      <c r="H2045" t="str">
        <f>IF(Gym_Expansion_Data[[#This Row],[Active Member]]=1,Gym_Expansion_Data[[#This Row],[Tier]],"Inactive")</f>
        <v>Basic</v>
      </c>
    </row>
    <row r="2046" spans="1:8" x14ac:dyDescent="0.2">
      <c r="A2046">
        <v>3045</v>
      </c>
      <c r="B2046" t="s">
        <v>6</v>
      </c>
      <c r="C2046" t="s">
        <v>8</v>
      </c>
      <c r="D2046" s="1">
        <v>45306</v>
      </c>
      <c r="E2046">
        <v>129</v>
      </c>
      <c r="F2046">
        <v>0</v>
      </c>
      <c r="G2046">
        <f>IF(Gym_Expansion_Data[[#This Row],[Churned]]=0,1,0)</f>
        <v>1</v>
      </c>
      <c r="H2046" t="str">
        <f>IF(Gym_Expansion_Data[[#This Row],[Active Member]]=1,Gym_Expansion_Data[[#This Row],[Tier]],"Inactive")</f>
        <v>Elite</v>
      </c>
    </row>
    <row r="2047" spans="1:8" x14ac:dyDescent="0.2">
      <c r="A2047">
        <v>3046</v>
      </c>
      <c r="B2047" t="s">
        <v>10</v>
      </c>
      <c r="C2047" t="s">
        <v>7</v>
      </c>
      <c r="D2047" s="1">
        <v>45601</v>
      </c>
      <c r="E2047">
        <v>49</v>
      </c>
      <c r="F2047">
        <v>0</v>
      </c>
      <c r="G2047">
        <f>IF(Gym_Expansion_Data[[#This Row],[Churned]]=0,1,0)</f>
        <v>1</v>
      </c>
      <c r="H2047" t="str">
        <f>IF(Gym_Expansion_Data[[#This Row],[Active Member]]=1,Gym_Expansion_Data[[#This Row],[Tier]],"Inactive")</f>
        <v>Basic</v>
      </c>
    </row>
    <row r="2048" spans="1:8" x14ac:dyDescent="0.2">
      <c r="A2048">
        <v>3047</v>
      </c>
      <c r="B2048" t="s">
        <v>6</v>
      </c>
      <c r="C2048" t="s">
        <v>12</v>
      </c>
      <c r="D2048" s="1">
        <v>45581</v>
      </c>
      <c r="E2048">
        <v>89</v>
      </c>
      <c r="F2048">
        <v>0</v>
      </c>
      <c r="G2048">
        <f>IF(Gym_Expansion_Data[[#This Row],[Churned]]=0,1,0)</f>
        <v>1</v>
      </c>
      <c r="H2048" t="str">
        <f>IF(Gym_Expansion_Data[[#This Row],[Active Member]]=1,Gym_Expansion_Data[[#This Row],[Tier]],"Inactive")</f>
        <v>Premium</v>
      </c>
    </row>
    <row r="2049" spans="1:8" x14ac:dyDescent="0.2">
      <c r="A2049">
        <v>3048</v>
      </c>
      <c r="B2049" t="s">
        <v>9</v>
      </c>
      <c r="C2049" t="s">
        <v>12</v>
      </c>
      <c r="D2049" s="1">
        <v>45780</v>
      </c>
      <c r="E2049">
        <v>89</v>
      </c>
      <c r="F2049">
        <v>0</v>
      </c>
      <c r="G2049">
        <f>IF(Gym_Expansion_Data[[#This Row],[Churned]]=0,1,0)</f>
        <v>1</v>
      </c>
      <c r="H2049" t="str">
        <f>IF(Gym_Expansion_Data[[#This Row],[Active Member]]=1,Gym_Expansion_Data[[#This Row],[Tier]],"Inactive")</f>
        <v>Premium</v>
      </c>
    </row>
    <row r="2050" spans="1:8" x14ac:dyDescent="0.2">
      <c r="A2050">
        <v>3049</v>
      </c>
      <c r="B2050" t="s">
        <v>9</v>
      </c>
      <c r="C2050" t="s">
        <v>12</v>
      </c>
      <c r="D2050" s="1">
        <v>45732</v>
      </c>
      <c r="E2050">
        <v>89</v>
      </c>
      <c r="F2050">
        <v>0</v>
      </c>
      <c r="G2050">
        <f>IF(Gym_Expansion_Data[[#This Row],[Churned]]=0,1,0)</f>
        <v>1</v>
      </c>
      <c r="H2050" t="str">
        <f>IF(Gym_Expansion_Data[[#This Row],[Active Member]]=1,Gym_Expansion_Data[[#This Row],[Tier]],"Inactive")</f>
        <v>Premium</v>
      </c>
    </row>
    <row r="2051" spans="1:8" x14ac:dyDescent="0.2">
      <c r="A2051">
        <v>3050</v>
      </c>
      <c r="B2051" t="s">
        <v>11</v>
      </c>
      <c r="C2051" t="s">
        <v>12</v>
      </c>
      <c r="D2051" s="1">
        <v>45840</v>
      </c>
      <c r="E2051">
        <v>89</v>
      </c>
      <c r="F2051">
        <v>0</v>
      </c>
      <c r="G2051">
        <f>IF(Gym_Expansion_Data[[#This Row],[Churned]]=0,1,0)</f>
        <v>1</v>
      </c>
      <c r="H2051" t="str">
        <f>IF(Gym_Expansion_Data[[#This Row],[Active Member]]=1,Gym_Expansion_Data[[#This Row],[Tier]],"Inactive")</f>
        <v>Premium</v>
      </c>
    </row>
    <row r="2052" spans="1:8" x14ac:dyDescent="0.2">
      <c r="A2052">
        <v>3051</v>
      </c>
      <c r="B2052" t="s">
        <v>10</v>
      </c>
      <c r="C2052" t="s">
        <v>8</v>
      </c>
      <c r="D2052" s="1">
        <v>45778</v>
      </c>
      <c r="E2052">
        <v>129</v>
      </c>
      <c r="F2052">
        <v>0</v>
      </c>
      <c r="G2052">
        <f>IF(Gym_Expansion_Data[[#This Row],[Churned]]=0,1,0)</f>
        <v>1</v>
      </c>
      <c r="H2052" t="str">
        <f>IF(Gym_Expansion_Data[[#This Row],[Active Member]]=1,Gym_Expansion_Data[[#This Row],[Tier]],"Inactive")</f>
        <v>Elite</v>
      </c>
    </row>
    <row r="2053" spans="1:8" x14ac:dyDescent="0.2">
      <c r="A2053">
        <v>3052</v>
      </c>
      <c r="B2053" t="s">
        <v>10</v>
      </c>
      <c r="C2053" t="s">
        <v>7</v>
      </c>
      <c r="D2053" s="1">
        <v>45459</v>
      </c>
      <c r="E2053">
        <v>49</v>
      </c>
      <c r="F2053">
        <v>0</v>
      </c>
      <c r="G2053">
        <f>IF(Gym_Expansion_Data[[#This Row],[Churned]]=0,1,0)</f>
        <v>1</v>
      </c>
      <c r="H2053" t="str">
        <f>IF(Gym_Expansion_Data[[#This Row],[Active Member]]=1,Gym_Expansion_Data[[#This Row],[Tier]],"Inactive")</f>
        <v>Basic</v>
      </c>
    </row>
    <row r="2054" spans="1:8" x14ac:dyDescent="0.2">
      <c r="A2054">
        <v>3053</v>
      </c>
      <c r="B2054" t="s">
        <v>9</v>
      </c>
      <c r="C2054" t="s">
        <v>7</v>
      </c>
      <c r="D2054" s="1">
        <v>45599</v>
      </c>
      <c r="E2054">
        <v>49</v>
      </c>
      <c r="F2054">
        <v>1</v>
      </c>
      <c r="G2054">
        <f>IF(Gym_Expansion_Data[[#This Row],[Churned]]=0,1,0)</f>
        <v>0</v>
      </c>
      <c r="H2054" t="str">
        <f>IF(Gym_Expansion_Data[[#This Row],[Active Member]]=1,Gym_Expansion_Data[[#This Row],[Tier]],"Inactive")</f>
        <v>Inactive</v>
      </c>
    </row>
    <row r="2055" spans="1:8" x14ac:dyDescent="0.2">
      <c r="A2055">
        <v>3054</v>
      </c>
      <c r="B2055" t="s">
        <v>10</v>
      </c>
      <c r="C2055" t="s">
        <v>7</v>
      </c>
      <c r="D2055" s="1">
        <v>45446</v>
      </c>
      <c r="E2055">
        <v>49</v>
      </c>
      <c r="F2055">
        <v>0</v>
      </c>
      <c r="G2055">
        <f>IF(Gym_Expansion_Data[[#This Row],[Churned]]=0,1,0)</f>
        <v>1</v>
      </c>
      <c r="H2055" t="str">
        <f>IF(Gym_Expansion_Data[[#This Row],[Active Member]]=1,Gym_Expansion_Data[[#This Row],[Tier]],"Inactive")</f>
        <v>Basic</v>
      </c>
    </row>
    <row r="2056" spans="1:8" x14ac:dyDescent="0.2">
      <c r="A2056">
        <v>3055</v>
      </c>
      <c r="B2056" t="s">
        <v>10</v>
      </c>
      <c r="C2056" t="s">
        <v>7</v>
      </c>
      <c r="D2056" s="1">
        <v>45973</v>
      </c>
      <c r="E2056">
        <v>49</v>
      </c>
      <c r="F2056">
        <v>0</v>
      </c>
      <c r="G2056">
        <f>IF(Gym_Expansion_Data[[#This Row],[Churned]]=0,1,0)</f>
        <v>1</v>
      </c>
      <c r="H2056" t="str">
        <f>IF(Gym_Expansion_Data[[#This Row],[Active Member]]=1,Gym_Expansion_Data[[#This Row],[Tier]],"Inactive")</f>
        <v>Basic</v>
      </c>
    </row>
    <row r="2057" spans="1:8" x14ac:dyDescent="0.2">
      <c r="A2057">
        <v>3056</v>
      </c>
      <c r="B2057" t="s">
        <v>10</v>
      </c>
      <c r="C2057" t="s">
        <v>12</v>
      </c>
      <c r="D2057" s="1">
        <v>45535</v>
      </c>
      <c r="E2057">
        <v>89</v>
      </c>
      <c r="F2057">
        <v>1</v>
      </c>
      <c r="G2057">
        <f>IF(Gym_Expansion_Data[[#This Row],[Churned]]=0,1,0)</f>
        <v>0</v>
      </c>
      <c r="H2057" t="str">
        <f>IF(Gym_Expansion_Data[[#This Row],[Active Member]]=1,Gym_Expansion_Data[[#This Row],[Tier]],"Inactive")</f>
        <v>Inactive</v>
      </c>
    </row>
    <row r="2058" spans="1:8" x14ac:dyDescent="0.2">
      <c r="A2058">
        <v>3057</v>
      </c>
      <c r="B2058" t="s">
        <v>9</v>
      </c>
      <c r="C2058" t="s">
        <v>12</v>
      </c>
      <c r="D2058" s="1">
        <v>45892</v>
      </c>
      <c r="E2058">
        <v>89</v>
      </c>
      <c r="F2058">
        <v>1</v>
      </c>
      <c r="G2058">
        <f>IF(Gym_Expansion_Data[[#This Row],[Churned]]=0,1,0)</f>
        <v>0</v>
      </c>
      <c r="H2058" t="str">
        <f>IF(Gym_Expansion_Data[[#This Row],[Active Member]]=1,Gym_Expansion_Data[[#This Row],[Tier]],"Inactive")</f>
        <v>Inactive</v>
      </c>
    </row>
    <row r="2059" spans="1:8" x14ac:dyDescent="0.2">
      <c r="A2059">
        <v>3058</v>
      </c>
      <c r="B2059" t="s">
        <v>10</v>
      </c>
      <c r="C2059" t="s">
        <v>7</v>
      </c>
      <c r="D2059" s="1">
        <v>45421</v>
      </c>
      <c r="E2059">
        <v>49</v>
      </c>
      <c r="F2059">
        <v>0</v>
      </c>
      <c r="G2059">
        <f>IF(Gym_Expansion_Data[[#This Row],[Churned]]=0,1,0)</f>
        <v>1</v>
      </c>
      <c r="H2059" t="str">
        <f>IF(Gym_Expansion_Data[[#This Row],[Active Member]]=1,Gym_Expansion_Data[[#This Row],[Tier]],"Inactive")</f>
        <v>Basic</v>
      </c>
    </row>
    <row r="2060" spans="1:8" x14ac:dyDescent="0.2">
      <c r="A2060">
        <v>3059</v>
      </c>
      <c r="B2060" t="s">
        <v>9</v>
      </c>
      <c r="C2060" t="s">
        <v>12</v>
      </c>
      <c r="D2060" s="1">
        <v>45706</v>
      </c>
      <c r="E2060">
        <v>89</v>
      </c>
      <c r="F2060">
        <v>0</v>
      </c>
      <c r="G2060">
        <f>IF(Gym_Expansion_Data[[#This Row],[Churned]]=0,1,0)</f>
        <v>1</v>
      </c>
      <c r="H2060" t="str">
        <f>IF(Gym_Expansion_Data[[#This Row],[Active Member]]=1,Gym_Expansion_Data[[#This Row],[Tier]],"Inactive")</f>
        <v>Premium</v>
      </c>
    </row>
    <row r="2061" spans="1:8" x14ac:dyDescent="0.2">
      <c r="A2061">
        <v>3060</v>
      </c>
      <c r="B2061" t="s">
        <v>11</v>
      </c>
      <c r="C2061" t="s">
        <v>12</v>
      </c>
      <c r="D2061" s="1">
        <v>45640</v>
      </c>
      <c r="E2061">
        <v>89</v>
      </c>
      <c r="F2061">
        <v>1</v>
      </c>
      <c r="G2061">
        <f>IF(Gym_Expansion_Data[[#This Row],[Churned]]=0,1,0)</f>
        <v>0</v>
      </c>
      <c r="H2061" t="str">
        <f>IF(Gym_Expansion_Data[[#This Row],[Active Member]]=1,Gym_Expansion_Data[[#This Row],[Tier]],"Inactive")</f>
        <v>Inactive</v>
      </c>
    </row>
    <row r="2062" spans="1:8" x14ac:dyDescent="0.2">
      <c r="A2062">
        <v>3061</v>
      </c>
      <c r="B2062" t="s">
        <v>10</v>
      </c>
      <c r="C2062" t="s">
        <v>7</v>
      </c>
      <c r="D2062" s="1">
        <v>45551</v>
      </c>
      <c r="E2062">
        <v>49</v>
      </c>
      <c r="F2062">
        <v>0</v>
      </c>
      <c r="G2062">
        <f>IF(Gym_Expansion_Data[[#This Row],[Churned]]=0,1,0)</f>
        <v>1</v>
      </c>
      <c r="H2062" t="str">
        <f>IF(Gym_Expansion_Data[[#This Row],[Active Member]]=1,Gym_Expansion_Data[[#This Row],[Tier]],"Inactive")</f>
        <v>Basic</v>
      </c>
    </row>
    <row r="2063" spans="1:8" x14ac:dyDescent="0.2">
      <c r="A2063">
        <v>3062</v>
      </c>
      <c r="B2063" t="s">
        <v>9</v>
      </c>
      <c r="C2063" t="s">
        <v>8</v>
      </c>
      <c r="D2063" s="1">
        <v>45630</v>
      </c>
      <c r="E2063">
        <v>129</v>
      </c>
      <c r="F2063">
        <v>1</v>
      </c>
      <c r="G2063">
        <f>IF(Gym_Expansion_Data[[#This Row],[Churned]]=0,1,0)</f>
        <v>0</v>
      </c>
      <c r="H2063" t="str">
        <f>IF(Gym_Expansion_Data[[#This Row],[Active Member]]=1,Gym_Expansion_Data[[#This Row],[Tier]],"Inactive")</f>
        <v>Inactive</v>
      </c>
    </row>
    <row r="2064" spans="1:8" x14ac:dyDescent="0.2">
      <c r="A2064">
        <v>3063</v>
      </c>
      <c r="B2064" t="s">
        <v>11</v>
      </c>
      <c r="C2064" t="s">
        <v>12</v>
      </c>
      <c r="D2064" s="1">
        <v>45425</v>
      </c>
      <c r="E2064">
        <v>89</v>
      </c>
      <c r="F2064">
        <v>0</v>
      </c>
      <c r="G2064">
        <f>IF(Gym_Expansion_Data[[#This Row],[Churned]]=0,1,0)</f>
        <v>1</v>
      </c>
      <c r="H2064" t="str">
        <f>IF(Gym_Expansion_Data[[#This Row],[Active Member]]=1,Gym_Expansion_Data[[#This Row],[Tier]],"Inactive")</f>
        <v>Premium</v>
      </c>
    </row>
    <row r="2065" spans="1:8" x14ac:dyDescent="0.2">
      <c r="A2065">
        <v>3064</v>
      </c>
      <c r="B2065" t="s">
        <v>11</v>
      </c>
      <c r="C2065" t="s">
        <v>12</v>
      </c>
      <c r="D2065" s="1">
        <v>45895</v>
      </c>
      <c r="E2065">
        <v>89</v>
      </c>
      <c r="F2065">
        <v>1</v>
      </c>
      <c r="G2065">
        <f>IF(Gym_Expansion_Data[[#This Row],[Churned]]=0,1,0)</f>
        <v>0</v>
      </c>
      <c r="H2065" t="str">
        <f>IF(Gym_Expansion_Data[[#This Row],[Active Member]]=1,Gym_Expansion_Data[[#This Row],[Tier]],"Inactive")</f>
        <v>Inactive</v>
      </c>
    </row>
    <row r="2066" spans="1:8" x14ac:dyDescent="0.2">
      <c r="A2066">
        <v>3065</v>
      </c>
      <c r="B2066" t="s">
        <v>10</v>
      </c>
      <c r="C2066" t="s">
        <v>7</v>
      </c>
      <c r="D2066" s="1">
        <v>45570</v>
      </c>
      <c r="E2066">
        <v>49</v>
      </c>
      <c r="F2066">
        <v>0</v>
      </c>
      <c r="G2066">
        <f>IF(Gym_Expansion_Data[[#This Row],[Churned]]=0,1,0)</f>
        <v>1</v>
      </c>
      <c r="H2066" t="str">
        <f>IF(Gym_Expansion_Data[[#This Row],[Active Member]]=1,Gym_Expansion_Data[[#This Row],[Tier]],"Inactive")</f>
        <v>Basic</v>
      </c>
    </row>
    <row r="2067" spans="1:8" x14ac:dyDescent="0.2">
      <c r="A2067">
        <v>3066</v>
      </c>
      <c r="B2067" t="s">
        <v>6</v>
      </c>
      <c r="C2067" t="s">
        <v>12</v>
      </c>
      <c r="D2067" s="1">
        <v>45617</v>
      </c>
      <c r="E2067">
        <v>89</v>
      </c>
      <c r="F2067">
        <v>1</v>
      </c>
      <c r="G2067">
        <f>IF(Gym_Expansion_Data[[#This Row],[Churned]]=0,1,0)</f>
        <v>0</v>
      </c>
      <c r="H2067" t="str">
        <f>IF(Gym_Expansion_Data[[#This Row],[Active Member]]=1,Gym_Expansion_Data[[#This Row],[Tier]],"Inactive")</f>
        <v>Inactive</v>
      </c>
    </row>
    <row r="2068" spans="1:8" x14ac:dyDescent="0.2">
      <c r="A2068">
        <v>3067</v>
      </c>
      <c r="B2068" t="s">
        <v>11</v>
      </c>
      <c r="C2068" t="s">
        <v>7</v>
      </c>
      <c r="D2068" s="1">
        <v>45926</v>
      </c>
      <c r="E2068">
        <v>49</v>
      </c>
      <c r="F2068">
        <v>0</v>
      </c>
      <c r="G2068">
        <f>IF(Gym_Expansion_Data[[#This Row],[Churned]]=0,1,0)</f>
        <v>1</v>
      </c>
      <c r="H2068" t="str">
        <f>IF(Gym_Expansion_Data[[#This Row],[Active Member]]=1,Gym_Expansion_Data[[#This Row],[Tier]],"Inactive")</f>
        <v>Basic</v>
      </c>
    </row>
    <row r="2069" spans="1:8" x14ac:dyDescent="0.2">
      <c r="A2069">
        <v>3068</v>
      </c>
      <c r="B2069" t="s">
        <v>9</v>
      </c>
      <c r="C2069" t="s">
        <v>12</v>
      </c>
      <c r="D2069" s="1">
        <v>45505</v>
      </c>
      <c r="E2069">
        <v>89</v>
      </c>
      <c r="F2069">
        <v>0</v>
      </c>
      <c r="G2069">
        <f>IF(Gym_Expansion_Data[[#This Row],[Churned]]=0,1,0)</f>
        <v>1</v>
      </c>
      <c r="H2069" t="str">
        <f>IF(Gym_Expansion_Data[[#This Row],[Active Member]]=1,Gym_Expansion_Data[[#This Row],[Tier]],"Inactive")</f>
        <v>Premium</v>
      </c>
    </row>
    <row r="2070" spans="1:8" x14ac:dyDescent="0.2">
      <c r="A2070">
        <v>3069</v>
      </c>
      <c r="B2070" t="s">
        <v>9</v>
      </c>
      <c r="C2070" t="s">
        <v>8</v>
      </c>
      <c r="D2070" s="1">
        <v>45789</v>
      </c>
      <c r="E2070">
        <v>129</v>
      </c>
      <c r="F2070">
        <v>1</v>
      </c>
      <c r="G2070">
        <f>IF(Gym_Expansion_Data[[#This Row],[Churned]]=0,1,0)</f>
        <v>0</v>
      </c>
      <c r="H2070" t="str">
        <f>IF(Gym_Expansion_Data[[#This Row],[Active Member]]=1,Gym_Expansion_Data[[#This Row],[Tier]],"Inactive")</f>
        <v>Inactive</v>
      </c>
    </row>
    <row r="2071" spans="1:8" x14ac:dyDescent="0.2">
      <c r="A2071">
        <v>3070</v>
      </c>
      <c r="B2071" t="s">
        <v>6</v>
      </c>
      <c r="C2071" t="s">
        <v>7</v>
      </c>
      <c r="D2071" s="1">
        <v>45401</v>
      </c>
      <c r="E2071">
        <v>49</v>
      </c>
      <c r="F2071">
        <v>0</v>
      </c>
      <c r="G2071">
        <f>IF(Gym_Expansion_Data[[#This Row],[Churned]]=0,1,0)</f>
        <v>1</v>
      </c>
      <c r="H2071" t="str">
        <f>IF(Gym_Expansion_Data[[#This Row],[Active Member]]=1,Gym_Expansion_Data[[#This Row],[Tier]],"Inactive")</f>
        <v>Basic</v>
      </c>
    </row>
    <row r="2072" spans="1:8" x14ac:dyDescent="0.2">
      <c r="A2072">
        <v>3071</v>
      </c>
      <c r="B2072" t="s">
        <v>11</v>
      </c>
      <c r="C2072" t="s">
        <v>8</v>
      </c>
      <c r="D2072" s="1">
        <v>45574</v>
      </c>
      <c r="E2072">
        <v>129</v>
      </c>
      <c r="F2072">
        <v>0</v>
      </c>
      <c r="G2072">
        <f>IF(Gym_Expansion_Data[[#This Row],[Churned]]=0,1,0)</f>
        <v>1</v>
      </c>
      <c r="H2072" t="str">
        <f>IF(Gym_Expansion_Data[[#This Row],[Active Member]]=1,Gym_Expansion_Data[[#This Row],[Tier]],"Inactive")</f>
        <v>Elite</v>
      </c>
    </row>
    <row r="2073" spans="1:8" x14ac:dyDescent="0.2">
      <c r="A2073">
        <v>3072</v>
      </c>
      <c r="B2073" t="s">
        <v>10</v>
      </c>
      <c r="C2073" t="s">
        <v>7</v>
      </c>
      <c r="D2073" s="1">
        <v>45487</v>
      </c>
      <c r="E2073">
        <v>49</v>
      </c>
      <c r="F2073">
        <v>0</v>
      </c>
      <c r="G2073">
        <f>IF(Gym_Expansion_Data[[#This Row],[Churned]]=0,1,0)</f>
        <v>1</v>
      </c>
      <c r="H2073" t="str">
        <f>IF(Gym_Expansion_Data[[#This Row],[Active Member]]=1,Gym_Expansion_Data[[#This Row],[Tier]],"Inactive")</f>
        <v>Basic</v>
      </c>
    </row>
    <row r="2074" spans="1:8" x14ac:dyDescent="0.2">
      <c r="A2074">
        <v>3073</v>
      </c>
      <c r="B2074" t="s">
        <v>6</v>
      </c>
      <c r="C2074" t="s">
        <v>7</v>
      </c>
      <c r="D2074" s="1">
        <v>45720</v>
      </c>
      <c r="E2074">
        <v>49</v>
      </c>
      <c r="F2074">
        <v>0</v>
      </c>
      <c r="G2074">
        <f>IF(Gym_Expansion_Data[[#This Row],[Churned]]=0,1,0)</f>
        <v>1</v>
      </c>
      <c r="H2074" t="str">
        <f>IF(Gym_Expansion_Data[[#This Row],[Active Member]]=1,Gym_Expansion_Data[[#This Row],[Tier]],"Inactive")</f>
        <v>Basic</v>
      </c>
    </row>
    <row r="2075" spans="1:8" x14ac:dyDescent="0.2">
      <c r="A2075">
        <v>3074</v>
      </c>
      <c r="B2075" t="s">
        <v>11</v>
      </c>
      <c r="C2075" t="s">
        <v>12</v>
      </c>
      <c r="D2075" s="1">
        <v>45608</v>
      </c>
      <c r="E2075">
        <v>89</v>
      </c>
      <c r="F2075">
        <v>0</v>
      </c>
      <c r="G2075">
        <f>IF(Gym_Expansion_Data[[#This Row],[Churned]]=0,1,0)</f>
        <v>1</v>
      </c>
      <c r="H2075" t="str">
        <f>IF(Gym_Expansion_Data[[#This Row],[Active Member]]=1,Gym_Expansion_Data[[#This Row],[Tier]],"Inactive")</f>
        <v>Premium</v>
      </c>
    </row>
    <row r="2076" spans="1:8" x14ac:dyDescent="0.2">
      <c r="A2076">
        <v>3075</v>
      </c>
      <c r="B2076" t="s">
        <v>11</v>
      </c>
      <c r="C2076" t="s">
        <v>8</v>
      </c>
      <c r="D2076" s="1">
        <v>45535</v>
      </c>
      <c r="E2076">
        <v>129</v>
      </c>
      <c r="F2076">
        <v>0</v>
      </c>
      <c r="G2076">
        <f>IF(Gym_Expansion_Data[[#This Row],[Churned]]=0,1,0)</f>
        <v>1</v>
      </c>
      <c r="H2076" t="str">
        <f>IF(Gym_Expansion_Data[[#This Row],[Active Member]]=1,Gym_Expansion_Data[[#This Row],[Tier]],"Inactive")</f>
        <v>Elite</v>
      </c>
    </row>
    <row r="2077" spans="1:8" x14ac:dyDescent="0.2">
      <c r="A2077">
        <v>3076</v>
      </c>
      <c r="B2077" t="s">
        <v>11</v>
      </c>
      <c r="C2077" t="s">
        <v>7</v>
      </c>
      <c r="D2077" s="1">
        <v>45350</v>
      </c>
      <c r="E2077">
        <v>49</v>
      </c>
      <c r="F2077">
        <v>0</v>
      </c>
      <c r="G2077">
        <f>IF(Gym_Expansion_Data[[#This Row],[Churned]]=0,1,0)</f>
        <v>1</v>
      </c>
      <c r="H2077" t="str">
        <f>IF(Gym_Expansion_Data[[#This Row],[Active Member]]=1,Gym_Expansion_Data[[#This Row],[Tier]],"Inactive")</f>
        <v>Basic</v>
      </c>
    </row>
    <row r="2078" spans="1:8" x14ac:dyDescent="0.2">
      <c r="A2078">
        <v>3077</v>
      </c>
      <c r="B2078" t="s">
        <v>9</v>
      </c>
      <c r="C2078" t="s">
        <v>7</v>
      </c>
      <c r="D2078" s="1">
        <v>45883</v>
      </c>
      <c r="E2078">
        <v>49</v>
      </c>
      <c r="F2078">
        <v>0</v>
      </c>
      <c r="G2078">
        <f>IF(Gym_Expansion_Data[[#This Row],[Churned]]=0,1,0)</f>
        <v>1</v>
      </c>
      <c r="H2078" t="str">
        <f>IF(Gym_Expansion_Data[[#This Row],[Active Member]]=1,Gym_Expansion_Data[[#This Row],[Tier]],"Inactive")</f>
        <v>Basic</v>
      </c>
    </row>
    <row r="2079" spans="1:8" x14ac:dyDescent="0.2">
      <c r="A2079">
        <v>3078</v>
      </c>
      <c r="B2079" t="s">
        <v>6</v>
      </c>
      <c r="C2079" t="s">
        <v>7</v>
      </c>
      <c r="D2079" s="1">
        <v>45464</v>
      </c>
      <c r="E2079">
        <v>49</v>
      </c>
      <c r="F2079">
        <v>0</v>
      </c>
      <c r="G2079">
        <f>IF(Gym_Expansion_Data[[#This Row],[Churned]]=0,1,0)</f>
        <v>1</v>
      </c>
      <c r="H2079" t="str">
        <f>IF(Gym_Expansion_Data[[#This Row],[Active Member]]=1,Gym_Expansion_Data[[#This Row],[Tier]],"Inactive")</f>
        <v>Basic</v>
      </c>
    </row>
    <row r="2080" spans="1:8" x14ac:dyDescent="0.2">
      <c r="A2080">
        <v>3079</v>
      </c>
      <c r="B2080" t="s">
        <v>9</v>
      </c>
      <c r="C2080" t="s">
        <v>8</v>
      </c>
      <c r="D2080" s="1">
        <v>45783</v>
      </c>
      <c r="E2080">
        <v>129</v>
      </c>
      <c r="F2080">
        <v>0</v>
      </c>
      <c r="G2080">
        <f>IF(Gym_Expansion_Data[[#This Row],[Churned]]=0,1,0)</f>
        <v>1</v>
      </c>
      <c r="H2080" t="str">
        <f>IF(Gym_Expansion_Data[[#This Row],[Active Member]]=1,Gym_Expansion_Data[[#This Row],[Tier]],"Inactive")</f>
        <v>Elite</v>
      </c>
    </row>
    <row r="2081" spans="1:8" x14ac:dyDescent="0.2">
      <c r="A2081">
        <v>3080</v>
      </c>
      <c r="B2081" t="s">
        <v>11</v>
      </c>
      <c r="C2081" t="s">
        <v>7</v>
      </c>
      <c r="D2081" s="1">
        <v>45808</v>
      </c>
      <c r="E2081">
        <v>49</v>
      </c>
      <c r="F2081">
        <v>0</v>
      </c>
      <c r="G2081">
        <f>IF(Gym_Expansion_Data[[#This Row],[Churned]]=0,1,0)</f>
        <v>1</v>
      </c>
      <c r="H2081" t="str">
        <f>IF(Gym_Expansion_Data[[#This Row],[Active Member]]=1,Gym_Expansion_Data[[#This Row],[Tier]],"Inactive")</f>
        <v>Basic</v>
      </c>
    </row>
    <row r="2082" spans="1:8" x14ac:dyDescent="0.2">
      <c r="A2082">
        <v>3081</v>
      </c>
      <c r="B2082" t="s">
        <v>9</v>
      </c>
      <c r="C2082" t="s">
        <v>8</v>
      </c>
      <c r="D2082" s="1">
        <v>45414</v>
      </c>
      <c r="E2082">
        <v>129</v>
      </c>
      <c r="F2082">
        <v>0</v>
      </c>
      <c r="G2082">
        <f>IF(Gym_Expansion_Data[[#This Row],[Churned]]=0,1,0)</f>
        <v>1</v>
      </c>
      <c r="H2082" t="str">
        <f>IF(Gym_Expansion_Data[[#This Row],[Active Member]]=1,Gym_Expansion_Data[[#This Row],[Tier]],"Inactive")</f>
        <v>Elite</v>
      </c>
    </row>
    <row r="2083" spans="1:8" x14ac:dyDescent="0.2">
      <c r="A2083">
        <v>3082</v>
      </c>
      <c r="B2083" t="s">
        <v>9</v>
      </c>
      <c r="C2083" t="s">
        <v>7</v>
      </c>
      <c r="D2083" s="1">
        <v>45721</v>
      </c>
      <c r="E2083">
        <v>49</v>
      </c>
      <c r="F2083">
        <v>0</v>
      </c>
      <c r="G2083">
        <f>IF(Gym_Expansion_Data[[#This Row],[Churned]]=0,1,0)</f>
        <v>1</v>
      </c>
      <c r="H2083" t="str">
        <f>IF(Gym_Expansion_Data[[#This Row],[Active Member]]=1,Gym_Expansion_Data[[#This Row],[Tier]],"Inactive")</f>
        <v>Basic</v>
      </c>
    </row>
    <row r="2084" spans="1:8" x14ac:dyDescent="0.2">
      <c r="A2084">
        <v>3083</v>
      </c>
      <c r="B2084" t="s">
        <v>9</v>
      </c>
      <c r="C2084" t="s">
        <v>8</v>
      </c>
      <c r="D2084" s="1">
        <v>45923</v>
      </c>
      <c r="E2084">
        <v>129</v>
      </c>
      <c r="F2084">
        <v>0</v>
      </c>
      <c r="G2084">
        <f>IF(Gym_Expansion_Data[[#This Row],[Churned]]=0,1,0)</f>
        <v>1</v>
      </c>
      <c r="H2084" t="str">
        <f>IF(Gym_Expansion_Data[[#This Row],[Active Member]]=1,Gym_Expansion_Data[[#This Row],[Tier]],"Inactive")</f>
        <v>Elite</v>
      </c>
    </row>
    <row r="2085" spans="1:8" x14ac:dyDescent="0.2">
      <c r="A2085">
        <v>3084</v>
      </c>
      <c r="B2085" t="s">
        <v>10</v>
      </c>
      <c r="C2085" t="s">
        <v>8</v>
      </c>
      <c r="D2085" s="1">
        <v>45787</v>
      </c>
      <c r="E2085">
        <v>129</v>
      </c>
      <c r="F2085">
        <v>0</v>
      </c>
      <c r="G2085">
        <f>IF(Gym_Expansion_Data[[#This Row],[Churned]]=0,1,0)</f>
        <v>1</v>
      </c>
      <c r="H2085" t="str">
        <f>IF(Gym_Expansion_Data[[#This Row],[Active Member]]=1,Gym_Expansion_Data[[#This Row],[Tier]],"Inactive")</f>
        <v>Elite</v>
      </c>
    </row>
    <row r="2086" spans="1:8" x14ac:dyDescent="0.2">
      <c r="A2086">
        <v>3085</v>
      </c>
      <c r="B2086" t="s">
        <v>9</v>
      </c>
      <c r="C2086" t="s">
        <v>8</v>
      </c>
      <c r="D2086" s="1">
        <v>45562</v>
      </c>
      <c r="E2086">
        <v>129</v>
      </c>
      <c r="F2086">
        <v>0</v>
      </c>
      <c r="G2086">
        <f>IF(Gym_Expansion_Data[[#This Row],[Churned]]=0,1,0)</f>
        <v>1</v>
      </c>
      <c r="H2086" t="str">
        <f>IF(Gym_Expansion_Data[[#This Row],[Active Member]]=1,Gym_Expansion_Data[[#This Row],[Tier]],"Inactive")</f>
        <v>Elite</v>
      </c>
    </row>
    <row r="2087" spans="1:8" x14ac:dyDescent="0.2">
      <c r="A2087">
        <v>3086</v>
      </c>
      <c r="B2087" t="s">
        <v>9</v>
      </c>
      <c r="C2087" t="s">
        <v>8</v>
      </c>
      <c r="D2087" s="1">
        <v>45890</v>
      </c>
      <c r="E2087">
        <v>129</v>
      </c>
      <c r="F2087">
        <v>0</v>
      </c>
      <c r="G2087">
        <f>IF(Gym_Expansion_Data[[#This Row],[Churned]]=0,1,0)</f>
        <v>1</v>
      </c>
      <c r="H2087" t="str">
        <f>IF(Gym_Expansion_Data[[#This Row],[Active Member]]=1,Gym_Expansion_Data[[#This Row],[Tier]],"Inactive")</f>
        <v>Elite</v>
      </c>
    </row>
    <row r="2088" spans="1:8" x14ac:dyDescent="0.2">
      <c r="A2088">
        <v>3087</v>
      </c>
      <c r="B2088" t="s">
        <v>9</v>
      </c>
      <c r="C2088" t="s">
        <v>7</v>
      </c>
      <c r="D2088" s="1">
        <v>45751</v>
      </c>
      <c r="E2088">
        <v>49</v>
      </c>
      <c r="F2088">
        <v>1</v>
      </c>
      <c r="G2088">
        <f>IF(Gym_Expansion_Data[[#This Row],[Churned]]=0,1,0)</f>
        <v>0</v>
      </c>
      <c r="H2088" t="str">
        <f>IF(Gym_Expansion_Data[[#This Row],[Active Member]]=1,Gym_Expansion_Data[[#This Row],[Tier]],"Inactive")</f>
        <v>Inactive</v>
      </c>
    </row>
    <row r="2089" spans="1:8" x14ac:dyDescent="0.2">
      <c r="A2089">
        <v>3088</v>
      </c>
      <c r="B2089" t="s">
        <v>9</v>
      </c>
      <c r="C2089" t="s">
        <v>7</v>
      </c>
      <c r="D2089" s="1">
        <v>45666</v>
      </c>
      <c r="E2089">
        <v>49</v>
      </c>
      <c r="F2089">
        <v>0</v>
      </c>
      <c r="G2089">
        <f>IF(Gym_Expansion_Data[[#This Row],[Churned]]=0,1,0)</f>
        <v>1</v>
      </c>
      <c r="H2089" t="str">
        <f>IF(Gym_Expansion_Data[[#This Row],[Active Member]]=1,Gym_Expansion_Data[[#This Row],[Tier]],"Inactive")</f>
        <v>Basic</v>
      </c>
    </row>
    <row r="2090" spans="1:8" x14ac:dyDescent="0.2">
      <c r="A2090">
        <v>3089</v>
      </c>
      <c r="B2090" t="s">
        <v>10</v>
      </c>
      <c r="C2090" t="s">
        <v>7</v>
      </c>
      <c r="D2090" s="1">
        <v>45517</v>
      </c>
      <c r="E2090">
        <v>49</v>
      </c>
      <c r="F2090">
        <v>0</v>
      </c>
      <c r="G2090">
        <f>IF(Gym_Expansion_Data[[#This Row],[Churned]]=0,1,0)</f>
        <v>1</v>
      </c>
      <c r="H2090" t="str">
        <f>IF(Gym_Expansion_Data[[#This Row],[Active Member]]=1,Gym_Expansion_Data[[#This Row],[Tier]],"Inactive")</f>
        <v>Basic</v>
      </c>
    </row>
    <row r="2091" spans="1:8" x14ac:dyDescent="0.2">
      <c r="A2091">
        <v>3090</v>
      </c>
      <c r="B2091" t="s">
        <v>9</v>
      </c>
      <c r="C2091" t="s">
        <v>12</v>
      </c>
      <c r="D2091" s="1">
        <v>45763</v>
      </c>
      <c r="E2091">
        <v>89</v>
      </c>
      <c r="F2091">
        <v>0</v>
      </c>
      <c r="G2091">
        <f>IF(Gym_Expansion_Data[[#This Row],[Churned]]=0,1,0)</f>
        <v>1</v>
      </c>
      <c r="H2091" t="str">
        <f>IF(Gym_Expansion_Data[[#This Row],[Active Member]]=1,Gym_Expansion_Data[[#This Row],[Tier]],"Inactive")</f>
        <v>Premium</v>
      </c>
    </row>
    <row r="2092" spans="1:8" x14ac:dyDescent="0.2">
      <c r="A2092">
        <v>3091</v>
      </c>
      <c r="B2092" t="s">
        <v>10</v>
      </c>
      <c r="C2092" t="s">
        <v>8</v>
      </c>
      <c r="D2092" s="1">
        <v>45573</v>
      </c>
      <c r="E2092">
        <v>129</v>
      </c>
      <c r="F2092">
        <v>0</v>
      </c>
      <c r="G2092">
        <f>IF(Gym_Expansion_Data[[#This Row],[Churned]]=0,1,0)</f>
        <v>1</v>
      </c>
      <c r="H2092" t="str">
        <f>IF(Gym_Expansion_Data[[#This Row],[Active Member]]=1,Gym_Expansion_Data[[#This Row],[Tier]],"Inactive")</f>
        <v>Elite</v>
      </c>
    </row>
    <row r="2093" spans="1:8" x14ac:dyDescent="0.2">
      <c r="A2093">
        <v>3092</v>
      </c>
      <c r="B2093" t="s">
        <v>10</v>
      </c>
      <c r="C2093" t="s">
        <v>7</v>
      </c>
      <c r="D2093" s="1">
        <v>45501</v>
      </c>
      <c r="E2093">
        <v>49</v>
      </c>
      <c r="F2093">
        <v>0</v>
      </c>
      <c r="G2093">
        <f>IF(Gym_Expansion_Data[[#This Row],[Churned]]=0,1,0)</f>
        <v>1</v>
      </c>
      <c r="H2093" t="str">
        <f>IF(Gym_Expansion_Data[[#This Row],[Active Member]]=1,Gym_Expansion_Data[[#This Row],[Tier]],"Inactive")</f>
        <v>Basic</v>
      </c>
    </row>
    <row r="2094" spans="1:8" x14ac:dyDescent="0.2">
      <c r="A2094">
        <v>3093</v>
      </c>
      <c r="B2094" t="s">
        <v>11</v>
      </c>
      <c r="C2094" t="s">
        <v>7</v>
      </c>
      <c r="D2094" s="1">
        <v>45439</v>
      </c>
      <c r="E2094">
        <v>49</v>
      </c>
      <c r="F2094">
        <v>0</v>
      </c>
      <c r="G2094">
        <f>IF(Gym_Expansion_Data[[#This Row],[Churned]]=0,1,0)</f>
        <v>1</v>
      </c>
      <c r="H2094" t="str">
        <f>IF(Gym_Expansion_Data[[#This Row],[Active Member]]=1,Gym_Expansion_Data[[#This Row],[Tier]],"Inactive")</f>
        <v>Basic</v>
      </c>
    </row>
    <row r="2095" spans="1:8" x14ac:dyDescent="0.2">
      <c r="A2095">
        <v>3094</v>
      </c>
      <c r="B2095" t="s">
        <v>9</v>
      </c>
      <c r="C2095" t="s">
        <v>7</v>
      </c>
      <c r="D2095" s="1">
        <v>45966</v>
      </c>
      <c r="E2095">
        <v>49</v>
      </c>
      <c r="F2095">
        <v>0</v>
      </c>
      <c r="G2095">
        <f>IF(Gym_Expansion_Data[[#This Row],[Churned]]=0,1,0)</f>
        <v>1</v>
      </c>
      <c r="H2095" t="str">
        <f>IF(Gym_Expansion_Data[[#This Row],[Active Member]]=1,Gym_Expansion_Data[[#This Row],[Tier]],"Inactive")</f>
        <v>Basic</v>
      </c>
    </row>
    <row r="2096" spans="1:8" x14ac:dyDescent="0.2">
      <c r="A2096">
        <v>3095</v>
      </c>
      <c r="B2096" t="s">
        <v>9</v>
      </c>
      <c r="C2096" t="s">
        <v>7</v>
      </c>
      <c r="D2096" s="1">
        <v>45861</v>
      </c>
      <c r="E2096">
        <v>49</v>
      </c>
      <c r="F2096">
        <v>0</v>
      </c>
      <c r="G2096">
        <f>IF(Gym_Expansion_Data[[#This Row],[Churned]]=0,1,0)</f>
        <v>1</v>
      </c>
      <c r="H2096" t="str">
        <f>IF(Gym_Expansion_Data[[#This Row],[Active Member]]=1,Gym_Expansion_Data[[#This Row],[Tier]],"Inactive")</f>
        <v>Basic</v>
      </c>
    </row>
    <row r="2097" spans="1:8" x14ac:dyDescent="0.2">
      <c r="A2097">
        <v>3096</v>
      </c>
      <c r="B2097" t="s">
        <v>10</v>
      </c>
      <c r="C2097" t="s">
        <v>7</v>
      </c>
      <c r="D2097" s="1">
        <v>45512</v>
      </c>
      <c r="E2097">
        <v>49</v>
      </c>
      <c r="F2097">
        <v>0</v>
      </c>
      <c r="G2097">
        <f>IF(Gym_Expansion_Data[[#This Row],[Churned]]=0,1,0)</f>
        <v>1</v>
      </c>
      <c r="H2097" t="str">
        <f>IF(Gym_Expansion_Data[[#This Row],[Active Member]]=1,Gym_Expansion_Data[[#This Row],[Tier]],"Inactive")</f>
        <v>Basic</v>
      </c>
    </row>
    <row r="2098" spans="1:8" x14ac:dyDescent="0.2">
      <c r="A2098">
        <v>3097</v>
      </c>
      <c r="B2098" t="s">
        <v>9</v>
      </c>
      <c r="C2098" t="s">
        <v>7</v>
      </c>
      <c r="D2098" s="1">
        <v>45363</v>
      </c>
      <c r="E2098">
        <v>49</v>
      </c>
      <c r="F2098">
        <v>0</v>
      </c>
      <c r="G2098">
        <f>IF(Gym_Expansion_Data[[#This Row],[Churned]]=0,1,0)</f>
        <v>1</v>
      </c>
      <c r="H2098" t="str">
        <f>IF(Gym_Expansion_Data[[#This Row],[Active Member]]=1,Gym_Expansion_Data[[#This Row],[Tier]],"Inactive")</f>
        <v>Basic</v>
      </c>
    </row>
    <row r="2099" spans="1:8" x14ac:dyDescent="0.2">
      <c r="A2099">
        <v>3098</v>
      </c>
      <c r="B2099" t="s">
        <v>9</v>
      </c>
      <c r="C2099" t="s">
        <v>12</v>
      </c>
      <c r="D2099" s="1">
        <v>45578</v>
      </c>
      <c r="E2099">
        <v>89</v>
      </c>
      <c r="F2099">
        <v>0</v>
      </c>
      <c r="G2099">
        <f>IF(Gym_Expansion_Data[[#This Row],[Churned]]=0,1,0)</f>
        <v>1</v>
      </c>
      <c r="H2099" t="str">
        <f>IF(Gym_Expansion_Data[[#This Row],[Active Member]]=1,Gym_Expansion_Data[[#This Row],[Tier]],"Inactive")</f>
        <v>Premium</v>
      </c>
    </row>
    <row r="2100" spans="1:8" x14ac:dyDescent="0.2">
      <c r="A2100">
        <v>3099</v>
      </c>
      <c r="B2100" t="s">
        <v>10</v>
      </c>
      <c r="C2100" t="s">
        <v>8</v>
      </c>
      <c r="D2100" s="1">
        <v>45971</v>
      </c>
      <c r="E2100">
        <v>129</v>
      </c>
      <c r="F2100">
        <v>0</v>
      </c>
      <c r="G2100">
        <f>IF(Gym_Expansion_Data[[#This Row],[Churned]]=0,1,0)</f>
        <v>1</v>
      </c>
      <c r="H2100" t="str">
        <f>IF(Gym_Expansion_Data[[#This Row],[Active Member]]=1,Gym_Expansion_Data[[#This Row],[Tier]],"Inactive")</f>
        <v>Elite</v>
      </c>
    </row>
    <row r="2101" spans="1:8" x14ac:dyDescent="0.2">
      <c r="A2101">
        <v>3100</v>
      </c>
      <c r="B2101" t="s">
        <v>11</v>
      </c>
      <c r="C2101" t="s">
        <v>12</v>
      </c>
      <c r="D2101" s="1">
        <v>45476</v>
      </c>
      <c r="E2101">
        <v>89</v>
      </c>
      <c r="F2101">
        <v>0</v>
      </c>
      <c r="G2101">
        <f>IF(Gym_Expansion_Data[[#This Row],[Churned]]=0,1,0)</f>
        <v>1</v>
      </c>
      <c r="H2101" t="str">
        <f>IF(Gym_Expansion_Data[[#This Row],[Active Member]]=1,Gym_Expansion_Data[[#This Row],[Tier]],"Inactive")</f>
        <v>Premium</v>
      </c>
    </row>
    <row r="2102" spans="1:8" x14ac:dyDescent="0.2">
      <c r="A2102">
        <v>3101</v>
      </c>
      <c r="B2102" t="s">
        <v>11</v>
      </c>
      <c r="C2102" t="s">
        <v>12</v>
      </c>
      <c r="D2102" s="1">
        <v>45467</v>
      </c>
      <c r="E2102">
        <v>89</v>
      </c>
      <c r="F2102">
        <v>0</v>
      </c>
      <c r="G2102">
        <f>IF(Gym_Expansion_Data[[#This Row],[Churned]]=0,1,0)</f>
        <v>1</v>
      </c>
      <c r="H2102" t="str">
        <f>IF(Gym_Expansion_Data[[#This Row],[Active Member]]=1,Gym_Expansion_Data[[#This Row],[Tier]],"Inactive")</f>
        <v>Premium</v>
      </c>
    </row>
    <row r="2103" spans="1:8" x14ac:dyDescent="0.2">
      <c r="A2103">
        <v>3102</v>
      </c>
      <c r="B2103" t="s">
        <v>11</v>
      </c>
      <c r="C2103" t="s">
        <v>12</v>
      </c>
      <c r="D2103" s="1">
        <v>45617</v>
      </c>
      <c r="E2103">
        <v>89</v>
      </c>
      <c r="F2103">
        <v>0</v>
      </c>
      <c r="G2103">
        <f>IF(Gym_Expansion_Data[[#This Row],[Churned]]=0,1,0)</f>
        <v>1</v>
      </c>
      <c r="H2103" t="str">
        <f>IF(Gym_Expansion_Data[[#This Row],[Active Member]]=1,Gym_Expansion_Data[[#This Row],[Tier]],"Inactive")</f>
        <v>Premium</v>
      </c>
    </row>
    <row r="2104" spans="1:8" x14ac:dyDescent="0.2">
      <c r="A2104">
        <v>3103</v>
      </c>
      <c r="B2104" t="s">
        <v>10</v>
      </c>
      <c r="C2104" t="s">
        <v>8</v>
      </c>
      <c r="D2104" s="1">
        <v>45799</v>
      </c>
      <c r="E2104">
        <v>129</v>
      </c>
      <c r="F2104">
        <v>0</v>
      </c>
      <c r="G2104">
        <f>IF(Gym_Expansion_Data[[#This Row],[Churned]]=0,1,0)</f>
        <v>1</v>
      </c>
      <c r="H2104" t="str">
        <f>IF(Gym_Expansion_Data[[#This Row],[Active Member]]=1,Gym_Expansion_Data[[#This Row],[Tier]],"Inactive")</f>
        <v>Elite</v>
      </c>
    </row>
    <row r="2105" spans="1:8" x14ac:dyDescent="0.2">
      <c r="A2105">
        <v>3104</v>
      </c>
      <c r="B2105" t="s">
        <v>10</v>
      </c>
      <c r="C2105" t="s">
        <v>7</v>
      </c>
      <c r="D2105" s="1">
        <v>45424</v>
      </c>
      <c r="E2105">
        <v>49</v>
      </c>
      <c r="F2105">
        <v>0</v>
      </c>
      <c r="G2105">
        <f>IF(Gym_Expansion_Data[[#This Row],[Churned]]=0,1,0)</f>
        <v>1</v>
      </c>
      <c r="H2105" t="str">
        <f>IF(Gym_Expansion_Data[[#This Row],[Active Member]]=1,Gym_Expansion_Data[[#This Row],[Tier]],"Inactive")</f>
        <v>Basic</v>
      </c>
    </row>
    <row r="2106" spans="1:8" x14ac:dyDescent="0.2">
      <c r="A2106">
        <v>3105</v>
      </c>
      <c r="B2106" t="s">
        <v>11</v>
      </c>
      <c r="C2106" t="s">
        <v>7</v>
      </c>
      <c r="D2106" s="1">
        <v>45804</v>
      </c>
      <c r="E2106">
        <v>49</v>
      </c>
      <c r="F2106">
        <v>0</v>
      </c>
      <c r="G2106">
        <f>IF(Gym_Expansion_Data[[#This Row],[Churned]]=0,1,0)</f>
        <v>1</v>
      </c>
      <c r="H2106" t="str">
        <f>IF(Gym_Expansion_Data[[#This Row],[Active Member]]=1,Gym_Expansion_Data[[#This Row],[Tier]],"Inactive")</f>
        <v>Basic</v>
      </c>
    </row>
    <row r="2107" spans="1:8" x14ac:dyDescent="0.2">
      <c r="A2107">
        <v>3106</v>
      </c>
      <c r="B2107" t="s">
        <v>9</v>
      </c>
      <c r="C2107" t="s">
        <v>12</v>
      </c>
      <c r="D2107" s="1">
        <v>45796</v>
      </c>
      <c r="E2107">
        <v>89</v>
      </c>
      <c r="F2107">
        <v>0</v>
      </c>
      <c r="G2107">
        <f>IF(Gym_Expansion_Data[[#This Row],[Churned]]=0,1,0)</f>
        <v>1</v>
      </c>
      <c r="H2107" t="str">
        <f>IF(Gym_Expansion_Data[[#This Row],[Active Member]]=1,Gym_Expansion_Data[[#This Row],[Tier]],"Inactive")</f>
        <v>Premium</v>
      </c>
    </row>
    <row r="2108" spans="1:8" x14ac:dyDescent="0.2">
      <c r="A2108">
        <v>3107</v>
      </c>
      <c r="B2108" t="s">
        <v>10</v>
      </c>
      <c r="C2108" t="s">
        <v>12</v>
      </c>
      <c r="D2108" s="1">
        <v>45690</v>
      </c>
      <c r="E2108">
        <v>89</v>
      </c>
      <c r="F2108">
        <v>0</v>
      </c>
      <c r="G2108">
        <f>IF(Gym_Expansion_Data[[#This Row],[Churned]]=0,1,0)</f>
        <v>1</v>
      </c>
      <c r="H2108" t="str">
        <f>IF(Gym_Expansion_Data[[#This Row],[Active Member]]=1,Gym_Expansion_Data[[#This Row],[Tier]],"Inactive")</f>
        <v>Premium</v>
      </c>
    </row>
    <row r="2109" spans="1:8" x14ac:dyDescent="0.2">
      <c r="A2109">
        <v>3108</v>
      </c>
      <c r="B2109" t="s">
        <v>6</v>
      </c>
      <c r="C2109" t="s">
        <v>12</v>
      </c>
      <c r="D2109" s="1">
        <v>45785</v>
      </c>
      <c r="E2109">
        <v>89</v>
      </c>
      <c r="F2109">
        <v>1</v>
      </c>
      <c r="G2109">
        <f>IF(Gym_Expansion_Data[[#This Row],[Churned]]=0,1,0)</f>
        <v>0</v>
      </c>
      <c r="H2109" t="str">
        <f>IF(Gym_Expansion_Data[[#This Row],[Active Member]]=1,Gym_Expansion_Data[[#This Row],[Tier]],"Inactive")</f>
        <v>Inactive</v>
      </c>
    </row>
    <row r="2110" spans="1:8" x14ac:dyDescent="0.2">
      <c r="A2110">
        <v>3109</v>
      </c>
      <c r="B2110" t="s">
        <v>10</v>
      </c>
      <c r="C2110" t="s">
        <v>7</v>
      </c>
      <c r="D2110" s="1">
        <v>45420</v>
      </c>
      <c r="E2110">
        <v>49</v>
      </c>
      <c r="F2110">
        <v>0</v>
      </c>
      <c r="G2110">
        <f>IF(Gym_Expansion_Data[[#This Row],[Churned]]=0,1,0)</f>
        <v>1</v>
      </c>
      <c r="H2110" t="str">
        <f>IF(Gym_Expansion_Data[[#This Row],[Active Member]]=1,Gym_Expansion_Data[[#This Row],[Tier]],"Inactive")</f>
        <v>Basic</v>
      </c>
    </row>
    <row r="2111" spans="1:8" x14ac:dyDescent="0.2">
      <c r="A2111">
        <v>3110</v>
      </c>
      <c r="B2111" t="s">
        <v>11</v>
      </c>
      <c r="C2111" t="s">
        <v>8</v>
      </c>
      <c r="D2111" s="1">
        <v>45891</v>
      </c>
      <c r="E2111">
        <v>129</v>
      </c>
      <c r="F2111">
        <v>0</v>
      </c>
      <c r="G2111">
        <f>IF(Gym_Expansion_Data[[#This Row],[Churned]]=0,1,0)</f>
        <v>1</v>
      </c>
      <c r="H2111" t="str">
        <f>IF(Gym_Expansion_Data[[#This Row],[Active Member]]=1,Gym_Expansion_Data[[#This Row],[Tier]],"Inactive")</f>
        <v>Elite</v>
      </c>
    </row>
    <row r="2112" spans="1:8" x14ac:dyDescent="0.2">
      <c r="A2112">
        <v>3111</v>
      </c>
      <c r="B2112" t="s">
        <v>10</v>
      </c>
      <c r="C2112" t="s">
        <v>12</v>
      </c>
      <c r="D2112" s="1">
        <v>45697</v>
      </c>
      <c r="E2112">
        <v>89</v>
      </c>
      <c r="F2112">
        <v>0</v>
      </c>
      <c r="G2112">
        <f>IF(Gym_Expansion_Data[[#This Row],[Churned]]=0,1,0)</f>
        <v>1</v>
      </c>
      <c r="H2112" t="str">
        <f>IF(Gym_Expansion_Data[[#This Row],[Active Member]]=1,Gym_Expansion_Data[[#This Row],[Tier]],"Inactive")</f>
        <v>Premium</v>
      </c>
    </row>
    <row r="2113" spans="1:8" x14ac:dyDescent="0.2">
      <c r="A2113">
        <v>3112</v>
      </c>
      <c r="B2113" t="s">
        <v>6</v>
      </c>
      <c r="C2113" t="s">
        <v>7</v>
      </c>
      <c r="D2113" s="1">
        <v>45442</v>
      </c>
      <c r="E2113">
        <v>49</v>
      </c>
      <c r="F2113">
        <v>0</v>
      </c>
      <c r="G2113">
        <f>IF(Gym_Expansion_Data[[#This Row],[Churned]]=0,1,0)</f>
        <v>1</v>
      </c>
      <c r="H2113" t="str">
        <f>IF(Gym_Expansion_Data[[#This Row],[Active Member]]=1,Gym_Expansion_Data[[#This Row],[Tier]],"Inactive")</f>
        <v>Basic</v>
      </c>
    </row>
    <row r="2114" spans="1:8" x14ac:dyDescent="0.2">
      <c r="A2114">
        <v>3113</v>
      </c>
      <c r="B2114" t="s">
        <v>10</v>
      </c>
      <c r="C2114" t="s">
        <v>7</v>
      </c>
      <c r="D2114" s="1">
        <v>45323</v>
      </c>
      <c r="E2114">
        <v>49</v>
      </c>
      <c r="F2114">
        <v>0</v>
      </c>
      <c r="G2114">
        <f>IF(Gym_Expansion_Data[[#This Row],[Churned]]=0,1,0)</f>
        <v>1</v>
      </c>
      <c r="H2114" t="str">
        <f>IF(Gym_Expansion_Data[[#This Row],[Active Member]]=1,Gym_Expansion_Data[[#This Row],[Tier]],"Inactive")</f>
        <v>Basic</v>
      </c>
    </row>
    <row r="2115" spans="1:8" x14ac:dyDescent="0.2">
      <c r="A2115">
        <v>3114</v>
      </c>
      <c r="B2115" t="s">
        <v>6</v>
      </c>
      <c r="C2115" t="s">
        <v>12</v>
      </c>
      <c r="D2115" s="1">
        <v>45851</v>
      </c>
      <c r="E2115">
        <v>89</v>
      </c>
      <c r="F2115">
        <v>0</v>
      </c>
      <c r="G2115">
        <f>IF(Gym_Expansion_Data[[#This Row],[Churned]]=0,1,0)</f>
        <v>1</v>
      </c>
      <c r="H2115" t="str">
        <f>IF(Gym_Expansion_Data[[#This Row],[Active Member]]=1,Gym_Expansion_Data[[#This Row],[Tier]],"Inactive")</f>
        <v>Premium</v>
      </c>
    </row>
    <row r="2116" spans="1:8" x14ac:dyDescent="0.2">
      <c r="A2116">
        <v>3115</v>
      </c>
      <c r="B2116" t="s">
        <v>6</v>
      </c>
      <c r="C2116" t="s">
        <v>12</v>
      </c>
      <c r="D2116" s="1">
        <v>45918</v>
      </c>
      <c r="E2116">
        <v>89</v>
      </c>
      <c r="F2116">
        <v>0</v>
      </c>
      <c r="G2116">
        <f>IF(Gym_Expansion_Data[[#This Row],[Churned]]=0,1,0)</f>
        <v>1</v>
      </c>
      <c r="H2116" t="str">
        <f>IF(Gym_Expansion_Data[[#This Row],[Active Member]]=1,Gym_Expansion_Data[[#This Row],[Tier]],"Inactive")</f>
        <v>Premium</v>
      </c>
    </row>
    <row r="2117" spans="1:8" x14ac:dyDescent="0.2">
      <c r="A2117">
        <v>3116</v>
      </c>
      <c r="B2117" t="s">
        <v>10</v>
      </c>
      <c r="C2117" t="s">
        <v>12</v>
      </c>
      <c r="D2117" s="1">
        <v>45752</v>
      </c>
      <c r="E2117">
        <v>89</v>
      </c>
      <c r="F2117">
        <v>0</v>
      </c>
      <c r="G2117">
        <f>IF(Gym_Expansion_Data[[#This Row],[Churned]]=0,1,0)</f>
        <v>1</v>
      </c>
      <c r="H2117" t="str">
        <f>IF(Gym_Expansion_Data[[#This Row],[Active Member]]=1,Gym_Expansion_Data[[#This Row],[Tier]],"Inactive")</f>
        <v>Premium</v>
      </c>
    </row>
    <row r="2118" spans="1:8" x14ac:dyDescent="0.2">
      <c r="A2118">
        <v>3117</v>
      </c>
      <c r="B2118" t="s">
        <v>9</v>
      </c>
      <c r="C2118" t="s">
        <v>7</v>
      </c>
      <c r="D2118" s="1">
        <v>45664</v>
      </c>
      <c r="E2118">
        <v>49</v>
      </c>
      <c r="F2118">
        <v>0</v>
      </c>
      <c r="G2118">
        <f>IF(Gym_Expansion_Data[[#This Row],[Churned]]=0,1,0)</f>
        <v>1</v>
      </c>
      <c r="H2118" t="str">
        <f>IF(Gym_Expansion_Data[[#This Row],[Active Member]]=1,Gym_Expansion_Data[[#This Row],[Tier]],"Inactive")</f>
        <v>Basic</v>
      </c>
    </row>
    <row r="2119" spans="1:8" x14ac:dyDescent="0.2">
      <c r="A2119">
        <v>3118</v>
      </c>
      <c r="B2119" t="s">
        <v>9</v>
      </c>
      <c r="C2119" t="s">
        <v>7</v>
      </c>
      <c r="D2119" s="1">
        <v>45638</v>
      </c>
      <c r="E2119">
        <v>49</v>
      </c>
      <c r="F2119">
        <v>0</v>
      </c>
      <c r="G2119">
        <f>IF(Gym_Expansion_Data[[#This Row],[Churned]]=0,1,0)</f>
        <v>1</v>
      </c>
      <c r="H2119" t="str">
        <f>IF(Gym_Expansion_Data[[#This Row],[Active Member]]=1,Gym_Expansion_Data[[#This Row],[Tier]],"Inactive")</f>
        <v>Basic</v>
      </c>
    </row>
    <row r="2120" spans="1:8" x14ac:dyDescent="0.2">
      <c r="A2120">
        <v>3119</v>
      </c>
      <c r="B2120" t="s">
        <v>6</v>
      </c>
      <c r="C2120" t="s">
        <v>8</v>
      </c>
      <c r="D2120" s="1">
        <v>45916</v>
      </c>
      <c r="E2120">
        <v>129</v>
      </c>
      <c r="F2120">
        <v>0</v>
      </c>
      <c r="G2120">
        <f>IF(Gym_Expansion_Data[[#This Row],[Churned]]=0,1,0)</f>
        <v>1</v>
      </c>
      <c r="H2120" t="str">
        <f>IF(Gym_Expansion_Data[[#This Row],[Active Member]]=1,Gym_Expansion_Data[[#This Row],[Tier]],"Inactive")</f>
        <v>Elite</v>
      </c>
    </row>
    <row r="2121" spans="1:8" x14ac:dyDescent="0.2">
      <c r="A2121">
        <v>3120</v>
      </c>
      <c r="B2121" t="s">
        <v>11</v>
      </c>
      <c r="C2121" t="s">
        <v>7</v>
      </c>
      <c r="D2121" s="1">
        <v>45494</v>
      </c>
      <c r="E2121">
        <v>49</v>
      </c>
      <c r="F2121">
        <v>1</v>
      </c>
      <c r="G2121">
        <f>IF(Gym_Expansion_Data[[#This Row],[Churned]]=0,1,0)</f>
        <v>0</v>
      </c>
      <c r="H2121" t="str">
        <f>IF(Gym_Expansion_Data[[#This Row],[Active Member]]=1,Gym_Expansion_Data[[#This Row],[Tier]],"Inactive")</f>
        <v>Inactive</v>
      </c>
    </row>
    <row r="2122" spans="1:8" x14ac:dyDescent="0.2">
      <c r="A2122">
        <v>3121</v>
      </c>
      <c r="B2122" t="s">
        <v>11</v>
      </c>
      <c r="C2122" t="s">
        <v>12</v>
      </c>
      <c r="D2122" s="1">
        <v>45951</v>
      </c>
      <c r="E2122">
        <v>89</v>
      </c>
      <c r="F2122">
        <v>1</v>
      </c>
      <c r="G2122">
        <f>IF(Gym_Expansion_Data[[#This Row],[Churned]]=0,1,0)</f>
        <v>0</v>
      </c>
      <c r="H2122" t="str">
        <f>IF(Gym_Expansion_Data[[#This Row],[Active Member]]=1,Gym_Expansion_Data[[#This Row],[Tier]],"Inactive")</f>
        <v>Inactive</v>
      </c>
    </row>
    <row r="2123" spans="1:8" x14ac:dyDescent="0.2">
      <c r="A2123">
        <v>3122</v>
      </c>
      <c r="B2123" t="s">
        <v>9</v>
      </c>
      <c r="C2123" t="s">
        <v>12</v>
      </c>
      <c r="D2123" s="1">
        <v>45893</v>
      </c>
      <c r="E2123">
        <v>89</v>
      </c>
      <c r="F2123">
        <v>1</v>
      </c>
      <c r="G2123">
        <f>IF(Gym_Expansion_Data[[#This Row],[Churned]]=0,1,0)</f>
        <v>0</v>
      </c>
      <c r="H2123" t="str">
        <f>IF(Gym_Expansion_Data[[#This Row],[Active Member]]=1,Gym_Expansion_Data[[#This Row],[Tier]],"Inactive")</f>
        <v>Inactive</v>
      </c>
    </row>
    <row r="2124" spans="1:8" x14ac:dyDescent="0.2">
      <c r="A2124">
        <v>3123</v>
      </c>
      <c r="B2124" t="s">
        <v>11</v>
      </c>
      <c r="C2124" t="s">
        <v>7</v>
      </c>
      <c r="D2124" s="1">
        <v>45475</v>
      </c>
      <c r="E2124">
        <v>49</v>
      </c>
      <c r="F2124">
        <v>0</v>
      </c>
      <c r="G2124">
        <f>IF(Gym_Expansion_Data[[#This Row],[Churned]]=0,1,0)</f>
        <v>1</v>
      </c>
      <c r="H2124" t="str">
        <f>IF(Gym_Expansion_Data[[#This Row],[Active Member]]=1,Gym_Expansion_Data[[#This Row],[Tier]],"Inactive")</f>
        <v>Basic</v>
      </c>
    </row>
    <row r="2125" spans="1:8" x14ac:dyDescent="0.2">
      <c r="A2125">
        <v>3124</v>
      </c>
      <c r="B2125" t="s">
        <v>6</v>
      </c>
      <c r="C2125" t="s">
        <v>8</v>
      </c>
      <c r="D2125" s="1">
        <v>45493</v>
      </c>
      <c r="E2125">
        <v>129</v>
      </c>
      <c r="F2125">
        <v>0</v>
      </c>
      <c r="G2125">
        <f>IF(Gym_Expansion_Data[[#This Row],[Churned]]=0,1,0)</f>
        <v>1</v>
      </c>
      <c r="H2125" t="str">
        <f>IF(Gym_Expansion_Data[[#This Row],[Active Member]]=1,Gym_Expansion_Data[[#This Row],[Tier]],"Inactive")</f>
        <v>Elite</v>
      </c>
    </row>
    <row r="2126" spans="1:8" x14ac:dyDescent="0.2">
      <c r="A2126">
        <v>3125</v>
      </c>
      <c r="B2126" t="s">
        <v>11</v>
      </c>
      <c r="C2126" t="s">
        <v>7</v>
      </c>
      <c r="D2126" s="1">
        <v>45496</v>
      </c>
      <c r="E2126">
        <v>49</v>
      </c>
      <c r="F2126">
        <v>0</v>
      </c>
      <c r="G2126">
        <f>IF(Gym_Expansion_Data[[#This Row],[Churned]]=0,1,0)</f>
        <v>1</v>
      </c>
      <c r="H2126" t="str">
        <f>IF(Gym_Expansion_Data[[#This Row],[Active Member]]=1,Gym_Expansion_Data[[#This Row],[Tier]],"Inactive")</f>
        <v>Basic</v>
      </c>
    </row>
    <row r="2127" spans="1:8" x14ac:dyDescent="0.2">
      <c r="A2127">
        <v>3126</v>
      </c>
      <c r="B2127" t="s">
        <v>6</v>
      </c>
      <c r="C2127" t="s">
        <v>12</v>
      </c>
      <c r="D2127" s="1">
        <v>45424</v>
      </c>
      <c r="E2127">
        <v>89</v>
      </c>
      <c r="F2127">
        <v>0</v>
      </c>
      <c r="G2127">
        <f>IF(Gym_Expansion_Data[[#This Row],[Churned]]=0,1,0)</f>
        <v>1</v>
      </c>
      <c r="H2127" t="str">
        <f>IF(Gym_Expansion_Data[[#This Row],[Active Member]]=1,Gym_Expansion_Data[[#This Row],[Tier]],"Inactive")</f>
        <v>Premium</v>
      </c>
    </row>
    <row r="2128" spans="1:8" x14ac:dyDescent="0.2">
      <c r="A2128">
        <v>3127</v>
      </c>
      <c r="B2128" t="s">
        <v>9</v>
      </c>
      <c r="C2128" t="s">
        <v>7</v>
      </c>
      <c r="D2128" s="1">
        <v>45867</v>
      </c>
      <c r="E2128">
        <v>49</v>
      </c>
      <c r="F2128">
        <v>0</v>
      </c>
      <c r="G2128">
        <f>IF(Gym_Expansion_Data[[#This Row],[Churned]]=0,1,0)</f>
        <v>1</v>
      </c>
      <c r="H2128" t="str">
        <f>IF(Gym_Expansion_Data[[#This Row],[Active Member]]=1,Gym_Expansion_Data[[#This Row],[Tier]],"Inactive")</f>
        <v>Basic</v>
      </c>
    </row>
    <row r="2129" spans="1:8" x14ac:dyDescent="0.2">
      <c r="A2129">
        <v>3128</v>
      </c>
      <c r="B2129" t="s">
        <v>9</v>
      </c>
      <c r="C2129" t="s">
        <v>8</v>
      </c>
      <c r="D2129" s="1">
        <v>45734</v>
      </c>
      <c r="E2129">
        <v>129</v>
      </c>
      <c r="F2129">
        <v>1</v>
      </c>
      <c r="G2129">
        <f>IF(Gym_Expansion_Data[[#This Row],[Churned]]=0,1,0)</f>
        <v>0</v>
      </c>
      <c r="H2129" t="str">
        <f>IF(Gym_Expansion_Data[[#This Row],[Active Member]]=1,Gym_Expansion_Data[[#This Row],[Tier]],"Inactive")</f>
        <v>Inactive</v>
      </c>
    </row>
    <row r="2130" spans="1:8" x14ac:dyDescent="0.2">
      <c r="A2130">
        <v>3129</v>
      </c>
      <c r="B2130" t="s">
        <v>9</v>
      </c>
      <c r="C2130" t="s">
        <v>7</v>
      </c>
      <c r="D2130" s="1">
        <v>45510</v>
      </c>
      <c r="E2130">
        <v>49</v>
      </c>
      <c r="F2130">
        <v>0</v>
      </c>
      <c r="G2130">
        <f>IF(Gym_Expansion_Data[[#This Row],[Churned]]=0,1,0)</f>
        <v>1</v>
      </c>
      <c r="H2130" t="str">
        <f>IF(Gym_Expansion_Data[[#This Row],[Active Member]]=1,Gym_Expansion_Data[[#This Row],[Tier]],"Inactive")</f>
        <v>Basic</v>
      </c>
    </row>
    <row r="2131" spans="1:8" x14ac:dyDescent="0.2">
      <c r="A2131">
        <v>3130</v>
      </c>
      <c r="B2131" t="s">
        <v>11</v>
      </c>
      <c r="C2131" t="s">
        <v>8</v>
      </c>
      <c r="D2131" s="1">
        <v>45514</v>
      </c>
      <c r="E2131">
        <v>129</v>
      </c>
      <c r="F2131">
        <v>1</v>
      </c>
      <c r="G2131">
        <f>IF(Gym_Expansion_Data[[#This Row],[Churned]]=0,1,0)</f>
        <v>0</v>
      </c>
      <c r="H2131" t="str">
        <f>IF(Gym_Expansion_Data[[#This Row],[Active Member]]=1,Gym_Expansion_Data[[#This Row],[Tier]],"Inactive")</f>
        <v>Inactive</v>
      </c>
    </row>
    <row r="2132" spans="1:8" x14ac:dyDescent="0.2">
      <c r="A2132">
        <v>3131</v>
      </c>
      <c r="B2132" t="s">
        <v>11</v>
      </c>
      <c r="C2132" t="s">
        <v>8</v>
      </c>
      <c r="D2132" s="1">
        <v>45901</v>
      </c>
      <c r="E2132">
        <v>129</v>
      </c>
      <c r="F2132">
        <v>1</v>
      </c>
      <c r="G2132">
        <f>IF(Gym_Expansion_Data[[#This Row],[Churned]]=0,1,0)</f>
        <v>0</v>
      </c>
      <c r="H2132" t="str">
        <f>IF(Gym_Expansion_Data[[#This Row],[Active Member]]=1,Gym_Expansion_Data[[#This Row],[Tier]],"Inactive")</f>
        <v>Inactive</v>
      </c>
    </row>
    <row r="2133" spans="1:8" x14ac:dyDescent="0.2">
      <c r="A2133">
        <v>3132</v>
      </c>
      <c r="B2133" t="s">
        <v>9</v>
      </c>
      <c r="C2133" t="s">
        <v>8</v>
      </c>
      <c r="D2133" s="1">
        <v>45462</v>
      </c>
      <c r="E2133">
        <v>129</v>
      </c>
      <c r="F2133">
        <v>0</v>
      </c>
      <c r="G2133">
        <f>IF(Gym_Expansion_Data[[#This Row],[Churned]]=0,1,0)</f>
        <v>1</v>
      </c>
      <c r="H2133" t="str">
        <f>IF(Gym_Expansion_Data[[#This Row],[Active Member]]=1,Gym_Expansion_Data[[#This Row],[Tier]],"Inactive")</f>
        <v>Elite</v>
      </c>
    </row>
    <row r="2134" spans="1:8" x14ac:dyDescent="0.2">
      <c r="A2134">
        <v>3133</v>
      </c>
      <c r="B2134" t="s">
        <v>11</v>
      </c>
      <c r="C2134" t="s">
        <v>12</v>
      </c>
      <c r="D2134" s="1">
        <v>45486</v>
      </c>
      <c r="E2134">
        <v>89</v>
      </c>
      <c r="F2134">
        <v>0</v>
      </c>
      <c r="G2134">
        <f>IF(Gym_Expansion_Data[[#This Row],[Churned]]=0,1,0)</f>
        <v>1</v>
      </c>
      <c r="H2134" t="str">
        <f>IF(Gym_Expansion_Data[[#This Row],[Active Member]]=1,Gym_Expansion_Data[[#This Row],[Tier]],"Inactive")</f>
        <v>Premium</v>
      </c>
    </row>
    <row r="2135" spans="1:8" x14ac:dyDescent="0.2">
      <c r="A2135">
        <v>3134</v>
      </c>
      <c r="B2135" t="s">
        <v>6</v>
      </c>
      <c r="C2135" t="s">
        <v>12</v>
      </c>
      <c r="D2135" s="1">
        <v>45855</v>
      </c>
      <c r="E2135">
        <v>89</v>
      </c>
      <c r="F2135">
        <v>1</v>
      </c>
      <c r="G2135">
        <f>IF(Gym_Expansion_Data[[#This Row],[Churned]]=0,1,0)</f>
        <v>0</v>
      </c>
      <c r="H2135" t="str">
        <f>IF(Gym_Expansion_Data[[#This Row],[Active Member]]=1,Gym_Expansion_Data[[#This Row],[Tier]],"Inactive")</f>
        <v>Inactive</v>
      </c>
    </row>
    <row r="2136" spans="1:8" x14ac:dyDescent="0.2">
      <c r="A2136">
        <v>3135</v>
      </c>
      <c r="B2136" t="s">
        <v>9</v>
      </c>
      <c r="C2136" t="s">
        <v>7</v>
      </c>
      <c r="D2136" s="1">
        <v>45338</v>
      </c>
      <c r="E2136">
        <v>49</v>
      </c>
      <c r="F2136">
        <v>0</v>
      </c>
      <c r="G2136">
        <f>IF(Gym_Expansion_Data[[#This Row],[Churned]]=0,1,0)</f>
        <v>1</v>
      </c>
      <c r="H2136" t="str">
        <f>IF(Gym_Expansion_Data[[#This Row],[Active Member]]=1,Gym_Expansion_Data[[#This Row],[Tier]],"Inactive")</f>
        <v>Basic</v>
      </c>
    </row>
    <row r="2137" spans="1:8" x14ac:dyDescent="0.2">
      <c r="A2137">
        <v>3136</v>
      </c>
      <c r="B2137" t="s">
        <v>10</v>
      </c>
      <c r="C2137" t="s">
        <v>12</v>
      </c>
      <c r="D2137" s="1">
        <v>45872</v>
      </c>
      <c r="E2137">
        <v>89</v>
      </c>
      <c r="F2137">
        <v>0</v>
      </c>
      <c r="G2137">
        <f>IF(Gym_Expansion_Data[[#This Row],[Churned]]=0,1,0)</f>
        <v>1</v>
      </c>
      <c r="H2137" t="str">
        <f>IF(Gym_Expansion_Data[[#This Row],[Active Member]]=1,Gym_Expansion_Data[[#This Row],[Tier]],"Inactive")</f>
        <v>Premium</v>
      </c>
    </row>
    <row r="2138" spans="1:8" x14ac:dyDescent="0.2">
      <c r="A2138">
        <v>3137</v>
      </c>
      <c r="B2138" t="s">
        <v>10</v>
      </c>
      <c r="C2138" t="s">
        <v>12</v>
      </c>
      <c r="D2138" s="1">
        <v>45558</v>
      </c>
      <c r="E2138">
        <v>89</v>
      </c>
      <c r="F2138">
        <v>0</v>
      </c>
      <c r="G2138">
        <f>IF(Gym_Expansion_Data[[#This Row],[Churned]]=0,1,0)</f>
        <v>1</v>
      </c>
      <c r="H2138" t="str">
        <f>IF(Gym_Expansion_Data[[#This Row],[Active Member]]=1,Gym_Expansion_Data[[#This Row],[Tier]],"Inactive")</f>
        <v>Premium</v>
      </c>
    </row>
    <row r="2139" spans="1:8" x14ac:dyDescent="0.2">
      <c r="A2139">
        <v>3138</v>
      </c>
      <c r="B2139" t="s">
        <v>6</v>
      </c>
      <c r="C2139" t="s">
        <v>7</v>
      </c>
      <c r="D2139" s="1">
        <v>45359</v>
      </c>
      <c r="E2139">
        <v>49</v>
      </c>
      <c r="F2139">
        <v>0</v>
      </c>
      <c r="G2139">
        <f>IF(Gym_Expansion_Data[[#This Row],[Churned]]=0,1,0)</f>
        <v>1</v>
      </c>
      <c r="H2139" t="str">
        <f>IF(Gym_Expansion_Data[[#This Row],[Active Member]]=1,Gym_Expansion_Data[[#This Row],[Tier]],"Inactive")</f>
        <v>Basic</v>
      </c>
    </row>
    <row r="2140" spans="1:8" x14ac:dyDescent="0.2">
      <c r="A2140">
        <v>3139</v>
      </c>
      <c r="B2140" t="s">
        <v>9</v>
      </c>
      <c r="C2140" t="s">
        <v>12</v>
      </c>
      <c r="D2140" s="1">
        <v>45505</v>
      </c>
      <c r="E2140">
        <v>89</v>
      </c>
      <c r="F2140">
        <v>0</v>
      </c>
      <c r="G2140">
        <f>IF(Gym_Expansion_Data[[#This Row],[Churned]]=0,1,0)</f>
        <v>1</v>
      </c>
      <c r="H2140" t="str">
        <f>IF(Gym_Expansion_Data[[#This Row],[Active Member]]=1,Gym_Expansion_Data[[#This Row],[Tier]],"Inactive")</f>
        <v>Premium</v>
      </c>
    </row>
    <row r="2141" spans="1:8" x14ac:dyDescent="0.2">
      <c r="A2141">
        <v>3140</v>
      </c>
      <c r="B2141" t="s">
        <v>9</v>
      </c>
      <c r="C2141" t="s">
        <v>7</v>
      </c>
      <c r="D2141" s="1">
        <v>45941</v>
      </c>
      <c r="E2141">
        <v>49</v>
      </c>
      <c r="F2141">
        <v>1</v>
      </c>
      <c r="G2141">
        <f>IF(Gym_Expansion_Data[[#This Row],[Churned]]=0,1,0)</f>
        <v>0</v>
      </c>
      <c r="H2141" t="str">
        <f>IF(Gym_Expansion_Data[[#This Row],[Active Member]]=1,Gym_Expansion_Data[[#This Row],[Tier]],"Inactive")</f>
        <v>Inactive</v>
      </c>
    </row>
    <row r="2142" spans="1:8" x14ac:dyDescent="0.2">
      <c r="A2142">
        <v>3141</v>
      </c>
      <c r="B2142" t="s">
        <v>6</v>
      </c>
      <c r="C2142" t="s">
        <v>12</v>
      </c>
      <c r="D2142" s="1">
        <v>45805</v>
      </c>
      <c r="E2142">
        <v>89</v>
      </c>
      <c r="F2142">
        <v>0</v>
      </c>
      <c r="G2142">
        <f>IF(Gym_Expansion_Data[[#This Row],[Churned]]=0,1,0)</f>
        <v>1</v>
      </c>
      <c r="H2142" t="str">
        <f>IF(Gym_Expansion_Data[[#This Row],[Active Member]]=1,Gym_Expansion_Data[[#This Row],[Tier]],"Inactive")</f>
        <v>Premium</v>
      </c>
    </row>
    <row r="2143" spans="1:8" x14ac:dyDescent="0.2">
      <c r="A2143">
        <v>3142</v>
      </c>
      <c r="B2143" t="s">
        <v>10</v>
      </c>
      <c r="C2143" t="s">
        <v>8</v>
      </c>
      <c r="D2143" s="1">
        <v>45884</v>
      </c>
      <c r="E2143">
        <v>129</v>
      </c>
      <c r="F2143">
        <v>1</v>
      </c>
      <c r="G2143">
        <f>IF(Gym_Expansion_Data[[#This Row],[Churned]]=0,1,0)</f>
        <v>0</v>
      </c>
      <c r="H2143" t="str">
        <f>IF(Gym_Expansion_Data[[#This Row],[Active Member]]=1,Gym_Expansion_Data[[#This Row],[Tier]],"Inactive")</f>
        <v>Inactive</v>
      </c>
    </row>
    <row r="2144" spans="1:8" x14ac:dyDescent="0.2">
      <c r="A2144">
        <v>3143</v>
      </c>
      <c r="B2144" t="s">
        <v>10</v>
      </c>
      <c r="C2144" t="s">
        <v>7</v>
      </c>
      <c r="D2144" s="1">
        <v>45939</v>
      </c>
      <c r="E2144">
        <v>49</v>
      </c>
      <c r="F2144">
        <v>0</v>
      </c>
      <c r="G2144">
        <f>IF(Gym_Expansion_Data[[#This Row],[Churned]]=0,1,0)</f>
        <v>1</v>
      </c>
      <c r="H2144" t="str">
        <f>IF(Gym_Expansion_Data[[#This Row],[Active Member]]=1,Gym_Expansion_Data[[#This Row],[Tier]],"Inactive")</f>
        <v>Basic</v>
      </c>
    </row>
    <row r="2145" spans="1:8" x14ac:dyDescent="0.2">
      <c r="A2145">
        <v>3144</v>
      </c>
      <c r="B2145" t="s">
        <v>9</v>
      </c>
      <c r="C2145" t="s">
        <v>12</v>
      </c>
      <c r="D2145" s="1">
        <v>45852</v>
      </c>
      <c r="E2145">
        <v>89</v>
      </c>
      <c r="F2145">
        <v>0</v>
      </c>
      <c r="G2145">
        <f>IF(Gym_Expansion_Data[[#This Row],[Churned]]=0,1,0)</f>
        <v>1</v>
      </c>
      <c r="H2145" t="str">
        <f>IF(Gym_Expansion_Data[[#This Row],[Active Member]]=1,Gym_Expansion_Data[[#This Row],[Tier]],"Inactive")</f>
        <v>Premium</v>
      </c>
    </row>
    <row r="2146" spans="1:8" x14ac:dyDescent="0.2">
      <c r="A2146">
        <v>3145</v>
      </c>
      <c r="B2146" t="s">
        <v>9</v>
      </c>
      <c r="C2146" t="s">
        <v>8</v>
      </c>
      <c r="D2146" s="1">
        <v>45857</v>
      </c>
      <c r="E2146">
        <v>129</v>
      </c>
      <c r="F2146">
        <v>0</v>
      </c>
      <c r="G2146">
        <f>IF(Gym_Expansion_Data[[#This Row],[Churned]]=0,1,0)</f>
        <v>1</v>
      </c>
      <c r="H2146" t="str">
        <f>IF(Gym_Expansion_Data[[#This Row],[Active Member]]=1,Gym_Expansion_Data[[#This Row],[Tier]],"Inactive")</f>
        <v>Elite</v>
      </c>
    </row>
    <row r="2147" spans="1:8" x14ac:dyDescent="0.2">
      <c r="A2147">
        <v>3146</v>
      </c>
      <c r="B2147" t="s">
        <v>6</v>
      </c>
      <c r="C2147" t="s">
        <v>7</v>
      </c>
      <c r="D2147" s="1">
        <v>45812</v>
      </c>
      <c r="E2147">
        <v>49</v>
      </c>
      <c r="F2147">
        <v>0</v>
      </c>
      <c r="G2147">
        <f>IF(Gym_Expansion_Data[[#This Row],[Churned]]=0,1,0)</f>
        <v>1</v>
      </c>
      <c r="H2147" t="str">
        <f>IF(Gym_Expansion_Data[[#This Row],[Active Member]]=1,Gym_Expansion_Data[[#This Row],[Tier]],"Inactive")</f>
        <v>Basic</v>
      </c>
    </row>
    <row r="2148" spans="1:8" x14ac:dyDescent="0.2">
      <c r="A2148">
        <v>3147</v>
      </c>
      <c r="B2148" t="s">
        <v>11</v>
      </c>
      <c r="C2148" t="s">
        <v>8</v>
      </c>
      <c r="D2148" s="1">
        <v>45462</v>
      </c>
      <c r="E2148">
        <v>129</v>
      </c>
      <c r="F2148">
        <v>0</v>
      </c>
      <c r="G2148">
        <f>IF(Gym_Expansion_Data[[#This Row],[Churned]]=0,1,0)</f>
        <v>1</v>
      </c>
      <c r="H2148" t="str">
        <f>IF(Gym_Expansion_Data[[#This Row],[Active Member]]=1,Gym_Expansion_Data[[#This Row],[Tier]],"Inactive")</f>
        <v>Elite</v>
      </c>
    </row>
    <row r="2149" spans="1:8" x14ac:dyDescent="0.2">
      <c r="A2149">
        <v>3148</v>
      </c>
      <c r="B2149" t="s">
        <v>6</v>
      </c>
      <c r="C2149" t="s">
        <v>7</v>
      </c>
      <c r="D2149" s="1">
        <v>45330</v>
      </c>
      <c r="E2149">
        <v>49</v>
      </c>
      <c r="F2149">
        <v>0</v>
      </c>
      <c r="G2149">
        <f>IF(Gym_Expansion_Data[[#This Row],[Churned]]=0,1,0)</f>
        <v>1</v>
      </c>
      <c r="H2149" t="str">
        <f>IF(Gym_Expansion_Data[[#This Row],[Active Member]]=1,Gym_Expansion_Data[[#This Row],[Tier]],"Inactive")</f>
        <v>Basic</v>
      </c>
    </row>
    <row r="2150" spans="1:8" x14ac:dyDescent="0.2">
      <c r="A2150">
        <v>3149</v>
      </c>
      <c r="B2150" t="s">
        <v>10</v>
      </c>
      <c r="C2150" t="s">
        <v>7</v>
      </c>
      <c r="D2150" s="1">
        <v>45480</v>
      </c>
      <c r="E2150">
        <v>49</v>
      </c>
      <c r="F2150">
        <v>0</v>
      </c>
      <c r="G2150">
        <f>IF(Gym_Expansion_Data[[#This Row],[Churned]]=0,1,0)</f>
        <v>1</v>
      </c>
      <c r="H2150" t="str">
        <f>IF(Gym_Expansion_Data[[#This Row],[Active Member]]=1,Gym_Expansion_Data[[#This Row],[Tier]],"Inactive")</f>
        <v>Basic</v>
      </c>
    </row>
    <row r="2151" spans="1:8" x14ac:dyDescent="0.2">
      <c r="A2151">
        <v>3150</v>
      </c>
      <c r="B2151" t="s">
        <v>9</v>
      </c>
      <c r="C2151" t="s">
        <v>7</v>
      </c>
      <c r="D2151" s="1">
        <v>45577</v>
      </c>
      <c r="E2151">
        <v>49</v>
      </c>
      <c r="F2151">
        <v>0</v>
      </c>
      <c r="G2151">
        <f>IF(Gym_Expansion_Data[[#This Row],[Churned]]=0,1,0)</f>
        <v>1</v>
      </c>
      <c r="H2151" t="str">
        <f>IF(Gym_Expansion_Data[[#This Row],[Active Member]]=1,Gym_Expansion_Data[[#This Row],[Tier]],"Inactive")</f>
        <v>Basic</v>
      </c>
    </row>
    <row r="2152" spans="1:8" x14ac:dyDescent="0.2">
      <c r="A2152">
        <v>3151</v>
      </c>
      <c r="B2152" t="s">
        <v>6</v>
      </c>
      <c r="C2152" t="s">
        <v>8</v>
      </c>
      <c r="D2152" s="1">
        <v>45324</v>
      </c>
      <c r="E2152">
        <v>129</v>
      </c>
      <c r="F2152">
        <v>0</v>
      </c>
      <c r="G2152">
        <f>IF(Gym_Expansion_Data[[#This Row],[Churned]]=0,1,0)</f>
        <v>1</v>
      </c>
      <c r="H2152" t="str">
        <f>IF(Gym_Expansion_Data[[#This Row],[Active Member]]=1,Gym_Expansion_Data[[#This Row],[Tier]],"Inactive")</f>
        <v>Elite</v>
      </c>
    </row>
    <row r="2153" spans="1:8" x14ac:dyDescent="0.2">
      <c r="A2153">
        <v>3152</v>
      </c>
      <c r="B2153" t="s">
        <v>10</v>
      </c>
      <c r="C2153" t="s">
        <v>7</v>
      </c>
      <c r="D2153" s="1">
        <v>45330</v>
      </c>
      <c r="E2153">
        <v>49</v>
      </c>
      <c r="F2153">
        <v>0</v>
      </c>
      <c r="G2153">
        <f>IF(Gym_Expansion_Data[[#This Row],[Churned]]=0,1,0)</f>
        <v>1</v>
      </c>
      <c r="H2153" t="str">
        <f>IF(Gym_Expansion_Data[[#This Row],[Active Member]]=1,Gym_Expansion_Data[[#This Row],[Tier]],"Inactive")</f>
        <v>Basic</v>
      </c>
    </row>
    <row r="2154" spans="1:8" x14ac:dyDescent="0.2">
      <c r="A2154">
        <v>3153</v>
      </c>
      <c r="B2154" t="s">
        <v>11</v>
      </c>
      <c r="C2154" t="s">
        <v>7</v>
      </c>
      <c r="D2154" s="1">
        <v>45494</v>
      </c>
      <c r="E2154">
        <v>49</v>
      </c>
      <c r="F2154">
        <v>0</v>
      </c>
      <c r="G2154">
        <f>IF(Gym_Expansion_Data[[#This Row],[Churned]]=0,1,0)</f>
        <v>1</v>
      </c>
      <c r="H2154" t="str">
        <f>IF(Gym_Expansion_Data[[#This Row],[Active Member]]=1,Gym_Expansion_Data[[#This Row],[Tier]],"Inactive")</f>
        <v>Basic</v>
      </c>
    </row>
    <row r="2155" spans="1:8" x14ac:dyDescent="0.2">
      <c r="A2155">
        <v>3154</v>
      </c>
      <c r="B2155" t="s">
        <v>9</v>
      </c>
      <c r="C2155" t="s">
        <v>7</v>
      </c>
      <c r="D2155" s="1">
        <v>45439</v>
      </c>
      <c r="E2155">
        <v>49</v>
      </c>
      <c r="F2155">
        <v>0</v>
      </c>
      <c r="G2155">
        <f>IF(Gym_Expansion_Data[[#This Row],[Churned]]=0,1,0)</f>
        <v>1</v>
      </c>
      <c r="H2155" t="str">
        <f>IF(Gym_Expansion_Data[[#This Row],[Active Member]]=1,Gym_Expansion_Data[[#This Row],[Tier]],"Inactive")</f>
        <v>Basic</v>
      </c>
    </row>
    <row r="2156" spans="1:8" x14ac:dyDescent="0.2">
      <c r="A2156">
        <v>3155</v>
      </c>
      <c r="B2156" t="s">
        <v>9</v>
      </c>
      <c r="C2156" t="s">
        <v>12</v>
      </c>
      <c r="D2156" s="1">
        <v>45489</v>
      </c>
      <c r="E2156">
        <v>89</v>
      </c>
      <c r="F2156">
        <v>0</v>
      </c>
      <c r="G2156">
        <f>IF(Gym_Expansion_Data[[#This Row],[Churned]]=0,1,0)</f>
        <v>1</v>
      </c>
      <c r="H2156" t="str">
        <f>IF(Gym_Expansion_Data[[#This Row],[Active Member]]=1,Gym_Expansion_Data[[#This Row],[Tier]],"Inactive")</f>
        <v>Premium</v>
      </c>
    </row>
    <row r="2157" spans="1:8" x14ac:dyDescent="0.2">
      <c r="A2157">
        <v>3156</v>
      </c>
      <c r="B2157" t="s">
        <v>10</v>
      </c>
      <c r="C2157" t="s">
        <v>12</v>
      </c>
      <c r="D2157" s="1">
        <v>45621</v>
      </c>
      <c r="E2157">
        <v>89</v>
      </c>
      <c r="F2157">
        <v>0</v>
      </c>
      <c r="G2157">
        <f>IF(Gym_Expansion_Data[[#This Row],[Churned]]=0,1,0)</f>
        <v>1</v>
      </c>
      <c r="H2157" t="str">
        <f>IF(Gym_Expansion_Data[[#This Row],[Active Member]]=1,Gym_Expansion_Data[[#This Row],[Tier]],"Inactive")</f>
        <v>Premium</v>
      </c>
    </row>
    <row r="2158" spans="1:8" x14ac:dyDescent="0.2">
      <c r="A2158">
        <v>3157</v>
      </c>
      <c r="B2158" t="s">
        <v>9</v>
      </c>
      <c r="C2158" t="s">
        <v>8</v>
      </c>
      <c r="D2158" s="1">
        <v>45524</v>
      </c>
      <c r="E2158">
        <v>129</v>
      </c>
      <c r="F2158">
        <v>0</v>
      </c>
      <c r="G2158">
        <f>IF(Gym_Expansion_Data[[#This Row],[Churned]]=0,1,0)</f>
        <v>1</v>
      </c>
      <c r="H2158" t="str">
        <f>IF(Gym_Expansion_Data[[#This Row],[Active Member]]=1,Gym_Expansion_Data[[#This Row],[Tier]],"Inactive")</f>
        <v>Elite</v>
      </c>
    </row>
    <row r="2159" spans="1:8" x14ac:dyDescent="0.2">
      <c r="A2159">
        <v>3158</v>
      </c>
      <c r="B2159" t="s">
        <v>9</v>
      </c>
      <c r="C2159" t="s">
        <v>8</v>
      </c>
      <c r="D2159" s="1">
        <v>45652</v>
      </c>
      <c r="E2159">
        <v>129</v>
      </c>
      <c r="F2159">
        <v>1</v>
      </c>
      <c r="G2159">
        <f>IF(Gym_Expansion_Data[[#This Row],[Churned]]=0,1,0)</f>
        <v>0</v>
      </c>
      <c r="H2159" t="str">
        <f>IF(Gym_Expansion_Data[[#This Row],[Active Member]]=1,Gym_Expansion_Data[[#This Row],[Tier]],"Inactive")</f>
        <v>Inactive</v>
      </c>
    </row>
    <row r="2160" spans="1:8" x14ac:dyDescent="0.2">
      <c r="A2160">
        <v>3159</v>
      </c>
      <c r="B2160" t="s">
        <v>9</v>
      </c>
      <c r="C2160" t="s">
        <v>12</v>
      </c>
      <c r="D2160" s="1">
        <v>45796</v>
      </c>
      <c r="E2160">
        <v>89</v>
      </c>
      <c r="F2160">
        <v>0</v>
      </c>
      <c r="G2160">
        <f>IF(Gym_Expansion_Data[[#This Row],[Churned]]=0,1,0)</f>
        <v>1</v>
      </c>
      <c r="H2160" t="str">
        <f>IF(Gym_Expansion_Data[[#This Row],[Active Member]]=1,Gym_Expansion_Data[[#This Row],[Tier]],"Inactive")</f>
        <v>Premium</v>
      </c>
    </row>
    <row r="2161" spans="1:8" x14ac:dyDescent="0.2">
      <c r="A2161">
        <v>3160</v>
      </c>
      <c r="B2161" t="s">
        <v>6</v>
      </c>
      <c r="C2161" t="s">
        <v>12</v>
      </c>
      <c r="D2161" s="1">
        <v>45683</v>
      </c>
      <c r="E2161">
        <v>89</v>
      </c>
      <c r="F2161">
        <v>1</v>
      </c>
      <c r="G2161">
        <f>IF(Gym_Expansion_Data[[#This Row],[Churned]]=0,1,0)</f>
        <v>0</v>
      </c>
      <c r="H2161" t="str">
        <f>IF(Gym_Expansion_Data[[#This Row],[Active Member]]=1,Gym_Expansion_Data[[#This Row],[Tier]],"Inactive")</f>
        <v>Inactive</v>
      </c>
    </row>
    <row r="2162" spans="1:8" x14ac:dyDescent="0.2">
      <c r="A2162">
        <v>3161</v>
      </c>
      <c r="B2162" t="s">
        <v>10</v>
      </c>
      <c r="C2162" t="s">
        <v>7</v>
      </c>
      <c r="D2162" s="1">
        <v>45362</v>
      </c>
      <c r="E2162">
        <v>49</v>
      </c>
      <c r="F2162">
        <v>0</v>
      </c>
      <c r="G2162">
        <f>IF(Gym_Expansion_Data[[#This Row],[Churned]]=0,1,0)</f>
        <v>1</v>
      </c>
      <c r="H2162" t="str">
        <f>IF(Gym_Expansion_Data[[#This Row],[Active Member]]=1,Gym_Expansion_Data[[#This Row],[Tier]],"Inactive")</f>
        <v>Basic</v>
      </c>
    </row>
    <row r="2163" spans="1:8" x14ac:dyDescent="0.2">
      <c r="A2163">
        <v>3162</v>
      </c>
      <c r="B2163" t="s">
        <v>6</v>
      </c>
      <c r="C2163" t="s">
        <v>8</v>
      </c>
      <c r="D2163" s="1">
        <v>45418</v>
      </c>
      <c r="E2163">
        <v>129</v>
      </c>
      <c r="F2163">
        <v>0</v>
      </c>
      <c r="G2163">
        <f>IF(Gym_Expansion_Data[[#This Row],[Churned]]=0,1,0)</f>
        <v>1</v>
      </c>
      <c r="H2163" t="str">
        <f>IF(Gym_Expansion_Data[[#This Row],[Active Member]]=1,Gym_Expansion_Data[[#This Row],[Tier]],"Inactive")</f>
        <v>Elite</v>
      </c>
    </row>
    <row r="2164" spans="1:8" x14ac:dyDescent="0.2">
      <c r="A2164">
        <v>3163</v>
      </c>
      <c r="B2164" t="s">
        <v>11</v>
      </c>
      <c r="C2164" t="s">
        <v>12</v>
      </c>
      <c r="D2164" s="1">
        <v>45946</v>
      </c>
      <c r="E2164">
        <v>89</v>
      </c>
      <c r="F2164">
        <v>0</v>
      </c>
      <c r="G2164">
        <f>IF(Gym_Expansion_Data[[#This Row],[Churned]]=0,1,0)</f>
        <v>1</v>
      </c>
      <c r="H2164" t="str">
        <f>IF(Gym_Expansion_Data[[#This Row],[Active Member]]=1,Gym_Expansion_Data[[#This Row],[Tier]],"Inactive")</f>
        <v>Premium</v>
      </c>
    </row>
    <row r="2165" spans="1:8" x14ac:dyDescent="0.2">
      <c r="A2165">
        <v>3164</v>
      </c>
      <c r="B2165" t="s">
        <v>6</v>
      </c>
      <c r="C2165" t="s">
        <v>12</v>
      </c>
      <c r="D2165" s="1">
        <v>45836</v>
      </c>
      <c r="E2165">
        <v>89</v>
      </c>
      <c r="F2165">
        <v>0</v>
      </c>
      <c r="G2165">
        <f>IF(Gym_Expansion_Data[[#This Row],[Churned]]=0,1,0)</f>
        <v>1</v>
      </c>
      <c r="H2165" t="str">
        <f>IF(Gym_Expansion_Data[[#This Row],[Active Member]]=1,Gym_Expansion_Data[[#This Row],[Tier]],"Inactive")</f>
        <v>Premium</v>
      </c>
    </row>
    <row r="2166" spans="1:8" x14ac:dyDescent="0.2">
      <c r="A2166">
        <v>3165</v>
      </c>
      <c r="B2166" t="s">
        <v>9</v>
      </c>
      <c r="C2166" t="s">
        <v>8</v>
      </c>
      <c r="D2166" s="1">
        <v>45584</v>
      </c>
      <c r="E2166">
        <v>129</v>
      </c>
      <c r="F2166">
        <v>1</v>
      </c>
      <c r="G2166">
        <f>IF(Gym_Expansion_Data[[#This Row],[Churned]]=0,1,0)</f>
        <v>0</v>
      </c>
      <c r="H2166" t="str">
        <f>IF(Gym_Expansion_Data[[#This Row],[Active Member]]=1,Gym_Expansion_Data[[#This Row],[Tier]],"Inactive")</f>
        <v>Inactive</v>
      </c>
    </row>
    <row r="2167" spans="1:8" x14ac:dyDescent="0.2">
      <c r="A2167">
        <v>3166</v>
      </c>
      <c r="B2167" t="s">
        <v>11</v>
      </c>
      <c r="C2167" t="s">
        <v>7</v>
      </c>
      <c r="D2167" s="1">
        <v>45671</v>
      </c>
      <c r="E2167">
        <v>49</v>
      </c>
      <c r="F2167">
        <v>0</v>
      </c>
      <c r="G2167">
        <f>IF(Gym_Expansion_Data[[#This Row],[Churned]]=0,1,0)</f>
        <v>1</v>
      </c>
      <c r="H2167" t="str">
        <f>IF(Gym_Expansion_Data[[#This Row],[Active Member]]=1,Gym_Expansion_Data[[#This Row],[Tier]],"Inactive")</f>
        <v>Basic</v>
      </c>
    </row>
    <row r="2168" spans="1:8" x14ac:dyDescent="0.2">
      <c r="A2168">
        <v>3167</v>
      </c>
      <c r="B2168" t="s">
        <v>9</v>
      </c>
      <c r="C2168" t="s">
        <v>8</v>
      </c>
      <c r="D2168" s="1">
        <v>45650</v>
      </c>
      <c r="E2168">
        <v>129</v>
      </c>
      <c r="F2168">
        <v>0</v>
      </c>
      <c r="G2168">
        <f>IF(Gym_Expansion_Data[[#This Row],[Churned]]=0,1,0)</f>
        <v>1</v>
      </c>
      <c r="H2168" t="str">
        <f>IF(Gym_Expansion_Data[[#This Row],[Active Member]]=1,Gym_Expansion_Data[[#This Row],[Tier]],"Inactive")</f>
        <v>Elite</v>
      </c>
    </row>
    <row r="2169" spans="1:8" x14ac:dyDescent="0.2">
      <c r="A2169">
        <v>3168</v>
      </c>
      <c r="B2169" t="s">
        <v>10</v>
      </c>
      <c r="C2169" t="s">
        <v>8</v>
      </c>
      <c r="D2169" s="1">
        <v>45389</v>
      </c>
      <c r="E2169">
        <v>129</v>
      </c>
      <c r="F2169">
        <v>0</v>
      </c>
      <c r="G2169">
        <f>IF(Gym_Expansion_Data[[#This Row],[Churned]]=0,1,0)</f>
        <v>1</v>
      </c>
      <c r="H2169" t="str">
        <f>IF(Gym_Expansion_Data[[#This Row],[Active Member]]=1,Gym_Expansion_Data[[#This Row],[Tier]],"Inactive")</f>
        <v>Elite</v>
      </c>
    </row>
    <row r="2170" spans="1:8" x14ac:dyDescent="0.2">
      <c r="A2170">
        <v>3169</v>
      </c>
      <c r="B2170" t="s">
        <v>11</v>
      </c>
      <c r="C2170" t="s">
        <v>12</v>
      </c>
      <c r="D2170" s="1">
        <v>45841</v>
      </c>
      <c r="E2170">
        <v>89</v>
      </c>
      <c r="F2170">
        <v>0</v>
      </c>
      <c r="G2170">
        <f>IF(Gym_Expansion_Data[[#This Row],[Churned]]=0,1,0)</f>
        <v>1</v>
      </c>
      <c r="H2170" t="str">
        <f>IF(Gym_Expansion_Data[[#This Row],[Active Member]]=1,Gym_Expansion_Data[[#This Row],[Tier]],"Inactive")</f>
        <v>Premium</v>
      </c>
    </row>
    <row r="2171" spans="1:8" x14ac:dyDescent="0.2">
      <c r="A2171">
        <v>3170</v>
      </c>
      <c r="B2171" t="s">
        <v>9</v>
      </c>
      <c r="C2171" t="s">
        <v>7</v>
      </c>
      <c r="D2171" s="1">
        <v>45882</v>
      </c>
      <c r="E2171">
        <v>49</v>
      </c>
      <c r="F2171">
        <v>0</v>
      </c>
      <c r="G2171">
        <f>IF(Gym_Expansion_Data[[#This Row],[Churned]]=0,1,0)</f>
        <v>1</v>
      </c>
      <c r="H2171" t="str">
        <f>IF(Gym_Expansion_Data[[#This Row],[Active Member]]=1,Gym_Expansion_Data[[#This Row],[Tier]],"Inactive")</f>
        <v>Basic</v>
      </c>
    </row>
    <row r="2172" spans="1:8" x14ac:dyDescent="0.2">
      <c r="A2172">
        <v>3171</v>
      </c>
      <c r="B2172" t="s">
        <v>9</v>
      </c>
      <c r="C2172" t="s">
        <v>7</v>
      </c>
      <c r="D2172" s="1">
        <v>45362</v>
      </c>
      <c r="E2172">
        <v>49</v>
      </c>
      <c r="F2172">
        <v>0</v>
      </c>
      <c r="G2172">
        <f>IF(Gym_Expansion_Data[[#This Row],[Churned]]=0,1,0)</f>
        <v>1</v>
      </c>
      <c r="H2172" t="str">
        <f>IF(Gym_Expansion_Data[[#This Row],[Active Member]]=1,Gym_Expansion_Data[[#This Row],[Tier]],"Inactive")</f>
        <v>Basic</v>
      </c>
    </row>
    <row r="2173" spans="1:8" x14ac:dyDescent="0.2">
      <c r="A2173">
        <v>3172</v>
      </c>
      <c r="B2173" t="s">
        <v>9</v>
      </c>
      <c r="C2173" t="s">
        <v>7</v>
      </c>
      <c r="D2173" s="1">
        <v>45842</v>
      </c>
      <c r="E2173">
        <v>49</v>
      </c>
      <c r="F2173">
        <v>0</v>
      </c>
      <c r="G2173">
        <f>IF(Gym_Expansion_Data[[#This Row],[Churned]]=0,1,0)</f>
        <v>1</v>
      </c>
      <c r="H2173" t="str">
        <f>IF(Gym_Expansion_Data[[#This Row],[Active Member]]=1,Gym_Expansion_Data[[#This Row],[Tier]],"Inactive")</f>
        <v>Basic</v>
      </c>
    </row>
    <row r="2174" spans="1:8" x14ac:dyDescent="0.2">
      <c r="A2174">
        <v>3173</v>
      </c>
      <c r="B2174" t="s">
        <v>9</v>
      </c>
      <c r="C2174" t="s">
        <v>8</v>
      </c>
      <c r="D2174" s="1">
        <v>45495</v>
      </c>
      <c r="E2174">
        <v>129</v>
      </c>
      <c r="F2174">
        <v>0</v>
      </c>
      <c r="G2174">
        <f>IF(Gym_Expansion_Data[[#This Row],[Churned]]=0,1,0)</f>
        <v>1</v>
      </c>
      <c r="H2174" t="str">
        <f>IF(Gym_Expansion_Data[[#This Row],[Active Member]]=1,Gym_Expansion_Data[[#This Row],[Tier]],"Inactive")</f>
        <v>Elite</v>
      </c>
    </row>
    <row r="2175" spans="1:8" x14ac:dyDescent="0.2">
      <c r="A2175">
        <v>3174</v>
      </c>
      <c r="B2175" t="s">
        <v>10</v>
      </c>
      <c r="C2175" t="s">
        <v>12</v>
      </c>
      <c r="D2175" s="1">
        <v>45952</v>
      </c>
      <c r="E2175">
        <v>89</v>
      </c>
      <c r="F2175">
        <v>0</v>
      </c>
      <c r="G2175">
        <f>IF(Gym_Expansion_Data[[#This Row],[Churned]]=0,1,0)</f>
        <v>1</v>
      </c>
      <c r="H2175" t="str">
        <f>IF(Gym_Expansion_Data[[#This Row],[Active Member]]=1,Gym_Expansion_Data[[#This Row],[Tier]],"Inactive")</f>
        <v>Premium</v>
      </c>
    </row>
    <row r="2176" spans="1:8" x14ac:dyDescent="0.2">
      <c r="A2176">
        <v>3175</v>
      </c>
      <c r="B2176" t="s">
        <v>9</v>
      </c>
      <c r="C2176" t="s">
        <v>12</v>
      </c>
      <c r="D2176" s="1">
        <v>45587</v>
      </c>
      <c r="E2176">
        <v>89</v>
      </c>
      <c r="F2176">
        <v>1</v>
      </c>
      <c r="G2176">
        <f>IF(Gym_Expansion_Data[[#This Row],[Churned]]=0,1,0)</f>
        <v>0</v>
      </c>
      <c r="H2176" t="str">
        <f>IF(Gym_Expansion_Data[[#This Row],[Active Member]]=1,Gym_Expansion_Data[[#This Row],[Tier]],"Inactive")</f>
        <v>Inactive</v>
      </c>
    </row>
    <row r="2177" spans="1:8" x14ac:dyDescent="0.2">
      <c r="A2177">
        <v>3176</v>
      </c>
      <c r="B2177" t="s">
        <v>9</v>
      </c>
      <c r="C2177" t="s">
        <v>7</v>
      </c>
      <c r="D2177" s="1">
        <v>45718</v>
      </c>
      <c r="E2177">
        <v>49</v>
      </c>
      <c r="F2177">
        <v>0</v>
      </c>
      <c r="G2177">
        <f>IF(Gym_Expansion_Data[[#This Row],[Churned]]=0,1,0)</f>
        <v>1</v>
      </c>
      <c r="H2177" t="str">
        <f>IF(Gym_Expansion_Data[[#This Row],[Active Member]]=1,Gym_Expansion_Data[[#This Row],[Tier]],"Inactive")</f>
        <v>Basic</v>
      </c>
    </row>
    <row r="2178" spans="1:8" x14ac:dyDescent="0.2">
      <c r="A2178">
        <v>3177</v>
      </c>
      <c r="B2178" t="s">
        <v>9</v>
      </c>
      <c r="C2178" t="s">
        <v>12</v>
      </c>
      <c r="D2178" s="1">
        <v>45972</v>
      </c>
      <c r="E2178">
        <v>89</v>
      </c>
      <c r="F2178">
        <v>0</v>
      </c>
      <c r="G2178">
        <f>IF(Gym_Expansion_Data[[#This Row],[Churned]]=0,1,0)</f>
        <v>1</v>
      </c>
      <c r="H2178" t="str">
        <f>IF(Gym_Expansion_Data[[#This Row],[Active Member]]=1,Gym_Expansion_Data[[#This Row],[Tier]],"Inactive")</f>
        <v>Premium</v>
      </c>
    </row>
    <row r="2179" spans="1:8" x14ac:dyDescent="0.2">
      <c r="A2179">
        <v>3178</v>
      </c>
      <c r="B2179" t="s">
        <v>9</v>
      </c>
      <c r="C2179" t="s">
        <v>7</v>
      </c>
      <c r="D2179" s="1">
        <v>45927</v>
      </c>
      <c r="E2179">
        <v>49</v>
      </c>
      <c r="F2179">
        <v>1</v>
      </c>
      <c r="G2179">
        <f>IF(Gym_Expansion_Data[[#This Row],[Churned]]=0,1,0)</f>
        <v>0</v>
      </c>
      <c r="H2179" t="str">
        <f>IF(Gym_Expansion_Data[[#This Row],[Active Member]]=1,Gym_Expansion_Data[[#This Row],[Tier]],"Inactive")</f>
        <v>Inactive</v>
      </c>
    </row>
    <row r="2180" spans="1:8" x14ac:dyDescent="0.2">
      <c r="A2180">
        <v>3179</v>
      </c>
      <c r="B2180" t="s">
        <v>6</v>
      </c>
      <c r="C2180" t="s">
        <v>8</v>
      </c>
      <c r="D2180" s="1">
        <v>45468</v>
      </c>
      <c r="E2180">
        <v>129</v>
      </c>
      <c r="F2180">
        <v>1</v>
      </c>
      <c r="G2180">
        <f>IF(Gym_Expansion_Data[[#This Row],[Churned]]=0,1,0)</f>
        <v>0</v>
      </c>
      <c r="H2180" t="str">
        <f>IF(Gym_Expansion_Data[[#This Row],[Active Member]]=1,Gym_Expansion_Data[[#This Row],[Tier]],"Inactive")</f>
        <v>Inactive</v>
      </c>
    </row>
    <row r="2181" spans="1:8" x14ac:dyDescent="0.2">
      <c r="A2181">
        <v>3180</v>
      </c>
      <c r="B2181" t="s">
        <v>11</v>
      </c>
      <c r="C2181" t="s">
        <v>12</v>
      </c>
      <c r="D2181" s="1">
        <v>45747</v>
      </c>
      <c r="E2181">
        <v>89</v>
      </c>
      <c r="F2181">
        <v>0</v>
      </c>
      <c r="G2181">
        <f>IF(Gym_Expansion_Data[[#This Row],[Churned]]=0,1,0)</f>
        <v>1</v>
      </c>
      <c r="H2181" t="str">
        <f>IF(Gym_Expansion_Data[[#This Row],[Active Member]]=1,Gym_Expansion_Data[[#This Row],[Tier]],"Inactive")</f>
        <v>Premium</v>
      </c>
    </row>
    <row r="2182" spans="1:8" x14ac:dyDescent="0.2">
      <c r="A2182">
        <v>3181</v>
      </c>
      <c r="B2182" t="s">
        <v>9</v>
      </c>
      <c r="C2182" t="s">
        <v>7</v>
      </c>
      <c r="D2182" s="1">
        <v>45941</v>
      </c>
      <c r="E2182">
        <v>49</v>
      </c>
      <c r="F2182">
        <v>0</v>
      </c>
      <c r="G2182">
        <f>IF(Gym_Expansion_Data[[#This Row],[Churned]]=0,1,0)</f>
        <v>1</v>
      </c>
      <c r="H2182" t="str">
        <f>IF(Gym_Expansion_Data[[#This Row],[Active Member]]=1,Gym_Expansion_Data[[#This Row],[Tier]],"Inactive")</f>
        <v>Basic</v>
      </c>
    </row>
    <row r="2183" spans="1:8" x14ac:dyDescent="0.2">
      <c r="A2183">
        <v>3182</v>
      </c>
      <c r="B2183" t="s">
        <v>6</v>
      </c>
      <c r="C2183" t="s">
        <v>7</v>
      </c>
      <c r="D2183" s="1">
        <v>45939</v>
      </c>
      <c r="E2183">
        <v>49</v>
      </c>
      <c r="F2183">
        <v>0</v>
      </c>
      <c r="G2183">
        <f>IF(Gym_Expansion_Data[[#This Row],[Churned]]=0,1,0)</f>
        <v>1</v>
      </c>
      <c r="H2183" t="str">
        <f>IF(Gym_Expansion_Data[[#This Row],[Active Member]]=1,Gym_Expansion_Data[[#This Row],[Tier]],"Inactive")</f>
        <v>Basic</v>
      </c>
    </row>
    <row r="2184" spans="1:8" x14ac:dyDescent="0.2">
      <c r="A2184">
        <v>3183</v>
      </c>
      <c r="B2184" t="s">
        <v>11</v>
      </c>
      <c r="C2184" t="s">
        <v>7</v>
      </c>
      <c r="D2184" s="1">
        <v>45369</v>
      </c>
      <c r="E2184">
        <v>49</v>
      </c>
      <c r="F2184">
        <v>0</v>
      </c>
      <c r="G2184">
        <f>IF(Gym_Expansion_Data[[#This Row],[Churned]]=0,1,0)</f>
        <v>1</v>
      </c>
      <c r="H2184" t="str">
        <f>IF(Gym_Expansion_Data[[#This Row],[Active Member]]=1,Gym_Expansion_Data[[#This Row],[Tier]],"Inactive")</f>
        <v>Basic</v>
      </c>
    </row>
    <row r="2185" spans="1:8" x14ac:dyDescent="0.2">
      <c r="A2185">
        <v>3184</v>
      </c>
      <c r="B2185" t="s">
        <v>6</v>
      </c>
      <c r="C2185" t="s">
        <v>12</v>
      </c>
      <c r="D2185" s="1">
        <v>45455</v>
      </c>
      <c r="E2185">
        <v>89</v>
      </c>
      <c r="F2185">
        <v>1</v>
      </c>
      <c r="G2185">
        <f>IF(Gym_Expansion_Data[[#This Row],[Churned]]=0,1,0)</f>
        <v>0</v>
      </c>
      <c r="H2185" t="str">
        <f>IF(Gym_Expansion_Data[[#This Row],[Active Member]]=1,Gym_Expansion_Data[[#This Row],[Tier]],"Inactive")</f>
        <v>Inactive</v>
      </c>
    </row>
    <row r="2186" spans="1:8" x14ac:dyDescent="0.2">
      <c r="A2186">
        <v>3185</v>
      </c>
      <c r="B2186" t="s">
        <v>9</v>
      </c>
      <c r="C2186" t="s">
        <v>7</v>
      </c>
      <c r="D2186" s="1">
        <v>45881</v>
      </c>
      <c r="E2186">
        <v>49</v>
      </c>
      <c r="F2186">
        <v>0</v>
      </c>
      <c r="G2186">
        <f>IF(Gym_Expansion_Data[[#This Row],[Churned]]=0,1,0)</f>
        <v>1</v>
      </c>
      <c r="H2186" t="str">
        <f>IF(Gym_Expansion_Data[[#This Row],[Active Member]]=1,Gym_Expansion_Data[[#This Row],[Tier]],"Inactive")</f>
        <v>Basic</v>
      </c>
    </row>
    <row r="2187" spans="1:8" x14ac:dyDescent="0.2">
      <c r="A2187">
        <v>3186</v>
      </c>
      <c r="B2187" t="s">
        <v>10</v>
      </c>
      <c r="C2187" t="s">
        <v>12</v>
      </c>
      <c r="D2187" s="1">
        <v>45916</v>
      </c>
      <c r="E2187">
        <v>89</v>
      </c>
      <c r="F2187">
        <v>0</v>
      </c>
      <c r="G2187">
        <f>IF(Gym_Expansion_Data[[#This Row],[Churned]]=0,1,0)</f>
        <v>1</v>
      </c>
      <c r="H2187" t="str">
        <f>IF(Gym_Expansion_Data[[#This Row],[Active Member]]=1,Gym_Expansion_Data[[#This Row],[Tier]],"Inactive")</f>
        <v>Premium</v>
      </c>
    </row>
    <row r="2188" spans="1:8" x14ac:dyDescent="0.2">
      <c r="A2188">
        <v>3187</v>
      </c>
      <c r="B2188" t="s">
        <v>9</v>
      </c>
      <c r="C2188" t="s">
        <v>12</v>
      </c>
      <c r="D2188" s="1">
        <v>45763</v>
      </c>
      <c r="E2188">
        <v>89</v>
      </c>
      <c r="F2188">
        <v>1</v>
      </c>
      <c r="G2188">
        <f>IF(Gym_Expansion_Data[[#This Row],[Churned]]=0,1,0)</f>
        <v>0</v>
      </c>
      <c r="H2188" t="str">
        <f>IF(Gym_Expansion_Data[[#This Row],[Active Member]]=1,Gym_Expansion_Data[[#This Row],[Tier]],"Inactive")</f>
        <v>Inactive</v>
      </c>
    </row>
    <row r="2189" spans="1:8" x14ac:dyDescent="0.2">
      <c r="A2189">
        <v>3188</v>
      </c>
      <c r="B2189" t="s">
        <v>9</v>
      </c>
      <c r="C2189" t="s">
        <v>12</v>
      </c>
      <c r="D2189" s="1">
        <v>45920</v>
      </c>
      <c r="E2189">
        <v>89</v>
      </c>
      <c r="F2189">
        <v>1</v>
      </c>
      <c r="G2189">
        <f>IF(Gym_Expansion_Data[[#This Row],[Churned]]=0,1,0)</f>
        <v>0</v>
      </c>
      <c r="H2189" t="str">
        <f>IF(Gym_Expansion_Data[[#This Row],[Active Member]]=1,Gym_Expansion_Data[[#This Row],[Tier]],"Inactive")</f>
        <v>Inactive</v>
      </c>
    </row>
    <row r="2190" spans="1:8" x14ac:dyDescent="0.2">
      <c r="A2190">
        <v>3189</v>
      </c>
      <c r="B2190" t="s">
        <v>10</v>
      </c>
      <c r="C2190" t="s">
        <v>7</v>
      </c>
      <c r="D2190" s="1">
        <v>45791</v>
      </c>
      <c r="E2190">
        <v>49</v>
      </c>
      <c r="F2190">
        <v>0</v>
      </c>
      <c r="G2190">
        <f>IF(Gym_Expansion_Data[[#This Row],[Churned]]=0,1,0)</f>
        <v>1</v>
      </c>
      <c r="H2190" t="str">
        <f>IF(Gym_Expansion_Data[[#This Row],[Active Member]]=1,Gym_Expansion_Data[[#This Row],[Tier]],"Inactive")</f>
        <v>Basic</v>
      </c>
    </row>
    <row r="2191" spans="1:8" x14ac:dyDescent="0.2">
      <c r="A2191">
        <v>3190</v>
      </c>
      <c r="B2191" t="s">
        <v>6</v>
      </c>
      <c r="C2191" t="s">
        <v>12</v>
      </c>
      <c r="D2191" s="1">
        <v>45654</v>
      </c>
      <c r="E2191">
        <v>89</v>
      </c>
      <c r="F2191">
        <v>0</v>
      </c>
      <c r="G2191">
        <f>IF(Gym_Expansion_Data[[#This Row],[Churned]]=0,1,0)</f>
        <v>1</v>
      </c>
      <c r="H2191" t="str">
        <f>IF(Gym_Expansion_Data[[#This Row],[Active Member]]=1,Gym_Expansion_Data[[#This Row],[Tier]],"Inactive")</f>
        <v>Premium</v>
      </c>
    </row>
    <row r="2192" spans="1:8" x14ac:dyDescent="0.2">
      <c r="A2192">
        <v>3191</v>
      </c>
      <c r="B2192" t="s">
        <v>10</v>
      </c>
      <c r="C2192" t="s">
        <v>7</v>
      </c>
      <c r="D2192" s="1">
        <v>45597</v>
      </c>
      <c r="E2192">
        <v>49</v>
      </c>
      <c r="F2192">
        <v>0</v>
      </c>
      <c r="G2192">
        <f>IF(Gym_Expansion_Data[[#This Row],[Churned]]=0,1,0)</f>
        <v>1</v>
      </c>
      <c r="H2192" t="str">
        <f>IF(Gym_Expansion_Data[[#This Row],[Active Member]]=1,Gym_Expansion_Data[[#This Row],[Tier]],"Inactive")</f>
        <v>Basic</v>
      </c>
    </row>
    <row r="2193" spans="1:8" x14ac:dyDescent="0.2">
      <c r="A2193">
        <v>3192</v>
      </c>
      <c r="B2193" t="s">
        <v>11</v>
      </c>
      <c r="C2193" t="s">
        <v>12</v>
      </c>
      <c r="D2193" s="1">
        <v>45924</v>
      </c>
      <c r="E2193">
        <v>89</v>
      </c>
      <c r="F2193">
        <v>0</v>
      </c>
      <c r="G2193">
        <f>IF(Gym_Expansion_Data[[#This Row],[Churned]]=0,1,0)</f>
        <v>1</v>
      </c>
      <c r="H2193" t="str">
        <f>IF(Gym_Expansion_Data[[#This Row],[Active Member]]=1,Gym_Expansion_Data[[#This Row],[Tier]],"Inactive")</f>
        <v>Premium</v>
      </c>
    </row>
    <row r="2194" spans="1:8" x14ac:dyDescent="0.2">
      <c r="A2194">
        <v>3193</v>
      </c>
      <c r="B2194" t="s">
        <v>6</v>
      </c>
      <c r="C2194" t="s">
        <v>12</v>
      </c>
      <c r="D2194" s="1">
        <v>45495</v>
      </c>
      <c r="E2194">
        <v>89</v>
      </c>
      <c r="F2194">
        <v>0</v>
      </c>
      <c r="G2194">
        <f>IF(Gym_Expansion_Data[[#This Row],[Churned]]=0,1,0)</f>
        <v>1</v>
      </c>
      <c r="H2194" t="str">
        <f>IF(Gym_Expansion_Data[[#This Row],[Active Member]]=1,Gym_Expansion_Data[[#This Row],[Tier]],"Inactive")</f>
        <v>Premium</v>
      </c>
    </row>
    <row r="2195" spans="1:8" x14ac:dyDescent="0.2">
      <c r="A2195">
        <v>3194</v>
      </c>
      <c r="B2195" t="s">
        <v>6</v>
      </c>
      <c r="C2195" t="s">
        <v>12</v>
      </c>
      <c r="D2195" s="1">
        <v>45713</v>
      </c>
      <c r="E2195">
        <v>89</v>
      </c>
      <c r="F2195">
        <v>0</v>
      </c>
      <c r="G2195">
        <f>IF(Gym_Expansion_Data[[#This Row],[Churned]]=0,1,0)</f>
        <v>1</v>
      </c>
      <c r="H2195" t="str">
        <f>IF(Gym_Expansion_Data[[#This Row],[Active Member]]=1,Gym_Expansion_Data[[#This Row],[Tier]],"Inactive")</f>
        <v>Premium</v>
      </c>
    </row>
    <row r="2196" spans="1:8" x14ac:dyDescent="0.2">
      <c r="A2196">
        <v>3195</v>
      </c>
      <c r="B2196" t="s">
        <v>10</v>
      </c>
      <c r="C2196" t="s">
        <v>12</v>
      </c>
      <c r="D2196" s="1">
        <v>45817</v>
      </c>
      <c r="E2196">
        <v>89</v>
      </c>
      <c r="F2196">
        <v>1</v>
      </c>
      <c r="G2196">
        <f>IF(Gym_Expansion_Data[[#This Row],[Churned]]=0,1,0)</f>
        <v>0</v>
      </c>
      <c r="H2196" t="str">
        <f>IF(Gym_Expansion_Data[[#This Row],[Active Member]]=1,Gym_Expansion_Data[[#This Row],[Tier]],"Inactive")</f>
        <v>Inactive</v>
      </c>
    </row>
    <row r="2197" spans="1:8" x14ac:dyDescent="0.2">
      <c r="A2197">
        <v>3196</v>
      </c>
      <c r="B2197" t="s">
        <v>9</v>
      </c>
      <c r="C2197" t="s">
        <v>8</v>
      </c>
      <c r="D2197" s="1">
        <v>45896</v>
      </c>
      <c r="E2197">
        <v>129</v>
      </c>
      <c r="F2197">
        <v>0</v>
      </c>
      <c r="G2197">
        <f>IF(Gym_Expansion_Data[[#This Row],[Churned]]=0,1,0)</f>
        <v>1</v>
      </c>
      <c r="H2197" t="str">
        <f>IF(Gym_Expansion_Data[[#This Row],[Active Member]]=1,Gym_Expansion_Data[[#This Row],[Tier]],"Inactive")</f>
        <v>Elite</v>
      </c>
    </row>
    <row r="2198" spans="1:8" x14ac:dyDescent="0.2">
      <c r="A2198">
        <v>3197</v>
      </c>
      <c r="B2198" t="s">
        <v>11</v>
      </c>
      <c r="C2198" t="s">
        <v>12</v>
      </c>
      <c r="D2198" s="1">
        <v>45739</v>
      </c>
      <c r="E2198">
        <v>89</v>
      </c>
      <c r="F2198">
        <v>0</v>
      </c>
      <c r="G2198">
        <f>IF(Gym_Expansion_Data[[#This Row],[Churned]]=0,1,0)</f>
        <v>1</v>
      </c>
      <c r="H2198" t="str">
        <f>IF(Gym_Expansion_Data[[#This Row],[Active Member]]=1,Gym_Expansion_Data[[#This Row],[Tier]],"Inactive")</f>
        <v>Premium</v>
      </c>
    </row>
    <row r="2199" spans="1:8" x14ac:dyDescent="0.2">
      <c r="A2199">
        <v>3198</v>
      </c>
      <c r="B2199" t="s">
        <v>11</v>
      </c>
      <c r="C2199" t="s">
        <v>7</v>
      </c>
      <c r="D2199" s="1">
        <v>45775</v>
      </c>
      <c r="E2199">
        <v>49</v>
      </c>
      <c r="F2199">
        <v>0</v>
      </c>
      <c r="G2199">
        <f>IF(Gym_Expansion_Data[[#This Row],[Churned]]=0,1,0)</f>
        <v>1</v>
      </c>
      <c r="H2199" t="str">
        <f>IF(Gym_Expansion_Data[[#This Row],[Active Member]]=1,Gym_Expansion_Data[[#This Row],[Tier]],"Inactive")</f>
        <v>Basic</v>
      </c>
    </row>
    <row r="2200" spans="1:8" x14ac:dyDescent="0.2">
      <c r="A2200">
        <v>3199</v>
      </c>
      <c r="B2200" t="s">
        <v>6</v>
      </c>
      <c r="C2200" t="s">
        <v>7</v>
      </c>
      <c r="D2200" s="1">
        <v>45542</v>
      </c>
      <c r="E2200">
        <v>49</v>
      </c>
      <c r="F2200">
        <v>0</v>
      </c>
      <c r="G2200">
        <f>IF(Gym_Expansion_Data[[#This Row],[Churned]]=0,1,0)</f>
        <v>1</v>
      </c>
      <c r="H2200" t="str">
        <f>IF(Gym_Expansion_Data[[#This Row],[Active Member]]=1,Gym_Expansion_Data[[#This Row],[Tier]],"Inactive")</f>
        <v>Basic</v>
      </c>
    </row>
    <row r="2201" spans="1:8" x14ac:dyDescent="0.2">
      <c r="A2201">
        <v>3200</v>
      </c>
      <c r="B2201" t="s">
        <v>11</v>
      </c>
      <c r="C2201" t="s">
        <v>12</v>
      </c>
      <c r="D2201" s="1">
        <v>45713</v>
      </c>
      <c r="E2201">
        <v>89</v>
      </c>
      <c r="F2201">
        <v>0</v>
      </c>
      <c r="G2201">
        <f>IF(Gym_Expansion_Data[[#This Row],[Churned]]=0,1,0)</f>
        <v>1</v>
      </c>
      <c r="H2201" t="str">
        <f>IF(Gym_Expansion_Data[[#This Row],[Active Member]]=1,Gym_Expansion_Data[[#This Row],[Tier]],"Inactive")</f>
        <v>Premium</v>
      </c>
    </row>
    <row r="2202" spans="1:8" x14ac:dyDescent="0.2">
      <c r="A2202">
        <v>3201</v>
      </c>
      <c r="B2202" t="s">
        <v>9</v>
      </c>
      <c r="C2202" t="s">
        <v>12</v>
      </c>
      <c r="D2202" s="1">
        <v>45791</v>
      </c>
      <c r="E2202">
        <v>89</v>
      </c>
      <c r="F2202">
        <v>0</v>
      </c>
      <c r="G2202">
        <f>IF(Gym_Expansion_Data[[#This Row],[Churned]]=0,1,0)</f>
        <v>1</v>
      </c>
      <c r="H2202" t="str">
        <f>IF(Gym_Expansion_Data[[#This Row],[Active Member]]=1,Gym_Expansion_Data[[#This Row],[Tier]],"Inactive")</f>
        <v>Premium</v>
      </c>
    </row>
    <row r="2203" spans="1:8" x14ac:dyDescent="0.2">
      <c r="A2203">
        <v>3202</v>
      </c>
      <c r="B2203" t="s">
        <v>10</v>
      </c>
      <c r="C2203" t="s">
        <v>7</v>
      </c>
      <c r="D2203" s="1">
        <v>45590</v>
      </c>
      <c r="E2203">
        <v>49</v>
      </c>
      <c r="F2203">
        <v>1</v>
      </c>
      <c r="G2203">
        <f>IF(Gym_Expansion_Data[[#This Row],[Churned]]=0,1,0)</f>
        <v>0</v>
      </c>
      <c r="H2203" t="str">
        <f>IF(Gym_Expansion_Data[[#This Row],[Active Member]]=1,Gym_Expansion_Data[[#This Row],[Tier]],"Inactive")</f>
        <v>Inactive</v>
      </c>
    </row>
    <row r="2204" spans="1:8" x14ac:dyDescent="0.2">
      <c r="A2204">
        <v>3203</v>
      </c>
      <c r="B2204" t="s">
        <v>9</v>
      </c>
      <c r="C2204" t="s">
        <v>7</v>
      </c>
      <c r="D2204" s="1">
        <v>45565</v>
      </c>
      <c r="E2204">
        <v>49</v>
      </c>
      <c r="F2204">
        <v>0</v>
      </c>
      <c r="G2204">
        <f>IF(Gym_Expansion_Data[[#This Row],[Churned]]=0,1,0)</f>
        <v>1</v>
      </c>
      <c r="H2204" t="str">
        <f>IF(Gym_Expansion_Data[[#This Row],[Active Member]]=1,Gym_Expansion_Data[[#This Row],[Tier]],"Inactive")</f>
        <v>Basic</v>
      </c>
    </row>
    <row r="2205" spans="1:8" x14ac:dyDescent="0.2">
      <c r="A2205">
        <v>3204</v>
      </c>
      <c r="B2205" t="s">
        <v>9</v>
      </c>
      <c r="C2205" t="s">
        <v>12</v>
      </c>
      <c r="D2205" s="1">
        <v>45882</v>
      </c>
      <c r="E2205">
        <v>89</v>
      </c>
      <c r="F2205">
        <v>0</v>
      </c>
      <c r="G2205">
        <f>IF(Gym_Expansion_Data[[#This Row],[Churned]]=0,1,0)</f>
        <v>1</v>
      </c>
      <c r="H2205" t="str">
        <f>IF(Gym_Expansion_Data[[#This Row],[Active Member]]=1,Gym_Expansion_Data[[#This Row],[Tier]],"Inactive")</f>
        <v>Premium</v>
      </c>
    </row>
    <row r="2206" spans="1:8" x14ac:dyDescent="0.2">
      <c r="A2206">
        <v>3205</v>
      </c>
      <c r="B2206" t="s">
        <v>9</v>
      </c>
      <c r="C2206" t="s">
        <v>12</v>
      </c>
      <c r="D2206" s="1">
        <v>45529</v>
      </c>
      <c r="E2206">
        <v>89</v>
      </c>
      <c r="F2206">
        <v>0</v>
      </c>
      <c r="G2206">
        <f>IF(Gym_Expansion_Data[[#This Row],[Churned]]=0,1,0)</f>
        <v>1</v>
      </c>
      <c r="H2206" t="str">
        <f>IF(Gym_Expansion_Data[[#This Row],[Active Member]]=1,Gym_Expansion_Data[[#This Row],[Tier]],"Inactive")</f>
        <v>Premium</v>
      </c>
    </row>
    <row r="2207" spans="1:8" x14ac:dyDescent="0.2">
      <c r="A2207">
        <v>3206</v>
      </c>
      <c r="B2207" t="s">
        <v>10</v>
      </c>
      <c r="C2207" t="s">
        <v>7</v>
      </c>
      <c r="D2207" s="1">
        <v>45601</v>
      </c>
      <c r="E2207">
        <v>49</v>
      </c>
      <c r="F2207">
        <v>0</v>
      </c>
      <c r="G2207">
        <f>IF(Gym_Expansion_Data[[#This Row],[Churned]]=0,1,0)</f>
        <v>1</v>
      </c>
      <c r="H2207" t="str">
        <f>IF(Gym_Expansion_Data[[#This Row],[Active Member]]=1,Gym_Expansion_Data[[#This Row],[Tier]],"Inactive")</f>
        <v>Basic</v>
      </c>
    </row>
    <row r="2208" spans="1:8" x14ac:dyDescent="0.2">
      <c r="A2208">
        <v>3207</v>
      </c>
      <c r="B2208" t="s">
        <v>11</v>
      </c>
      <c r="C2208" t="s">
        <v>8</v>
      </c>
      <c r="D2208" s="1">
        <v>45739</v>
      </c>
      <c r="E2208">
        <v>129</v>
      </c>
      <c r="F2208">
        <v>0</v>
      </c>
      <c r="G2208">
        <f>IF(Gym_Expansion_Data[[#This Row],[Churned]]=0,1,0)</f>
        <v>1</v>
      </c>
      <c r="H2208" t="str">
        <f>IF(Gym_Expansion_Data[[#This Row],[Active Member]]=1,Gym_Expansion_Data[[#This Row],[Tier]],"Inactive")</f>
        <v>Elite</v>
      </c>
    </row>
    <row r="2209" spans="1:8" x14ac:dyDescent="0.2">
      <c r="A2209">
        <v>3208</v>
      </c>
      <c r="B2209" t="s">
        <v>9</v>
      </c>
      <c r="C2209" t="s">
        <v>7</v>
      </c>
      <c r="D2209" s="1">
        <v>45925</v>
      </c>
      <c r="E2209">
        <v>49</v>
      </c>
      <c r="F2209">
        <v>0</v>
      </c>
      <c r="G2209">
        <f>IF(Gym_Expansion_Data[[#This Row],[Churned]]=0,1,0)</f>
        <v>1</v>
      </c>
      <c r="H2209" t="str">
        <f>IF(Gym_Expansion_Data[[#This Row],[Active Member]]=1,Gym_Expansion_Data[[#This Row],[Tier]],"Inactive")</f>
        <v>Basic</v>
      </c>
    </row>
    <row r="2210" spans="1:8" x14ac:dyDescent="0.2">
      <c r="A2210">
        <v>3209</v>
      </c>
      <c r="B2210" t="s">
        <v>10</v>
      </c>
      <c r="C2210" t="s">
        <v>8</v>
      </c>
      <c r="D2210" s="1">
        <v>45528</v>
      </c>
      <c r="E2210">
        <v>129</v>
      </c>
      <c r="F2210">
        <v>1</v>
      </c>
      <c r="G2210">
        <f>IF(Gym_Expansion_Data[[#This Row],[Churned]]=0,1,0)</f>
        <v>0</v>
      </c>
      <c r="H2210" t="str">
        <f>IF(Gym_Expansion_Data[[#This Row],[Active Member]]=1,Gym_Expansion_Data[[#This Row],[Tier]],"Inactive")</f>
        <v>Inactive</v>
      </c>
    </row>
    <row r="2211" spans="1:8" x14ac:dyDescent="0.2">
      <c r="A2211">
        <v>3210</v>
      </c>
      <c r="B2211" t="s">
        <v>9</v>
      </c>
      <c r="C2211" t="s">
        <v>12</v>
      </c>
      <c r="D2211" s="1">
        <v>45325</v>
      </c>
      <c r="E2211">
        <v>89</v>
      </c>
      <c r="F2211">
        <v>0</v>
      </c>
      <c r="G2211">
        <f>IF(Gym_Expansion_Data[[#This Row],[Churned]]=0,1,0)</f>
        <v>1</v>
      </c>
      <c r="H2211" t="str">
        <f>IF(Gym_Expansion_Data[[#This Row],[Active Member]]=1,Gym_Expansion_Data[[#This Row],[Tier]],"Inactive")</f>
        <v>Premium</v>
      </c>
    </row>
    <row r="2212" spans="1:8" x14ac:dyDescent="0.2">
      <c r="A2212">
        <v>3211</v>
      </c>
      <c r="B2212" t="s">
        <v>10</v>
      </c>
      <c r="C2212" t="s">
        <v>7</v>
      </c>
      <c r="D2212" s="1">
        <v>45912</v>
      </c>
      <c r="E2212">
        <v>49</v>
      </c>
      <c r="F2212">
        <v>0</v>
      </c>
      <c r="G2212">
        <f>IF(Gym_Expansion_Data[[#This Row],[Churned]]=0,1,0)</f>
        <v>1</v>
      </c>
      <c r="H2212" t="str">
        <f>IF(Gym_Expansion_Data[[#This Row],[Active Member]]=1,Gym_Expansion_Data[[#This Row],[Tier]],"Inactive")</f>
        <v>Basic</v>
      </c>
    </row>
    <row r="2213" spans="1:8" x14ac:dyDescent="0.2">
      <c r="A2213">
        <v>3212</v>
      </c>
      <c r="B2213" t="s">
        <v>11</v>
      </c>
      <c r="C2213" t="s">
        <v>7</v>
      </c>
      <c r="D2213" s="1">
        <v>45653</v>
      </c>
      <c r="E2213">
        <v>49</v>
      </c>
      <c r="F2213">
        <v>1</v>
      </c>
      <c r="G2213">
        <f>IF(Gym_Expansion_Data[[#This Row],[Churned]]=0,1,0)</f>
        <v>0</v>
      </c>
      <c r="H2213" t="str">
        <f>IF(Gym_Expansion_Data[[#This Row],[Active Member]]=1,Gym_Expansion_Data[[#This Row],[Tier]],"Inactive")</f>
        <v>Inactive</v>
      </c>
    </row>
    <row r="2214" spans="1:8" x14ac:dyDescent="0.2">
      <c r="A2214">
        <v>3213</v>
      </c>
      <c r="B2214" t="s">
        <v>11</v>
      </c>
      <c r="C2214" t="s">
        <v>7</v>
      </c>
      <c r="D2214" s="1">
        <v>45346</v>
      </c>
      <c r="E2214">
        <v>49</v>
      </c>
      <c r="F2214">
        <v>0</v>
      </c>
      <c r="G2214">
        <f>IF(Gym_Expansion_Data[[#This Row],[Churned]]=0,1,0)</f>
        <v>1</v>
      </c>
      <c r="H2214" t="str">
        <f>IF(Gym_Expansion_Data[[#This Row],[Active Member]]=1,Gym_Expansion_Data[[#This Row],[Tier]],"Inactive")</f>
        <v>Basic</v>
      </c>
    </row>
    <row r="2215" spans="1:8" x14ac:dyDescent="0.2">
      <c r="A2215">
        <v>3214</v>
      </c>
      <c r="B2215" t="s">
        <v>11</v>
      </c>
      <c r="C2215" t="s">
        <v>7</v>
      </c>
      <c r="D2215" s="1">
        <v>45796</v>
      </c>
      <c r="E2215">
        <v>49</v>
      </c>
      <c r="F2215">
        <v>0</v>
      </c>
      <c r="G2215">
        <f>IF(Gym_Expansion_Data[[#This Row],[Churned]]=0,1,0)</f>
        <v>1</v>
      </c>
      <c r="H2215" t="str">
        <f>IF(Gym_Expansion_Data[[#This Row],[Active Member]]=1,Gym_Expansion_Data[[#This Row],[Tier]],"Inactive")</f>
        <v>Basic</v>
      </c>
    </row>
    <row r="2216" spans="1:8" x14ac:dyDescent="0.2">
      <c r="A2216">
        <v>3215</v>
      </c>
      <c r="B2216" t="s">
        <v>9</v>
      </c>
      <c r="C2216" t="s">
        <v>7</v>
      </c>
      <c r="D2216" s="1">
        <v>45418</v>
      </c>
      <c r="E2216">
        <v>49</v>
      </c>
      <c r="F2216">
        <v>0</v>
      </c>
      <c r="G2216">
        <f>IF(Gym_Expansion_Data[[#This Row],[Churned]]=0,1,0)</f>
        <v>1</v>
      </c>
      <c r="H2216" t="str">
        <f>IF(Gym_Expansion_Data[[#This Row],[Active Member]]=1,Gym_Expansion_Data[[#This Row],[Tier]],"Inactive")</f>
        <v>Basic</v>
      </c>
    </row>
    <row r="2217" spans="1:8" x14ac:dyDescent="0.2">
      <c r="A2217">
        <v>3216</v>
      </c>
      <c r="B2217" t="s">
        <v>9</v>
      </c>
      <c r="C2217" t="s">
        <v>12</v>
      </c>
      <c r="D2217" s="1">
        <v>45968</v>
      </c>
      <c r="E2217">
        <v>89</v>
      </c>
      <c r="F2217">
        <v>0</v>
      </c>
      <c r="G2217">
        <f>IF(Gym_Expansion_Data[[#This Row],[Churned]]=0,1,0)</f>
        <v>1</v>
      </c>
      <c r="H2217" t="str">
        <f>IF(Gym_Expansion_Data[[#This Row],[Active Member]]=1,Gym_Expansion_Data[[#This Row],[Tier]],"Inactive")</f>
        <v>Premium</v>
      </c>
    </row>
    <row r="2218" spans="1:8" x14ac:dyDescent="0.2">
      <c r="A2218">
        <v>3217</v>
      </c>
      <c r="B2218" t="s">
        <v>6</v>
      </c>
      <c r="C2218" t="s">
        <v>12</v>
      </c>
      <c r="D2218" s="1">
        <v>45717</v>
      </c>
      <c r="E2218">
        <v>89</v>
      </c>
      <c r="F2218">
        <v>0</v>
      </c>
      <c r="G2218">
        <f>IF(Gym_Expansion_Data[[#This Row],[Churned]]=0,1,0)</f>
        <v>1</v>
      </c>
      <c r="H2218" t="str">
        <f>IF(Gym_Expansion_Data[[#This Row],[Active Member]]=1,Gym_Expansion_Data[[#This Row],[Tier]],"Inactive")</f>
        <v>Premium</v>
      </c>
    </row>
    <row r="2219" spans="1:8" x14ac:dyDescent="0.2">
      <c r="A2219">
        <v>3218</v>
      </c>
      <c r="B2219" t="s">
        <v>9</v>
      </c>
      <c r="C2219" t="s">
        <v>12</v>
      </c>
      <c r="D2219" s="1">
        <v>45335</v>
      </c>
      <c r="E2219">
        <v>89</v>
      </c>
      <c r="F2219">
        <v>0</v>
      </c>
      <c r="G2219">
        <f>IF(Gym_Expansion_Data[[#This Row],[Churned]]=0,1,0)</f>
        <v>1</v>
      </c>
      <c r="H2219" t="str">
        <f>IF(Gym_Expansion_Data[[#This Row],[Active Member]]=1,Gym_Expansion_Data[[#This Row],[Tier]],"Inactive")</f>
        <v>Premium</v>
      </c>
    </row>
    <row r="2220" spans="1:8" x14ac:dyDescent="0.2">
      <c r="A2220">
        <v>3219</v>
      </c>
      <c r="B2220" t="s">
        <v>6</v>
      </c>
      <c r="C2220" t="s">
        <v>7</v>
      </c>
      <c r="D2220" s="1">
        <v>45467</v>
      </c>
      <c r="E2220">
        <v>49</v>
      </c>
      <c r="F2220">
        <v>0</v>
      </c>
      <c r="G2220">
        <f>IF(Gym_Expansion_Data[[#This Row],[Churned]]=0,1,0)</f>
        <v>1</v>
      </c>
      <c r="H2220" t="str">
        <f>IF(Gym_Expansion_Data[[#This Row],[Active Member]]=1,Gym_Expansion_Data[[#This Row],[Tier]],"Inactive")</f>
        <v>Basic</v>
      </c>
    </row>
    <row r="2221" spans="1:8" x14ac:dyDescent="0.2">
      <c r="A2221">
        <v>3220</v>
      </c>
      <c r="B2221" t="s">
        <v>11</v>
      </c>
      <c r="C2221" t="s">
        <v>7</v>
      </c>
      <c r="D2221" s="1">
        <v>45838</v>
      </c>
      <c r="E2221">
        <v>49</v>
      </c>
      <c r="F2221">
        <v>0</v>
      </c>
      <c r="G2221">
        <f>IF(Gym_Expansion_Data[[#This Row],[Churned]]=0,1,0)</f>
        <v>1</v>
      </c>
      <c r="H2221" t="str">
        <f>IF(Gym_Expansion_Data[[#This Row],[Active Member]]=1,Gym_Expansion_Data[[#This Row],[Tier]],"Inactive")</f>
        <v>Basic</v>
      </c>
    </row>
    <row r="2222" spans="1:8" x14ac:dyDescent="0.2">
      <c r="A2222">
        <v>3221</v>
      </c>
      <c r="B2222" t="s">
        <v>9</v>
      </c>
      <c r="C2222" t="s">
        <v>7</v>
      </c>
      <c r="D2222" s="1">
        <v>45752</v>
      </c>
      <c r="E2222">
        <v>49</v>
      </c>
      <c r="F2222">
        <v>0</v>
      </c>
      <c r="G2222">
        <f>IF(Gym_Expansion_Data[[#This Row],[Churned]]=0,1,0)</f>
        <v>1</v>
      </c>
      <c r="H2222" t="str">
        <f>IF(Gym_Expansion_Data[[#This Row],[Active Member]]=1,Gym_Expansion_Data[[#This Row],[Tier]],"Inactive")</f>
        <v>Basic</v>
      </c>
    </row>
    <row r="2223" spans="1:8" x14ac:dyDescent="0.2">
      <c r="A2223">
        <v>3222</v>
      </c>
      <c r="B2223" t="s">
        <v>11</v>
      </c>
      <c r="C2223" t="s">
        <v>7</v>
      </c>
      <c r="D2223" s="1">
        <v>45336</v>
      </c>
      <c r="E2223">
        <v>49</v>
      </c>
      <c r="F2223">
        <v>1</v>
      </c>
      <c r="G2223">
        <f>IF(Gym_Expansion_Data[[#This Row],[Churned]]=0,1,0)</f>
        <v>0</v>
      </c>
      <c r="H2223" t="str">
        <f>IF(Gym_Expansion_Data[[#This Row],[Active Member]]=1,Gym_Expansion_Data[[#This Row],[Tier]],"Inactive")</f>
        <v>Inactive</v>
      </c>
    </row>
    <row r="2224" spans="1:8" x14ac:dyDescent="0.2">
      <c r="A2224">
        <v>3223</v>
      </c>
      <c r="B2224" t="s">
        <v>10</v>
      </c>
      <c r="C2224" t="s">
        <v>7</v>
      </c>
      <c r="D2224" s="1">
        <v>45770</v>
      </c>
      <c r="E2224">
        <v>49</v>
      </c>
      <c r="F2224">
        <v>0</v>
      </c>
      <c r="G2224">
        <f>IF(Gym_Expansion_Data[[#This Row],[Churned]]=0,1,0)</f>
        <v>1</v>
      </c>
      <c r="H2224" t="str">
        <f>IF(Gym_Expansion_Data[[#This Row],[Active Member]]=1,Gym_Expansion_Data[[#This Row],[Tier]],"Inactive")</f>
        <v>Basic</v>
      </c>
    </row>
    <row r="2225" spans="1:8" x14ac:dyDescent="0.2">
      <c r="A2225">
        <v>3224</v>
      </c>
      <c r="B2225" t="s">
        <v>9</v>
      </c>
      <c r="C2225" t="s">
        <v>12</v>
      </c>
      <c r="D2225" s="1">
        <v>45774</v>
      </c>
      <c r="E2225">
        <v>89</v>
      </c>
      <c r="F2225">
        <v>0</v>
      </c>
      <c r="G2225">
        <f>IF(Gym_Expansion_Data[[#This Row],[Churned]]=0,1,0)</f>
        <v>1</v>
      </c>
      <c r="H2225" t="str">
        <f>IF(Gym_Expansion_Data[[#This Row],[Active Member]]=1,Gym_Expansion_Data[[#This Row],[Tier]],"Inactive")</f>
        <v>Premium</v>
      </c>
    </row>
    <row r="2226" spans="1:8" x14ac:dyDescent="0.2">
      <c r="A2226">
        <v>3225</v>
      </c>
      <c r="B2226" t="s">
        <v>10</v>
      </c>
      <c r="C2226" t="s">
        <v>8</v>
      </c>
      <c r="D2226" s="1">
        <v>45427</v>
      </c>
      <c r="E2226">
        <v>129</v>
      </c>
      <c r="F2226">
        <v>0</v>
      </c>
      <c r="G2226">
        <f>IF(Gym_Expansion_Data[[#This Row],[Churned]]=0,1,0)</f>
        <v>1</v>
      </c>
      <c r="H2226" t="str">
        <f>IF(Gym_Expansion_Data[[#This Row],[Active Member]]=1,Gym_Expansion_Data[[#This Row],[Tier]],"Inactive")</f>
        <v>Elite</v>
      </c>
    </row>
    <row r="2227" spans="1:8" x14ac:dyDescent="0.2">
      <c r="A2227">
        <v>3226</v>
      </c>
      <c r="B2227" t="s">
        <v>9</v>
      </c>
      <c r="C2227" t="s">
        <v>7</v>
      </c>
      <c r="D2227" s="1">
        <v>45432</v>
      </c>
      <c r="E2227">
        <v>49</v>
      </c>
      <c r="F2227">
        <v>1</v>
      </c>
      <c r="G2227">
        <f>IF(Gym_Expansion_Data[[#This Row],[Churned]]=0,1,0)</f>
        <v>0</v>
      </c>
      <c r="H2227" t="str">
        <f>IF(Gym_Expansion_Data[[#This Row],[Active Member]]=1,Gym_Expansion_Data[[#This Row],[Tier]],"Inactive")</f>
        <v>Inactive</v>
      </c>
    </row>
    <row r="2228" spans="1:8" x14ac:dyDescent="0.2">
      <c r="A2228">
        <v>3227</v>
      </c>
      <c r="B2228" t="s">
        <v>6</v>
      </c>
      <c r="C2228" t="s">
        <v>7</v>
      </c>
      <c r="D2228" s="1">
        <v>45847</v>
      </c>
      <c r="E2228">
        <v>49</v>
      </c>
      <c r="F2228">
        <v>0</v>
      </c>
      <c r="G2228">
        <f>IF(Gym_Expansion_Data[[#This Row],[Churned]]=0,1,0)</f>
        <v>1</v>
      </c>
      <c r="H2228" t="str">
        <f>IF(Gym_Expansion_Data[[#This Row],[Active Member]]=1,Gym_Expansion_Data[[#This Row],[Tier]],"Inactive")</f>
        <v>Basic</v>
      </c>
    </row>
    <row r="2229" spans="1:8" x14ac:dyDescent="0.2">
      <c r="A2229">
        <v>3228</v>
      </c>
      <c r="B2229" t="s">
        <v>11</v>
      </c>
      <c r="C2229" t="s">
        <v>7</v>
      </c>
      <c r="D2229" s="1">
        <v>45633</v>
      </c>
      <c r="E2229">
        <v>49</v>
      </c>
      <c r="F2229">
        <v>0</v>
      </c>
      <c r="G2229">
        <f>IF(Gym_Expansion_Data[[#This Row],[Churned]]=0,1,0)</f>
        <v>1</v>
      </c>
      <c r="H2229" t="str">
        <f>IF(Gym_Expansion_Data[[#This Row],[Active Member]]=1,Gym_Expansion_Data[[#This Row],[Tier]],"Inactive")</f>
        <v>Basic</v>
      </c>
    </row>
    <row r="2230" spans="1:8" x14ac:dyDescent="0.2">
      <c r="A2230">
        <v>3229</v>
      </c>
      <c r="B2230" t="s">
        <v>11</v>
      </c>
      <c r="C2230" t="s">
        <v>7</v>
      </c>
      <c r="D2230" s="1">
        <v>45333</v>
      </c>
      <c r="E2230">
        <v>49</v>
      </c>
      <c r="F2230">
        <v>0</v>
      </c>
      <c r="G2230">
        <f>IF(Gym_Expansion_Data[[#This Row],[Churned]]=0,1,0)</f>
        <v>1</v>
      </c>
      <c r="H2230" t="str">
        <f>IF(Gym_Expansion_Data[[#This Row],[Active Member]]=1,Gym_Expansion_Data[[#This Row],[Tier]],"Inactive")</f>
        <v>Basic</v>
      </c>
    </row>
    <row r="2231" spans="1:8" x14ac:dyDescent="0.2">
      <c r="A2231">
        <v>3230</v>
      </c>
      <c r="B2231" t="s">
        <v>11</v>
      </c>
      <c r="C2231" t="s">
        <v>7</v>
      </c>
      <c r="D2231" s="1">
        <v>45685</v>
      </c>
      <c r="E2231">
        <v>49</v>
      </c>
      <c r="F2231">
        <v>0</v>
      </c>
      <c r="G2231">
        <f>IF(Gym_Expansion_Data[[#This Row],[Churned]]=0,1,0)</f>
        <v>1</v>
      </c>
      <c r="H2231" t="str">
        <f>IF(Gym_Expansion_Data[[#This Row],[Active Member]]=1,Gym_Expansion_Data[[#This Row],[Tier]],"Inactive")</f>
        <v>Basic</v>
      </c>
    </row>
    <row r="2232" spans="1:8" x14ac:dyDescent="0.2">
      <c r="A2232">
        <v>3231</v>
      </c>
      <c r="B2232" t="s">
        <v>9</v>
      </c>
      <c r="C2232" t="s">
        <v>7</v>
      </c>
      <c r="D2232" s="1">
        <v>45382</v>
      </c>
      <c r="E2232">
        <v>49</v>
      </c>
      <c r="F2232">
        <v>0</v>
      </c>
      <c r="G2232">
        <f>IF(Gym_Expansion_Data[[#This Row],[Churned]]=0,1,0)</f>
        <v>1</v>
      </c>
      <c r="H2232" t="str">
        <f>IF(Gym_Expansion_Data[[#This Row],[Active Member]]=1,Gym_Expansion_Data[[#This Row],[Tier]],"Inactive")</f>
        <v>Basic</v>
      </c>
    </row>
    <row r="2233" spans="1:8" x14ac:dyDescent="0.2">
      <c r="A2233">
        <v>3232</v>
      </c>
      <c r="B2233" t="s">
        <v>6</v>
      </c>
      <c r="C2233" t="s">
        <v>8</v>
      </c>
      <c r="D2233" s="1">
        <v>45887</v>
      </c>
      <c r="E2233">
        <v>129</v>
      </c>
      <c r="F2233">
        <v>1</v>
      </c>
      <c r="G2233">
        <f>IF(Gym_Expansion_Data[[#This Row],[Churned]]=0,1,0)</f>
        <v>0</v>
      </c>
      <c r="H2233" t="str">
        <f>IF(Gym_Expansion_Data[[#This Row],[Active Member]]=1,Gym_Expansion_Data[[#This Row],[Tier]],"Inactive")</f>
        <v>Inactive</v>
      </c>
    </row>
    <row r="2234" spans="1:8" x14ac:dyDescent="0.2">
      <c r="A2234">
        <v>3233</v>
      </c>
      <c r="B2234" t="s">
        <v>10</v>
      </c>
      <c r="C2234" t="s">
        <v>8</v>
      </c>
      <c r="D2234" s="1">
        <v>45541</v>
      </c>
      <c r="E2234">
        <v>129</v>
      </c>
      <c r="F2234">
        <v>1</v>
      </c>
      <c r="G2234">
        <f>IF(Gym_Expansion_Data[[#This Row],[Churned]]=0,1,0)</f>
        <v>0</v>
      </c>
      <c r="H2234" t="str">
        <f>IF(Gym_Expansion_Data[[#This Row],[Active Member]]=1,Gym_Expansion_Data[[#This Row],[Tier]],"Inactive")</f>
        <v>Inactive</v>
      </c>
    </row>
    <row r="2235" spans="1:8" x14ac:dyDescent="0.2">
      <c r="A2235">
        <v>3234</v>
      </c>
      <c r="B2235" t="s">
        <v>10</v>
      </c>
      <c r="C2235" t="s">
        <v>7</v>
      </c>
      <c r="D2235" s="1">
        <v>45950</v>
      </c>
      <c r="E2235">
        <v>49</v>
      </c>
      <c r="F2235">
        <v>0</v>
      </c>
      <c r="G2235">
        <f>IF(Gym_Expansion_Data[[#This Row],[Churned]]=0,1,0)</f>
        <v>1</v>
      </c>
      <c r="H2235" t="str">
        <f>IF(Gym_Expansion_Data[[#This Row],[Active Member]]=1,Gym_Expansion_Data[[#This Row],[Tier]],"Inactive")</f>
        <v>Basic</v>
      </c>
    </row>
    <row r="2236" spans="1:8" x14ac:dyDescent="0.2">
      <c r="A2236">
        <v>3235</v>
      </c>
      <c r="B2236" t="s">
        <v>9</v>
      </c>
      <c r="C2236" t="s">
        <v>7</v>
      </c>
      <c r="D2236" s="1">
        <v>45796</v>
      </c>
      <c r="E2236">
        <v>49</v>
      </c>
      <c r="F2236">
        <v>0</v>
      </c>
      <c r="G2236">
        <f>IF(Gym_Expansion_Data[[#This Row],[Churned]]=0,1,0)</f>
        <v>1</v>
      </c>
      <c r="H2236" t="str">
        <f>IF(Gym_Expansion_Data[[#This Row],[Active Member]]=1,Gym_Expansion_Data[[#This Row],[Tier]],"Inactive")</f>
        <v>Basic</v>
      </c>
    </row>
    <row r="2237" spans="1:8" x14ac:dyDescent="0.2">
      <c r="A2237">
        <v>3236</v>
      </c>
      <c r="B2237" t="s">
        <v>6</v>
      </c>
      <c r="C2237" t="s">
        <v>12</v>
      </c>
      <c r="D2237" s="1">
        <v>45867</v>
      </c>
      <c r="E2237">
        <v>89</v>
      </c>
      <c r="F2237">
        <v>0</v>
      </c>
      <c r="G2237">
        <f>IF(Gym_Expansion_Data[[#This Row],[Churned]]=0,1,0)</f>
        <v>1</v>
      </c>
      <c r="H2237" t="str">
        <f>IF(Gym_Expansion_Data[[#This Row],[Active Member]]=1,Gym_Expansion_Data[[#This Row],[Tier]],"Inactive")</f>
        <v>Premium</v>
      </c>
    </row>
    <row r="2238" spans="1:8" x14ac:dyDescent="0.2">
      <c r="A2238">
        <v>3237</v>
      </c>
      <c r="B2238" t="s">
        <v>10</v>
      </c>
      <c r="C2238" t="s">
        <v>8</v>
      </c>
      <c r="D2238" s="1">
        <v>45670</v>
      </c>
      <c r="E2238">
        <v>129</v>
      </c>
      <c r="F2238">
        <v>0</v>
      </c>
      <c r="G2238">
        <f>IF(Gym_Expansion_Data[[#This Row],[Churned]]=0,1,0)</f>
        <v>1</v>
      </c>
      <c r="H2238" t="str">
        <f>IF(Gym_Expansion_Data[[#This Row],[Active Member]]=1,Gym_Expansion_Data[[#This Row],[Tier]],"Inactive")</f>
        <v>Elite</v>
      </c>
    </row>
    <row r="2239" spans="1:8" x14ac:dyDescent="0.2">
      <c r="A2239">
        <v>3238</v>
      </c>
      <c r="B2239" t="s">
        <v>11</v>
      </c>
      <c r="C2239" t="s">
        <v>12</v>
      </c>
      <c r="D2239" s="1">
        <v>45565</v>
      </c>
      <c r="E2239">
        <v>89</v>
      </c>
      <c r="F2239">
        <v>0</v>
      </c>
      <c r="G2239">
        <f>IF(Gym_Expansion_Data[[#This Row],[Churned]]=0,1,0)</f>
        <v>1</v>
      </c>
      <c r="H2239" t="str">
        <f>IF(Gym_Expansion_Data[[#This Row],[Active Member]]=1,Gym_Expansion_Data[[#This Row],[Tier]],"Inactive")</f>
        <v>Premium</v>
      </c>
    </row>
    <row r="2240" spans="1:8" x14ac:dyDescent="0.2">
      <c r="A2240">
        <v>3239</v>
      </c>
      <c r="B2240" t="s">
        <v>6</v>
      </c>
      <c r="C2240" t="s">
        <v>12</v>
      </c>
      <c r="D2240" s="1">
        <v>45953</v>
      </c>
      <c r="E2240">
        <v>89</v>
      </c>
      <c r="F2240">
        <v>0</v>
      </c>
      <c r="G2240">
        <f>IF(Gym_Expansion_Data[[#This Row],[Churned]]=0,1,0)</f>
        <v>1</v>
      </c>
      <c r="H2240" t="str">
        <f>IF(Gym_Expansion_Data[[#This Row],[Active Member]]=1,Gym_Expansion_Data[[#This Row],[Tier]],"Inactive")</f>
        <v>Premium</v>
      </c>
    </row>
    <row r="2241" spans="1:8" x14ac:dyDescent="0.2">
      <c r="A2241">
        <v>3240</v>
      </c>
      <c r="B2241" t="s">
        <v>6</v>
      </c>
      <c r="C2241" t="s">
        <v>12</v>
      </c>
      <c r="D2241" s="1">
        <v>45461</v>
      </c>
      <c r="E2241">
        <v>89</v>
      </c>
      <c r="F2241">
        <v>0</v>
      </c>
      <c r="G2241">
        <f>IF(Gym_Expansion_Data[[#This Row],[Churned]]=0,1,0)</f>
        <v>1</v>
      </c>
      <c r="H2241" t="str">
        <f>IF(Gym_Expansion_Data[[#This Row],[Active Member]]=1,Gym_Expansion_Data[[#This Row],[Tier]],"Inactive")</f>
        <v>Premium</v>
      </c>
    </row>
    <row r="2242" spans="1:8" x14ac:dyDescent="0.2">
      <c r="A2242">
        <v>3241</v>
      </c>
      <c r="B2242" t="s">
        <v>9</v>
      </c>
      <c r="C2242" t="s">
        <v>7</v>
      </c>
      <c r="D2242" s="1">
        <v>45657</v>
      </c>
      <c r="E2242">
        <v>49</v>
      </c>
      <c r="F2242">
        <v>0</v>
      </c>
      <c r="G2242">
        <f>IF(Gym_Expansion_Data[[#This Row],[Churned]]=0,1,0)</f>
        <v>1</v>
      </c>
      <c r="H2242" t="str">
        <f>IF(Gym_Expansion_Data[[#This Row],[Active Member]]=1,Gym_Expansion_Data[[#This Row],[Tier]],"Inactive")</f>
        <v>Basic</v>
      </c>
    </row>
    <row r="2243" spans="1:8" x14ac:dyDescent="0.2">
      <c r="A2243">
        <v>3242</v>
      </c>
      <c r="B2243" t="s">
        <v>9</v>
      </c>
      <c r="C2243" t="s">
        <v>8</v>
      </c>
      <c r="D2243" s="1">
        <v>45671</v>
      </c>
      <c r="E2243">
        <v>129</v>
      </c>
      <c r="F2243">
        <v>1</v>
      </c>
      <c r="G2243">
        <f>IF(Gym_Expansion_Data[[#This Row],[Churned]]=0,1,0)</f>
        <v>0</v>
      </c>
      <c r="H2243" t="str">
        <f>IF(Gym_Expansion_Data[[#This Row],[Active Member]]=1,Gym_Expansion_Data[[#This Row],[Tier]],"Inactive")</f>
        <v>Inactive</v>
      </c>
    </row>
    <row r="2244" spans="1:8" x14ac:dyDescent="0.2">
      <c r="A2244">
        <v>3243</v>
      </c>
      <c r="B2244" t="s">
        <v>6</v>
      </c>
      <c r="C2244" t="s">
        <v>7</v>
      </c>
      <c r="D2244" s="1">
        <v>45653</v>
      </c>
      <c r="E2244">
        <v>49</v>
      </c>
      <c r="F2244">
        <v>0</v>
      </c>
      <c r="G2244">
        <f>IF(Gym_Expansion_Data[[#This Row],[Churned]]=0,1,0)</f>
        <v>1</v>
      </c>
      <c r="H2244" t="str">
        <f>IF(Gym_Expansion_Data[[#This Row],[Active Member]]=1,Gym_Expansion_Data[[#This Row],[Tier]],"Inactive")</f>
        <v>Basic</v>
      </c>
    </row>
    <row r="2245" spans="1:8" x14ac:dyDescent="0.2">
      <c r="A2245">
        <v>3244</v>
      </c>
      <c r="B2245" t="s">
        <v>9</v>
      </c>
      <c r="C2245" t="s">
        <v>7</v>
      </c>
      <c r="D2245" s="1">
        <v>45834</v>
      </c>
      <c r="E2245">
        <v>49</v>
      </c>
      <c r="F2245">
        <v>1</v>
      </c>
      <c r="G2245">
        <f>IF(Gym_Expansion_Data[[#This Row],[Churned]]=0,1,0)</f>
        <v>0</v>
      </c>
      <c r="H2245" t="str">
        <f>IF(Gym_Expansion_Data[[#This Row],[Active Member]]=1,Gym_Expansion_Data[[#This Row],[Tier]],"Inactive")</f>
        <v>Inactive</v>
      </c>
    </row>
    <row r="2246" spans="1:8" x14ac:dyDescent="0.2">
      <c r="A2246">
        <v>3245</v>
      </c>
      <c r="B2246" t="s">
        <v>6</v>
      </c>
      <c r="C2246" t="s">
        <v>7</v>
      </c>
      <c r="D2246" s="1">
        <v>45633</v>
      </c>
      <c r="E2246">
        <v>49</v>
      </c>
      <c r="F2246">
        <v>0</v>
      </c>
      <c r="G2246">
        <f>IF(Gym_Expansion_Data[[#This Row],[Churned]]=0,1,0)</f>
        <v>1</v>
      </c>
      <c r="H2246" t="str">
        <f>IF(Gym_Expansion_Data[[#This Row],[Active Member]]=1,Gym_Expansion_Data[[#This Row],[Tier]],"Inactive")</f>
        <v>Basic</v>
      </c>
    </row>
    <row r="2247" spans="1:8" x14ac:dyDescent="0.2">
      <c r="A2247">
        <v>3246</v>
      </c>
      <c r="B2247" t="s">
        <v>9</v>
      </c>
      <c r="C2247" t="s">
        <v>7</v>
      </c>
      <c r="D2247" s="1">
        <v>45974</v>
      </c>
      <c r="E2247">
        <v>49</v>
      </c>
      <c r="F2247">
        <v>0</v>
      </c>
      <c r="G2247">
        <f>IF(Gym_Expansion_Data[[#This Row],[Churned]]=0,1,0)</f>
        <v>1</v>
      </c>
      <c r="H2247" t="str">
        <f>IF(Gym_Expansion_Data[[#This Row],[Active Member]]=1,Gym_Expansion_Data[[#This Row],[Tier]],"Inactive")</f>
        <v>Basic</v>
      </c>
    </row>
    <row r="2248" spans="1:8" x14ac:dyDescent="0.2">
      <c r="A2248">
        <v>3247</v>
      </c>
      <c r="B2248" t="s">
        <v>9</v>
      </c>
      <c r="C2248" t="s">
        <v>8</v>
      </c>
      <c r="D2248" s="1">
        <v>45397</v>
      </c>
      <c r="E2248">
        <v>129</v>
      </c>
      <c r="F2248">
        <v>0</v>
      </c>
      <c r="G2248">
        <f>IF(Gym_Expansion_Data[[#This Row],[Churned]]=0,1,0)</f>
        <v>1</v>
      </c>
      <c r="H2248" t="str">
        <f>IF(Gym_Expansion_Data[[#This Row],[Active Member]]=1,Gym_Expansion_Data[[#This Row],[Tier]],"Inactive")</f>
        <v>Elite</v>
      </c>
    </row>
    <row r="2249" spans="1:8" x14ac:dyDescent="0.2">
      <c r="A2249">
        <v>3248</v>
      </c>
      <c r="B2249" t="s">
        <v>9</v>
      </c>
      <c r="C2249" t="s">
        <v>8</v>
      </c>
      <c r="D2249" s="1">
        <v>45562</v>
      </c>
      <c r="E2249">
        <v>129</v>
      </c>
      <c r="F2249">
        <v>0</v>
      </c>
      <c r="G2249">
        <f>IF(Gym_Expansion_Data[[#This Row],[Churned]]=0,1,0)</f>
        <v>1</v>
      </c>
      <c r="H2249" t="str">
        <f>IF(Gym_Expansion_Data[[#This Row],[Active Member]]=1,Gym_Expansion_Data[[#This Row],[Tier]],"Inactive")</f>
        <v>Elite</v>
      </c>
    </row>
    <row r="2250" spans="1:8" x14ac:dyDescent="0.2">
      <c r="A2250">
        <v>3249</v>
      </c>
      <c r="B2250" t="s">
        <v>11</v>
      </c>
      <c r="C2250" t="s">
        <v>12</v>
      </c>
      <c r="D2250" s="1">
        <v>45832</v>
      </c>
      <c r="E2250">
        <v>89</v>
      </c>
      <c r="F2250">
        <v>0</v>
      </c>
      <c r="G2250">
        <f>IF(Gym_Expansion_Data[[#This Row],[Churned]]=0,1,0)</f>
        <v>1</v>
      </c>
      <c r="H2250" t="str">
        <f>IF(Gym_Expansion_Data[[#This Row],[Active Member]]=1,Gym_Expansion_Data[[#This Row],[Tier]],"Inactive")</f>
        <v>Premium</v>
      </c>
    </row>
    <row r="2251" spans="1:8" x14ac:dyDescent="0.2">
      <c r="A2251">
        <v>3250</v>
      </c>
      <c r="B2251" t="s">
        <v>10</v>
      </c>
      <c r="C2251" t="s">
        <v>7</v>
      </c>
      <c r="D2251" s="1">
        <v>45672</v>
      </c>
      <c r="E2251">
        <v>49</v>
      </c>
      <c r="F2251">
        <v>0</v>
      </c>
      <c r="G2251">
        <f>IF(Gym_Expansion_Data[[#This Row],[Churned]]=0,1,0)</f>
        <v>1</v>
      </c>
      <c r="H2251" t="str">
        <f>IF(Gym_Expansion_Data[[#This Row],[Active Member]]=1,Gym_Expansion_Data[[#This Row],[Tier]],"Inactive")</f>
        <v>Basic</v>
      </c>
    </row>
    <row r="2252" spans="1:8" x14ac:dyDescent="0.2">
      <c r="A2252">
        <v>3251</v>
      </c>
      <c r="B2252" t="s">
        <v>9</v>
      </c>
      <c r="C2252" t="s">
        <v>12</v>
      </c>
      <c r="D2252" s="1">
        <v>45416</v>
      </c>
      <c r="E2252">
        <v>89</v>
      </c>
      <c r="F2252">
        <v>0</v>
      </c>
      <c r="G2252">
        <f>IF(Gym_Expansion_Data[[#This Row],[Churned]]=0,1,0)</f>
        <v>1</v>
      </c>
      <c r="H2252" t="str">
        <f>IF(Gym_Expansion_Data[[#This Row],[Active Member]]=1,Gym_Expansion_Data[[#This Row],[Tier]],"Inactive")</f>
        <v>Premium</v>
      </c>
    </row>
    <row r="2253" spans="1:8" x14ac:dyDescent="0.2">
      <c r="A2253">
        <v>3252</v>
      </c>
      <c r="B2253" t="s">
        <v>9</v>
      </c>
      <c r="C2253" t="s">
        <v>7</v>
      </c>
      <c r="D2253" s="1">
        <v>45949</v>
      </c>
      <c r="E2253">
        <v>49</v>
      </c>
      <c r="F2253">
        <v>1</v>
      </c>
      <c r="G2253">
        <f>IF(Gym_Expansion_Data[[#This Row],[Churned]]=0,1,0)</f>
        <v>0</v>
      </c>
      <c r="H2253" t="str">
        <f>IF(Gym_Expansion_Data[[#This Row],[Active Member]]=1,Gym_Expansion_Data[[#This Row],[Tier]],"Inactive")</f>
        <v>Inactive</v>
      </c>
    </row>
    <row r="2254" spans="1:8" x14ac:dyDescent="0.2">
      <c r="A2254">
        <v>3253</v>
      </c>
      <c r="B2254" t="s">
        <v>9</v>
      </c>
      <c r="C2254" t="s">
        <v>7</v>
      </c>
      <c r="D2254" s="1">
        <v>45984</v>
      </c>
      <c r="E2254">
        <v>49</v>
      </c>
      <c r="F2254">
        <v>0</v>
      </c>
      <c r="G2254">
        <f>IF(Gym_Expansion_Data[[#This Row],[Churned]]=0,1,0)</f>
        <v>1</v>
      </c>
      <c r="H2254" t="str">
        <f>IF(Gym_Expansion_Data[[#This Row],[Active Member]]=1,Gym_Expansion_Data[[#This Row],[Tier]],"Inactive")</f>
        <v>Basic</v>
      </c>
    </row>
    <row r="2255" spans="1:8" x14ac:dyDescent="0.2">
      <c r="A2255">
        <v>3254</v>
      </c>
      <c r="B2255" t="s">
        <v>6</v>
      </c>
      <c r="C2255" t="s">
        <v>7</v>
      </c>
      <c r="D2255" s="1">
        <v>45512</v>
      </c>
      <c r="E2255">
        <v>49</v>
      </c>
      <c r="F2255">
        <v>0</v>
      </c>
      <c r="G2255">
        <f>IF(Gym_Expansion_Data[[#This Row],[Churned]]=0,1,0)</f>
        <v>1</v>
      </c>
      <c r="H2255" t="str">
        <f>IF(Gym_Expansion_Data[[#This Row],[Active Member]]=1,Gym_Expansion_Data[[#This Row],[Tier]],"Inactive")</f>
        <v>Basic</v>
      </c>
    </row>
    <row r="2256" spans="1:8" x14ac:dyDescent="0.2">
      <c r="A2256">
        <v>3255</v>
      </c>
      <c r="B2256" t="s">
        <v>10</v>
      </c>
      <c r="C2256" t="s">
        <v>7</v>
      </c>
      <c r="D2256" s="1">
        <v>45351</v>
      </c>
      <c r="E2256">
        <v>49</v>
      </c>
      <c r="F2256">
        <v>0</v>
      </c>
      <c r="G2256">
        <f>IF(Gym_Expansion_Data[[#This Row],[Churned]]=0,1,0)</f>
        <v>1</v>
      </c>
      <c r="H2256" t="str">
        <f>IF(Gym_Expansion_Data[[#This Row],[Active Member]]=1,Gym_Expansion_Data[[#This Row],[Tier]],"Inactive")</f>
        <v>Basic</v>
      </c>
    </row>
    <row r="2257" spans="1:8" x14ac:dyDescent="0.2">
      <c r="A2257">
        <v>3256</v>
      </c>
      <c r="B2257" t="s">
        <v>11</v>
      </c>
      <c r="C2257" t="s">
        <v>12</v>
      </c>
      <c r="D2257" s="1">
        <v>45839</v>
      </c>
      <c r="E2257">
        <v>89</v>
      </c>
      <c r="F2257">
        <v>0</v>
      </c>
      <c r="G2257">
        <f>IF(Gym_Expansion_Data[[#This Row],[Churned]]=0,1,0)</f>
        <v>1</v>
      </c>
      <c r="H2257" t="str">
        <f>IF(Gym_Expansion_Data[[#This Row],[Active Member]]=1,Gym_Expansion_Data[[#This Row],[Tier]],"Inactive")</f>
        <v>Premium</v>
      </c>
    </row>
    <row r="2258" spans="1:8" x14ac:dyDescent="0.2">
      <c r="A2258">
        <v>3257</v>
      </c>
      <c r="B2258" t="s">
        <v>9</v>
      </c>
      <c r="C2258" t="s">
        <v>8</v>
      </c>
      <c r="D2258" s="1">
        <v>45493</v>
      </c>
      <c r="E2258">
        <v>129</v>
      </c>
      <c r="F2258">
        <v>0</v>
      </c>
      <c r="G2258">
        <f>IF(Gym_Expansion_Data[[#This Row],[Churned]]=0,1,0)</f>
        <v>1</v>
      </c>
      <c r="H2258" t="str">
        <f>IF(Gym_Expansion_Data[[#This Row],[Active Member]]=1,Gym_Expansion_Data[[#This Row],[Tier]],"Inactive")</f>
        <v>Elite</v>
      </c>
    </row>
    <row r="2259" spans="1:8" x14ac:dyDescent="0.2">
      <c r="A2259">
        <v>3258</v>
      </c>
      <c r="B2259" t="s">
        <v>10</v>
      </c>
      <c r="C2259" t="s">
        <v>12</v>
      </c>
      <c r="D2259" s="1">
        <v>45754</v>
      </c>
      <c r="E2259">
        <v>89</v>
      </c>
      <c r="F2259">
        <v>0</v>
      </c>
      <c r="G2259">
        <f>IF(Gym_Expansion_Data[[#This Row],[Churned]]=0,1,0)</f>
        <v>1</v>
      </c>
      <c r="H2259" t="str">
        <f>IF(Gym_Expansion_Data[[#This Row],[Active Member]]=1,Gym_Expansion_Data[[#This Row],[Tier]],"Inactive")</f>
        <v>Premium</v>
      </c>
    </row>
    <row r="2260" spans="1:8" x14ac:dyDescent="0.2">
      <c r="A2260">
        <v>3259</v>
      </c>
      <c r="B2260" t="s">
        <v>11</v>
      </c>
      <c r="C2260" t="s">
        <v>7</v>
      </c>
      <c r="D2260" s="1">
        <v>45494</v>
      </c>
      <c r="E2260">
        <v>49</v>
      </c>
      <c r="F2260">
        <v>1</v>
      </c>
      <c r="G2260">
        <f>IF(Gym_Expansion_Data[[#This Row],[Churned]]=0,1,0)</f>
        <v>0</v>
      </c>
      <c r="H2260" t="str">
        <f>IF(Gym_Expansion_Data[[#This Row],[Active Member]]=1,Gym_Expansion_Data[[#This Row],[Tier]],"Inactive")</f>
        <v>Inactive</v>
      </c>
    </row>
    <row r="2261" spans="1:8" x14ac:dyDescent="0.2">
      <c r="A2261">
        <v>3260</v>
      </c>
      <c r="B2261" t="s">
        <v>11</v>
      </c>
      <c r="C2261" t="s">
        <v>7</v>
      </c>
      <c r="D2261" s="1">
        <v>45472</v>
      </c>
      <c r="E2261">
        <v>49</v>
      </c>
      <c r="F2261">
        <v>1</v>
      </c>
      <c r="G2261">
        <f>IF(Gym_Expansion_Data[[#This Row],[Churned]]=0,1,0)</f>
        <v>0</v>
      </c>
      <c r="H2261" t="str">
        <f>IF(Gym_Expansion_Data[[#This Row],[Active Member]]=1,Gym_Expansion_Data[[#This Row],[Tier]],"Inactive")</f>
        <v>Inactive</v>
      </c>
    </row>
    <row r="2262" spans="1:8" x14ac:dyDescent="0.2">
      <c r="A2262">
        <v>3261</v>
      </c>
      <c r="B2262" t="s">
        <v>11</v>
      </c>
      <c r="C2262" t="s">
        <v>7</v>
      </c>
      <c r="D2262" s="1">
        <v>45919</v>
      </c>
      <c r="E2262">
        <v>49</v>
      </c>
      <c r="F2262">
        <v>0</v>
      </c>
      <c r="G2262">
        <f>IF(Gym_Expansion_Data[[#This Row],[Churned]]=0,1,0)</f>
        <v>1</v>
      </c>
      <c r="H2262" t="str">
        <f>IF(Gym_Expansion_Data[[#This Row],[Active Member]]=1,Gym_Expansion_Data[[#This Row],[Tier]],"Inactive")</f>
        <v>Basic</v>
      </c>
    </row>
    <row r="2263" spans="1:8" x14ac:dyDescent="0.2">
      <c r="A2263">
        <v>3262</v>
      </c>
      <c r="B2263" t="s">
        <v>6</v>
      </c>
      <c r="C2263" t="s">
        <v>7</v>
      </c>
      <c r="D2263" s="1">
        <v>45528</v>
      </c>
      <c r="E2263">
        <v>49</v>
      </c>
      <c r="F2263">
        <v>0</v>
      </c>
      <c r="G2263">
        <f>IF(Gym_Expansion_Data[[#This Row],[Churned]]=0,1,0)</f>
        <v>1</v>
      </c>
      <c r="H2263" t="str">
        <f>IF(Gym_Expansion_Data[[#This Row],[Active Member]]=1,Gym_Expansion_Data[[#This Row],[Tier]],"Inactive")</f>
        <v>Basic</v>
      </c>
    </row>
    <row r="2264" spans="1:8" x14ac:dyDescent="0.2">
      <c r="A2264">
        <v>3263</v>
      </c>
      <c r="B2264" t="s">
        <v>11</v>
      </c>
      <c r="C2264" t="s">
        <v>12</v>
      </c>
      <c r="D2264" s="1">
        <v>45958</v>
      </c>
      <c r="E2264">
        <v>89</v>
      </c>
      <c r="F2264">
        <v>0</v>
      </c>
      <c r="G2264">
        <f>IF(Gym_Expansion_Data[[#This Row],[Churned]]=0,1,0)</f>
        <v>1</v>
      </c>
      <c r="H2264" t="str">
        <f>IF(Gym_Expansion_Data[[#This Row],[Active Member]]=1,Gym_Expansion_Data[[#This Row],[Tier]],"Inactive")</f>
        <v>Premium</v>
      </c>
    </row>
    <row r="2265" spans="1:8" x14ac:dyDescent="0.2">
      <c r="A2265">
        <v>3264</v>
      </c>
      <c r="B2265" t="s">
        <v>10</v>
      </c>
      <c r="C2265" t="s">
        <v>7</v>
      </c>
      <c r="D2265" s="1">
        <v>45651</v>
      </c>
      <c r="E2265">
        <v>49</v>
      </c>
      <c r="F2265">
        <v>0</v>
      </c>
      <c r="G2265">
        <f>IF(Gym_Expansion_Data[[#This Row],[Churned]]=0,1,0)</f>
        <v>1</v>
      </c>
      <c r="H2265" t="str">
        <f>IF(Gym_Expansion_Data[[#This Row],[Active Member]]=1,Gym_Expansion_Data[[#This Row],[Tier]],"Inactive")</f>
        <v>Basic</v>
      </c>
    </row>
    <row r="2266" spans="1:8" x14ac:dyDescent="0.2">
      <c r="A2266">
        <v>3265</v>
      </c>
      <c r="B2266" t="s">
        <v>11</v>
      </c>
      <c r="C2266" t="s">
        <v>12</v>
      </c>
      <c r="D2266" s="1">
        <v>45948</v>
      </c>
      <c r="E2266">
        <v>89</v>
      </c>
      <c r="F2266">
        <v>0</v>
      </c>
      <c r="G2266">
        <f>IF(Gym_Expansion_Data[[#This Row],[Churned]]=0,1,0)</f>
        <v>1</v>
      </c>
      <c r="H2266" t="str">
        <f>IF(Gym_Expansion_Data[[#This Row],[Active Member]]=1,Gym_Expansion_Data[[#This Row],[Tier]],"Inactive")</f>
        <v>Premium</v>
      </c>
    </row>
    <row r="2267" spans="1:8" x14ac:dyDescent="0.2">
      <c r="A2267">
        <v>3266</v>
      </c>
      <c r="B2267" t="s">
        <v>10</v>
      </c>
      <c r="C2267" t="s">
        <v>7</v>
      </c>
      <c r="D2267" s="1">
        <v>45807</v>
      </c>
      <c r="E2267">
        <v>49</v>
      </c>
      <c r="F2267">
        <v>0</v>
      </c>
      <c r="G2267">
        <f>IF(Gym_Expansion_Data[[#This Row],[Churned]]=0,1,0)</f>
        <v>1</v>
      </c>
      <c r="H2267" t="str">
        <f>IF(Gym_Expansion_Data[[#This Row],[Active Member]]=1,Gym_Expansion_Data[[#This Row],[Tier]],"Inactive")</f>
        <v>Basic</v>
      </c>
    </row>
    <row r="2268" spans="1:8" x14ac:dyDescent="0.2">
      <c r="A2268">
        <v>3267</v>
      </c>
      <c r="B2268" t="s">
        <v>6</v>
      </c>
      <c r="C2268" t="s">
        <v>7</v>
      </c>
      <c r="D2268" s="1">
        <v>45495</v>
      </c>
      <c r="E2268">
        <v>49</v>
      </c>
      <c r="F2268">
        <v>0</v>
      </c>
      <c r="G2268">
        <f>IF(Gym_Expansion_Data[[#This Row],[Churned]]=0,1,0)</f>
        <v>1</v>
      </c>
      <c r="H2268" t="str">
        <f>IF(Gym_Expansion_Data[[#This Row],[Active Member]]=1,Gym_Expansion_Data[[#This Row],[Tier]],"Inactive")</f>
        <v>Basic</v>
      </c>
    </row>
    <row r="2269" spans="1:8" x14ac:dyDescent="0.2">
      <c r="A2269">
        <v>3268</v>
      </c>
      <c r="B2269" t="s">
        <v>9</v>
      </c>
      <c r="C2269" t="s">
        <v>12</v>
      </c>
      <c r="D2269" s="1">
        <v>45299</v>
      </c>
      <c r="E2269">
        <v>89</v>
      </c>
      <c r="F2269">
        <v>0</v>
      </c>
      <c r="G2269">
        <f>IF(Gym_Expansion_Data[[#This Row],[Churned]]=0,1,0)</f>
        <v>1</v>
      </c>
      <c r="H2269" t="str">
        <f>IF(Gym_Expansion_Data[[#This Row],[Active Member]]=1,Gym_Expansion_Data[[#This Row],[Tier]],"Inactive")</f>
        <v>Premium</v>
      </c>
    </row>
    <row r="2270" spans="1:8" x14ac:dyDescent="0.2">
      <c r="A2270">
        <v>3269</v>
      </c>
      <c r="B2270" t="s">
        <v>9</v>
      </c>
      <c r="C2270" t="s">
        <v>8</v>
      </c>
      <c r="D2270" s="1">
        <v>45490</v>
      </c>
      <c r="E2270">
        <v>129</v>
      </c>
      <c r="F2270">
        <v>0</v>
      </c>
      <c r="G2270">
        <f>IF(Gym_Expansion_Data[[#This Row],[Churned]]=0,1,0)</f>
        <v>1</v>
      </c>
      <c r="H2270" t="str">
        <f>IF(Gym_Expansion_Data[[#This Row],[Active Member]]=1,Gym_Expansion_Data[[#This Row],[Tier]],"Inactive")</f>
        <v>Elite</v>
      </c>
    </row>
    <row r="2271" spans="1:8" x14ac:dyDescent="0.2">
      <c r="A2271">
        <v>3270</v>
      </c>
      <c r="B2271" t="s">
        <v>6</v>
      </c>
      <c r="C2271" t="s">
        <v>7</v>
      </c>
      <c r="D2271" s="1">
        <v>45605</v>
      </c>
      <c r="E2271">
        <v>49</v>
      </c>
      <c r="F2271">
        <v>0</v>
      </c>
      <c r="G2271">
        <f>IF(Gym_Expansion_Data[[#This Row],[Churned]]=0,1,0)</f>
        <v>1</v>
      </c>
      <c r="H2271" t="str">
        <f>IF(Gym_Expansion_Data[[#This Row],[Active Member]]=1,Gym_Expansion_Data[[#This Row],[Tier]],"Inactive")</f>
        <v>Basic</v>
      </c>
    </row>
    <row r="2272" spans="1:8" x14ac:dyDescent="0.2">
      <c r="A2272">
        <v>3271</v>
      </c>
      <c r="B2272" t="s">
        <v>9</v>
      </c>
      <c r="C2272" t="s">
        <v>7</v>
      </c>
      <c r="D2272" s="1">
        <v>45946</v>
      </c>
      <c r="E2272">
        <v>49</v>
      </c>
      <c r="F2272">
        <v>0</v>
      </c>
      <c r="G2272">
        <f>IF(Gym_Expansion_Data[[#This Row],[Churned]]=0,1,0)</f>
        <v>1</v>
      </c>
      <c r="H2272" t="str">
        <f>IF(Gym_Expansion_Data[[#This Row],[Active Member]]=1,Gym_Expansion_Data[[#This Row],[Tier]],"Inactive")</f>
        <v>Basic</v>
      </c>
    </row>
    <row r="2273" spans="1:8" x14ac:dyDescent="0.2">
      <c r="A2273">
        <v>3272</v>
      </c>
      <c r="B2273" t="s">
        <v>11</v>
      </c>
      <c r="C2273" t="s">
        <v>12</v>
      </c>
      <c r="D2273" s="1">
        <v>45784</v>
      </c>
      <c r="E2273">
        <v>89</v>
      </c>
      <c r="F2273">
        <v>1</v>
      </c>
      <c r="G2273">
        <f>IF(Gym_Expansion_Data[[#This Row],[Churned]]=0,1,0)</f>
        <v>0</v>
      </c>
      <c r="H2273" t="str">
        <f>IF(Gym_Expansion_Data[[#This Row],[Active Member]]=1,Gym_Expansion_Data[[#This Row],[Tier]],"Inactive")</f>
        <v>Inactive</v>
      </c>
    </row>
    <row r="2274" spans="1:8" x14ac:dyDescent="0.2">
      <c r="A2274">
        <v>3273</v>
      </c>
      <c r="B2274" t="s">
        <v>10</v>
      </c>
      <c r="C2274" t="s">
        <v>8</v>
      </c>
      <c r="D2274" s="1">
        <v>45895</v>
      </c>
      <c r="E2274">
        <v>129</v>
      </c>
      <c r="F2274">
        <v>0</v>
      </c>
      <c r="G2274">
        <f>IF(Gym_Expansion_Data[[#This Row],[Churned]]=0,1,0)</f>
        <v>1</v>
      </c>
      <c r="H2274" t="str">
        <f>IF(Gym_Expansion_Data[[#This Row],[Active Member]]=1,Gym_Expansion_Data[[#This Row],[Tier]],"Inactive")</f>
        <v>Elite</v>
      </c>
    </row>
    <row r="2275" spans="1:8" x14ac:dyDescent="0.2">
      <c r="A2275">
        <v>3274</v>
      </c>
      <c r="B2275" t="s">
        <v>9</v>
      </c>
      <c r="C2275" t="s">
        <v>8</v>
      </c>
      <c r="D2275" s="1">
        <v>45951</v>
      </c>
      <c r="E2275">
        <v>129</v>
      </c>
      <c r="F2275">
        <v>0</v>
      </c>
      <c r="G2275">
        <f>IF(Gym_Expansion_Data[[#This Row],[Churned]]=0,1,0)</f>
        <v>1</v>
      </c>
      <c r="H2275" t="str">
        <f>IF(Gym_Expansion_Data[[#This Row],[Active Member]]=1,Gym_Expansion_Data[[#This Row],[Tier]],"Inactive")</f>
        <v>Elite</v>
      </c>
    </row>
    <row r="2276" spans="1:8" x14ac:dyDescent="0.2">
      <c r="A2276">
        <v>3275</v>
      </c>
      <c r="B2276" t="s">
        <v>10</v>
      </c>
      <c r="C2276" t="s">
        <v>12</v>
      </c>
      <c r="D2276" s="1">
        <v>45723</v>
      </c>
      <c r="E2276">
        <v>89</v>
      </c>
      <c r="F2276">
        <v>1</v>
      </c>
      <c r="G2276">
        <f>IF(Gym_Expansion_Data[[#This Row],[Churned]]=0,1,0)</f>
        <v>0</v>
      </c>
      <c r="H2276" t="str">
        <f>IF(Gym_Expansion_Data[[#This Row],[Active Member]]=1,Gym_Expansion_Data[[#This Row],[Tier]],"Inactive")</f>
        <v>Inactive</v>
      </c>
    </row>
    <row r="2277" spans="1:8" x14ac:dyDescent="0.2">
      <c r="A2277">
        <v>3276</v>
      </c>
      <c r="B2277" t="s">
        <v>11</v>
      </c>
      <c r="C2277" t="s">
        <v>8</v>
      </c>
      <c r="D2277" s="1">
        <v>45640</v>
      </c>
      <c r="E2277">
        <v>129</v>
      </c>
      <c r="F2277">
        <v>0</v>
      </c>
      <c r="G2277">
        <f>IF(Gym_Expansion_Data[[#This Row],[Churned]]=0,1,0)</f>
        <v>1</v>
      </c>
      <c r="H2277" t="str">
        <f>IF(Gym_Expansion_Data[[#This Row],[Active Member]]=1,Gym_Expansion_Data[[#This Row],[Tier]],"Inactive")</f>
        <v>Elite</v>
      </c>
    </row>
    <row r="2278" spans="1:8" x14ac:dyDescent="0.2">
      <c r="A2278">
        <v>3277</v>
      </c>
      <c r="B2278" t="s">
        <v>11</v>
      </c>
      <c r="C2278" t="s">
        <v>7</v>
      </c>
      <c r="D2278" s="1">
        <v>45379</v>
      </c>
      <c r="E2278">
        <v>49</v>
      </c>
      <c r="F2278">
        <v>0</v>
      </c>
      <c r="G2278">
        <f>IF(Gym_Expansion_Data[[#This Row],[Churned]]=0,1,0)</f>
        <v>1</v>
      </c>
      <c r="H2278" t="str">
        <f>IF(Gym_Expansion_Data[[#This Row],[Active Member]]=1,Gym_Expansion_Data[[#This Row],[Tier]],"Inactive")</f>
        <v>Basic</v>
      </c>
    </row>
    <row r="2279" spans="1:8" x14ac:dyDescent="0.2">
      <c r="A2279">
        <v>3278</v>
      </c>
      <c r="B2279" t="s">
        <v>11</v>
      </c>
      <c r="C2279" t="s">
        <v>12</v>
      </c>
      <c r="D2279" s="1">
        <v>45296</v>
      </c>
      <c r="E2279">
        <v>89</v>
      </c>
      <c r="F2279">
        <v>0</v>
      </c>
      <c r="G2279">
        <f>IF(Gym_Expansion_Data[[#This Row],[Churned]]=0,1,0)</f>
        <v>1</v>
      </c>
      <c r="H2279" t="str">
        <f>IF(Gym_Expansion_Data[[#This Row],[Active Member]]=1,Gym_Expansion_Data[[#This Row],[Tier]],"Inactive")</f>
        <v>Premium</v>
      </c>
    </row>
    <row r="2280" spans="1:8" x14ac:dyDescent="0.2">
      <c r="A2280">
        <v>3279</v>
      </c>
      <c r="B2280" t="s">
        <v>10</v>
      </c>
      <c r="C2280" t="s">
        <v>12</v>
      </c>
      <c r="D2280" s="1">
        <v>45961</v>
      </c>
      <c r="E2280">
        <v>89</v>
      </c>
      <c r="F2280">
        <v>0</v>
      </c>
      <c r="G2280">
        <f>IF(Gym_Expansion_Data[[#This Row],[Churned]]=0,1,0)</f>
        <v>1</v>
      </c>
      <c r="H2280" t="str">
        <f>IF(Gym_Expansion_Data[[#This Row],[Active Member]]=1,Gym_Expansion_Data[[#This Row],[Tier]],"Inactive")</f>
        <v>Premium</v>
      </c>
    </row>
    <row r="2281" spans="1:8" x14ac:dyDescent="0.2">
      <c r="A2281">
        <v>3280</v>
      </c>
      <c r="B2281" t="s">
        <v>10</v>
      </c>
      <c r="C2281" t="s">
        <v>7</v>
      </c>
      <c r="D2281" s="1">
        <v>45553</v>
      </c>
      <c r="E2281">
        <v>49</v>
      </c>
      <c r="F2281">
        <v>0</v>
      </c>
      <c r="G2281">
        <f>IF(Gym_Expansion_Data[[#This Row],[Churned]]=0,1,0)</f>
        <v>1</v>
      </c>
      <c r="H2281" t="str">
        <f>IF(Gym_Expansion_Data[[#This Row],[Active Member]]=1,Gym_Expansion_Data[[#This Row],[Tier]],"Inactive")</f>
        <v>Basic</v>
      </c>
    </row>
    <row r="2282" spans="1:8" x14ac:dyDescent="0.2">
      <c r="A2282">
        <v>3281</v>
      </c>
      <c r="B2282" t="s">
        <v>9</v>
      </c>
      <c r="C2282" t="s">
        <v>12</v>
      </c>
      <c r="D2282" s="1">
        <v>45697</v>
      </c>
      <c r="E2282">
        <v>89</v>
      </c>
      <c r="F2282">
        <v>0</v>
      </c>
      <c r="G2282">
        <f>IF(Gym_Expansion_Data[[#This Row],[Churned]]=0,1,0)</f>
        <v>1</v>
      </c>
      <c r="H2282" t="str">
        <f>IF(Gym_Expansion_Data[[#This Row],[Active Member]]=1,Gym_Expansion_Data[[#This Row],[Tier]],"Inactive")</f>
        <v>Premium</v>
      </c>
    </row>
    <row r="2283" spans="1:8" x14ac:dyDescent="0.2">
      <c r="A2283">
        <v>3282</v>
      </c>
      <c r="B2283" t="s">
        <v>10</v>
      </c>
      <c r="C2283" t="s">
        <v>8</v>
      </c>
      <c r="D2283" s="1">
        <v>45697</v>
      </c>
      <c r="E2283">
        <v>129</v>
      </c>
      <c r="F2283">
        <v>0</v>
      </c>
      <c r="G2283">
        <f>IF(Gym_Expansion_Data[[#This Row],[Churned]]=0,1,0)</f>
        <v>1</v>
      </c>
      <c r="H2283" t="str">
        <f>IF(Gym_Expansion_Data[[#This Row],[Active Member]]=1,Gym_Expansion_Data[[#This Row],[Tier]],"Inactive")</f>
        <v>Elite</v>
      </c>
    </row>
    <row r="2284" spans="1:8" x14ac:dyDescent="0.2">
      <c r="A2284">
        <v>3283</v>
      </c>
      <c r="B2284" t="s">
        <v>6</v>
      </c>
      <c r="C2284" t="s">
        <v>7</v>
      </c>
      <c r="D2284" s="1">
        <v>45679</v>
      </c>
      <c r="E2284">
        <v>49</v>
      </c>
      <c r="F2284">
        <v>0</v>
      </c>
      <c r="G2284">
        <f>IF(Gym_Expansion_Data[[#This Row],[Churned]]=0,1,0)</f>
        <v>1</v>
      </c>
      <c r="H2284" t="str">
        <f>IF(Gym_Expansion_Data[[#This Row],[Active Member]]=1,Gym_Expansion_Data[[#This Row],[Tier]],"Inactive")</f>
        <v>Basic</v>
      </c>
    </row>
    <row r="2285" spans="1:8" x14ac:dyDescent="0.2">
      <c r="A2285">
        <v>3284</v>
      </c>
      <c r="B2285" t="s">
        <v>10</v>
      </c>
      <c r="C2285" t="s">
        <v>8</v>
      </c>
      <c r="D2285" s="1">
        <v>45539</v>
      </c>
      <c r="E2285">
        <v>129</v>
      </c>
      <c r="F2285">
        <v>0</v>
      </c>
      <c r="G2285">
        <f>IF(Gym_Expansion_Data[[#This Row],[Churned]]=0,1,0)</f>
        <v>1</v>
      </c>
      <c r="H2285" t="str">
        <f>IF(Gym_Expansion_Data[[#This Row],[Active Member]]=1,Gym_Expansion_Data[[#This Row],[Tier]],"Inactive")</f>
        <v>Elite</v>
      </c>
    </row>
    <row r="2286" spans="1:8" x14ac:dyDescent="0.2">
      <c r="A2286">
        <v>3285</v>
      </c>
      <c r="B2286" t="s">
        <v>10</v>
      </c>
      <c r="C2286" t="s">
        <v>7</v>
      </c>
      <c r="D2286" s="1">
        <v>45380</v>
      </c>
      <c r="E2286">
        <v>49</v>
      </c>
      <c r="F2286">
        <v>0</v>
      </c>
      <c r="G2286">
        <f>IF(Gym_Expansion_Data[[#This Row],[Churned]]=0,1,0)</f>
        <v>1</v>
      </c>
      <c r="H2286" t="str">
        <f>IF(Gym_Expansion_Data[[#This Row],[Active Member]]=1,Gym_Expansion_Data[[#This Row],[Tier]],"Inactive")</f>
        <v>Basic</v>
      </c>
    </row>
    <row r="2287" spans="1:8" x14ac:dyDescent="0.2">
      <c r="A2287">
        <v>3286</v>
      </c>
      <c r="B2287" t="s">
        <v>6</v>
      </c>
      <c r="C2287" t="s">
        <v>7</v>
      </c>
      <c r="D2287" s="1">
        <v>45613</v>
      </c>
      <c r="E2287">
        <v>49</v>
      </c>
      <c r="F2287">
        <v>0</v>
      </c>
      <c r="G2287">
        <f>IF(Gym_Expansion_Data[[#This Row],[Churned]]=0,1,0)</f>
        <v>1</v>
      </c>
      <c r="H2287" t="str">
        <f>IF(Gym_Expansion_Data[[#This Row],[Active Member]]=1,Gym_Expansion_Data[[#This Row],[Tier]],"Inactive")</f>
        <v>Basic</v>
      </c>
    </row>
    <row r="2288" spans="1:8" x14ac:dyDescent="0.2">
      <c r="A2288">
        <v>3287</v>
      </c>
      <c r="B2288" t="s">
        <v>6</v>
      </c>
      <c r="C2288" t="s">
        <v>7</v>
      </c>
      <c r="D2288" s="1">
        <v>45595</v>
      </c>
      <c r="E2288">
        <v>49</v>
      </c>
      <c r="F2288">
        <v>0</v>
      </c>
      <c r="G2288">
        <f>IF(Gym_Expansion_Data[[#This Row],[Churned]]=0,1,0)</f>
        <v>1</v>
      </c>
      <c r="H2288" t="str">
        <f>IF(Gym_Expansion_Data[[#This Row],[Active Member]]=1,Gym_Expansion_Data[[#This Row],[Tier]],"Inactive")</f>
        <v>Basic</v>
      </c>
    </row>
    <row r="2289" spans="1:8" x14ac:dyDescent="0.2">
      <c r="A2289">
        <v>3288</v>
      </c>
      <c r="B2289" t="s">
        <v>6</v>
      </c>
      <c r="C2289" t="s">
        <v>8</v>
      </c>
      <c r="D2289" s="1">
        <v>45332</v>
      </c>
      <c r="E2289">
        <v>129</v>
      </c>
      <c r="F2289">
        <v>0</v>
      </c>
      <c r="G2289">
        <f>IF(Gym_Expansion_Data[[#This Row],[Churned]]=0,1,0)</f>
        <v>1</v>
      </c>
      <c r="H2289" t="str">
        <f>IF(Gym_Expansion_Data[[#This Row],[Active Member]]=1,Gym_Expansion_Data[[#This Row],[Tier]],"Inactive")</f>
        <v>Elite</v>
      </c>
    </row>
    <row r="2290" spans="1:8" x14ac:dyDescent="0.2">
      <c r="A2290">
        <v>3289</v>
      </c>
      <c r="B2290" t="s">
        <v>9</v>
      </c>
      <c r="C2290" t="s">
        <v>7</v>
      </c>
      <c r="D2290" s="1">
        <v>45730</v>
      </c>
      <c r="E2290">
        <v>49</v>
      </c>
      <c r="F2290">
        <v>0</v>
      </c>
      <c r="G2290">
        <f>IF(Gym_Expansion_Data[[#This Row],[Churned]]=0,1,0)</f>
        <v>1</v>
      </c>
      <c r="H2290" t="str">
        <f>IF(Gym_Expansion_Data[[#This Row],[Active Member]]=1,Gym_Expansion_Data[[#This Row],[Tier]],"Inactive")</f>
        <v>Basic</v>
      </c>
    </row>
    <row r="2291" spans="1:8" x14ac:dyDescent="0.2">
      <c r="A2291">
        <v>3290</v>
      </c>
      <c r="B2291" t="s">
        <v>11</v>
      </c>
      <c r="C2291" t="s">
        <v>12</v>
      </c>
      <c r="D2291" s="1">
        <v>45891</v>
      </c>
      <c r="E2291">
        <v>89</v>
      </c>
      <c r="F2291">
        <v>0</v>
      </c>
      <c r="G2291">
        <f>IF(Gym_Expansion_Data[[#This Row],[Churned]]=0,1,0)</f>
        <v>1</v>
      </c>
      <c r="H2291" t="str">
        <f>IF(Gym_Expansion_Data[[#This Row],[Active Member]]=1,Gym_Expansion_Data[[#This Row],[Tier]],"Inactive")</f>
        <v>Premium</v>
      </c>
    </row>
    <row r="2292" spans="1:8" x14ac:dyDescent="0.2">
      <c r="A2292">
        <v>3291</v>
      </c>
      <c r="B2292" t="s">
        <v>9</v>
      </c>
      <c r="C2292" t="s">
        <v>12</v>
      </c>
      <c r="D2292" s="1">
        <v>45981</v>
      </c>
      <c r="E2292">
        <v>89</v>
      </c>
      <c r="F2292">
        <v>0</v>
      </c>
      <c r="G2292">
        <f>IF(Gym_Expansion_Data[[#This Row],[Churned]]=0,1,0)</f>
        <v>1</v>
      </c>
      <c r="H2292" t="str">
        <f>IF(Gym_Expansion_Data[[#This Row],[Active Member]]=1,Gym_Expansion_Data[[#This Row],[Tier]],"Inactive")</f>
        <v>Premium</v>
      </c>
    </row>
    <row r="2293" spans="1:8" x14ac:dyDescent="0.2">
      <c r="A2293">
        <v>3292</v>
      </c>
      <c r="B2293" t="s">
        <v>11</v>
      </c>
      <c r="C2293" t="s">
        <v>7</v>
      </c>
      <c r="D2293" s="1">
        <v>45541</v>
      </c>
      <c r="E2293">
        <v>49</v>
      </c>
      <c r="F2293">
        <v>0</v>
      </c>
      <c r="G2293">
        <f>IF(Gym_Expansion_Data[[#This Row],[Churned]]=0,1,0)</f>
        <v>1</v>
      </c>
      <c r="H2293" t="str">
        <f>IF(Gym_Expansion_Data[[#This Row],[Active Member]]=1,Gym_Expansion_Data[[#This Row],[Tier]],"Inactive")</f>
        <v>Basic</v>
      </c>
    </row>
    <row r="2294" spans="1:8" x14ac:dyDescent="0.2">
      <c r="A2294">
        <v>3293</v>
      </c>
      <c r="B2294" t="s">
        <v>9</v>
      </c>
      <c r="C2294" t="s">
        <v>12</v>
      </c>
      <c r="D2294" s="1">
        <v>45931</v>
      </c>
      <c r="E2294">
        <v>89</v>
      </c>
      <c r="F2294">
        <v>0</v>
      </c>
      <c r="G2294">
        <f>IF(Gym_Expansion_Data[[#This Row],[Churned]]=0,1,0)</f>
        <v>1</v>
      </c>
      <c r="H2294" t="str">
        <f>IF(Gym_Expansion_Data[[#This Row],[Active Member]]=1,Gym_Expansion_Data[[#This Row],[Tier]],"Inactive")</f>
        <v>Premium</v>
      </c>
    </row>
    <row r="2295" spans="1:8" x14ac:dyDescent="0.2">
      <c r="A2295">
        <v>3294</v>
      </c>
      <c r="B2295" t="s">
        <v>9</v>
      </c>
      <c r="C2295" t="s">
        <v>7</v>
      </c>
      <c r="D2295" s="1">
        <v>45325</v>
      </c>
      <c r="E2295">
        <v>49</v>
      </c>
      <c r="F2295">
        <v>1</v>
      </c>
      <c r="G2295">
        <f>IF(Gym_Expansion_Data[[#This Row],[Churned]]=0,1,0)</f>
        <v>0</v>
      </c>
      <c r="H2295" t="str">
        <f>IF(Gym_Expansion_Data[[#This Row],[Active Member]]=1,Gym_Expansion_Data[[#This Row],[Tier]],"Inactive")</f>
        <v>Inactive</v>
      </c>
    </row>
    <row r="2296" spans="1:8" x14ac:dyDescent="0.2">
      <c r="A2296">
        <v>3295</v>
      </c>
      <c r="B2296" t="s">
        <v>9</v>
      </c>
      <c r="C2296" t="s">
        <v>7</v>
      </c>
      <c r="D2296" s="1">
        <v>45530</v>
      </c>
      <c r="E2296">
        <v>49</v>
      </c>
      <c r="F2296">
        <v>0</v>
      </c>
      <c r="G2296">
        <f>IF(Gym_Expansion_Data[[#This Row],[Churned]]=0,1,0)</f>
        <v>1</v>
      </c>
      <c r="H2296" t="str">
        <f>IF(Gym_Expansion_Data[[#This Row],[Active Member]]=1,Gym_Expansion_Data[[#This Row],[Tier]],"Inactive")</f>
        <v>Basic</v>
      </c>
    </row>
    <row r="2297" spans="1:8" x14ac:dyDescent="0.2">
      <c r="A2297">
        <v>3296</v>
      </c>
      <c r="B2297" t="s">
        <v>6</v>
      </c>
      <c r="C2297" t="s">
        <v>8</v>
      </c>
      <c r="D2297" s="1">
        <v>45586</v>
      </c>
      <c r="E2297">
        <v>129</v>
      </c>
      <c r="F2297">
        <v>0</v>
      </c>
      <c r="G2297">
        <f>IF(Gym_Expansion_Data[[#This Row],[Churned]]=0,1,0)</f>
        <v>1</v>
      </c>
      <c r="H2297" t="str">
        <f>IF(Gym_Expansion_Data[[#This Row],[Active Member]]=1,Gym_Expansion_Data[[#This Row],[Tier]],"Inactive")</f>
        <v>Elite</v>
      </c>
    </row>
    <row r="2298" spans="1:8" x14ac:dyDescent="0.2">
      <c r="A2298">
        <v>3297</v>
      </c>
      <c r="B2298" t="s">
        <v>6</v>
      </c>
      <c r="C2298" t="s">
        <v>7</v>
      </c>
      <c r="D2298" s="1">
        <v>45924</v>
      </c>
      <c r="E2298">
        <v>49</v>
      </c>
      <c r="F2298">
        <v>0</v>
      </c>
      <c r="G2298">
        <f>IF(Gym_Expansion_Data[[#This Row],[Churned]]=0,1,0)</f>
        <v>1</v>
      </c>
      <c r="H2298" t="str">
        <f>IF(Gym_Expansion_Data[[#This Row],[Active Member]]=1,Gym_Expansion_Data[[#This Row],[Tier]],"Inactive")</f>
        <v>Basic</v>
      </c>
    </row>
    <row r="2299" spans="1:8" x14ac:dyDescent="0.2">
      <c r="A2299">
        <v>3298</v>
      </c>
      <c r="B2299" t="s">
        <v>9</v>
      </c>
      <c r="C2299" t="s">
        <v>8</v>
      </c>
      <c r="D2299" s="1">
        <v>45992</v>
      </c>
      <c r="E2299">
        <v>129</v>
      </c>
      <c r="F2299">
        <v>1</v>
      </c>
      <c r="G2299">
        <f>IF(Gym_Expansion_Data[[#This Row],[Churned]]=0,1,0)</f>
        <v>0</v>
      </c>
      <c r="H2299" t="str">
        <f>IF(Gym_Expansion_Data[[#This Row],[Active Member]]=1,Gym_Expansion_Data[[#This Row],[Tier]],"Inactive")</f>
        <v>Inactive</v>
      </c>
    </row>
    <row r="2300" spans="1:8" x14ac:dyDescent="0.2">
      <c r="A2300">
        <v>3299</v>
      </c>
      <c r="B2300" t="s">
        <v>9</v>
      </c>
      <c r="C2300" t="s">
        <v>12</v>
      </c>
      <c r="D2300" s="1">
        <v>45502</v>
      </c>
      <c r="E2300">
        <v>89</v>
      </c>
      <c r="F2300">
        <v>0</v>
      </c>
      <c r="G2300">
        <f>IF(Gym_Expansion_Data[[#This Row],[Churned]]=0,1,0)</f>
        <v>1</v>
      </c>
      <c r="H2300" t="str">
        <f>IF(Gym_Expansion_Data[[#This Row],[Active Member]]=1,Gym_Expansion_Data[[#This Row],[Tier]],"Inactive")</f>
        <v>Premium</v>
      </c>
    </row>
    <row r="2301" spans="1:8" x14ac:dyDescent="0.2">
      <c r="A2301">
        <v>3300</v>
      </c>
      <c r="B2301" t="s">
        <v>11</v>
      </c>
      <c r="C2301" t="s">
        <v>12</v>
      </c>
      <c r="D2301" s="1">
        <v>45556</v>
      </c>
      <c r="E2301">
        <v>89</v>
      </c>
      <c r="F2301">
        <v>0</v>
      </c>
      <c r="G2301">
        <f>IF(Gym_Expansion_Data[[#This Row],[Churned]]=0,1,0)</f>
        <v>1</v>
      </c>
      <c r="H2301" t="str">
        <f>IF(Gym_Expansion_Data[[#This Row],[Active Member]]=1,Gym_Expansion_Data[[#This Row],[Tier]],"Inactive")</f>
        <v>Premium</v>
      </c>
    </row>
    <row r="2302" spans="1:8" x14ac:dyDescent="0.2">
      <c r="A2302">
        <v>3301</v>
      </c>
      <c r="B2302" t="s">
        <v>11</v>
      </c>
      <c r="C2302" t="s">
        <v>8</v>
      </c>
      <c r="D2302" s="1">
        <v>45807</v>
      </c>
      <c r="E2302">
        <v>129</v>
      </c>
      <c r="F2302">
        <v>0</v>
      </c>
      <c r="G2302">
        <f>IF(Gym_Expansion_Data[[#This Row],[Churned]]=0,1,0)</f>
        <v>1</v>
      </c>
      <c r="H2302" t="str">
        <f>IF(Gym_Expansion_Data[[#This Row],[Active Member]]=1,Gym_Expansion_Data[[#This Row],[Tier]],"Inactive")</f>
        <v>Elite</v>
      </c>
    </row>
    <row r="2303" spans="1:8" x14ac:dyDescent="0.2">
      <c r="A2303">
        <v>3302</v>
      </c>
      <c r="B2303" t="s">
        <v>6</v>
      </c>
      <c r="C2303" t="s">
        <v>7</v>
      </c>
      <c r="D2303" s="1">
        <v>45710</v>
      </c>
      <c r="E2303">
        <v>49</v>
      </c>
      <c r="F2303">
        <v>0</v>
      </c>
      <c r="G2303">
        <f>IF(Gym_Expansion_Data[[#This Row],[Churned]]=0,1,0)</f>
        <v>1</v>
      </c>
      <c r="H2303" t="str">
        <f>IF(Gym_Expansion_Data[[#This Row],[Active Member]]=1,Gym_Expansion_Data[[#This Row],[Tier]],"Inactive")</f>
        <v>Basic</v>
      </c>
    </row>
    <row r="2304" spans="1:8" x14ac:dyDescent="0.2">
      <c r="A2304">
        <v>3303</v>
      </c>
      <c r="B2304" t="s">
        <v>6</v>
      </c>
      <c r="C2304" t="s">
        <v>7</v>
      </c>
      <c r="D2304" s="1">
        <v>45783</v>
      </c>
      <c r="E2304">
        <v>49</v>
      </c>
      <c r="F2304">
        <v>0</v>
      </c>
      <c r="G2304">
        <f>IF(Gym_Expansion_Data[[#This Row],[Churned]]=0,1,0)</f>
        <v>1</v>
      </c>
      <c r="H2304" t="str">
        <f>IF(Gym_Expansion_Data[[#This Row],[Active Member]]=1,Gym_Expansion_Data[[#This Row],[Tier]],"Inactive")</f>
        <v>Basic</v>
      </c>
    </row>
    <row r="2305" spans="1:8" x14ac:dyDescent="0.2">
      <c r="A2305">
        <v>3304</v>
      </c>
      <c r="B2305" t="s">
        <v>11</v>
      </c>
      <c r="C2305" t="s">
        <v>7</v>
      </c>
      <c r="D2305" s="1">
        <v>45914</v>
      </c>
      <c r="E2305">
        <v>49</v>
      </c>
      <c r="F2305">
        <v>0</v>
      </c>
      <c r="G2305">
        <f>IF(Gym_Expansion_Data[[#This Row],[Churned]]=0,1,0)</f>
        <v>1</v>
      </c>
      <c r="H2305" t="str">
        <f>IF(Gym_Expansion_Data[[#This Row],[Active Member]]=1,Gym_Expansion_Data[[#This Row],[Tier]],"Inactive")</f>
        <v>Basic</v>
      </c>
    </row>
    <row r="2306" spans="1:8" x14ac:dyDescent="0.2">
      <c r="A2306">
        <v>3305</v>
      </c>
      <c r="B2306" t="s">
        <v>10</v>
      </c>
      <c r="C2306" t="s">
        <v>12</v>
      </c>
      <c r="D2306" s="1">
        <v>45910</v>
      </c>
      <c r="E2306">
        <v>89</v>
      </c>
      <c r="F2306">
        <v>0</v>
      </c>
      <c r="G2306">
        <f>IF(Gym_Expansion_Data[[#This Row],[Churned]]=0,1,0)</f>
        <v>1</v>
      </c>
      <c r="H2306" t="str">
        <f>IF(Gym_Expansion_Data[[#This Row],[Active Member]]=1,Gym_Expansion_Data[[#This Row],[Tier]],"Inactive")</f>
        <v>Premium</v>
      </c>
    </row>
    <row r="2307" spans="1:8" x14ac:dyDescent="0.2">
      <c r="A2307">
        <v>3306</v>
      </c>
      <c r="B2307" t="s">
        <v>10</v>
      </c>
      <c r="C2307" t="s">
        <v>7</v>
      </c>
      <c r="D2307" s="1">
        <v>45740</v>
      </c>
      <c r="E2307">
        <v>49</v>
      </c>
      <c r="F2307">
        <v>0</v>
      </c>
      <c r="G2307">
        <f>IF(Gym_Expansion_Data[[#This Row],[Churned]]=0,1,0)</f>
        <v>1</v>
      </c>
      <c r="H2307" t="str">
        <f>IF(Gym_Expansion_Data[[#This Row],[Active Member]]=1,Gym_Expansion_Data[[#This Row],[Tier]],"Inactive")</f>
        <v>Basic</v>
      </c>
    </row>
    <row r="2308" spans="1:8" x14ac:dyDescent="0.2">
      <c r="A2308">
        <v>3307</v>
      </c>
      <c r="B2308" t="s">
        <v>10</v>
      </c>
      <c r="C2308" t="s">
        <v>7</v>
      </c>
      <c r="D2308" s="1">
        <v>45662</v>
      </c>
      <c r="E2308">
        <v>49</v>
      </c>
      <c r="F2308">
        <v>0</v>
      </c>
      <c r="G2308">
        <f>IF(Gym_Expansion_Data[[#This Row],[Churned]]=0,1,0)</f>
        <v>1</v>
      </c>
      <c r="H2308" t="str">
        <f>IF(Gym_Expansion_Data[[#This Row],[Active Member]]=1,Gym_Expansion_Data[[#This Row],[Tier]],"Inactive")</f>
        <v>Basic</v>
      </c>
    </row>
    <row r="2309" spans="1:8" x14ac:dyDescent="0.2">
      <c r="A2309">
        <v>3308</v>
      </c>
      <c r="B2309" t="s">
        <v>6</v>
      </c>
      <c r="C2309" t="s">
        <v>7</v>
      </c>
      <c r="D2309" s="1">
        <v>45605</v>
      </c>
      <c r="E2309">
        <v>49</v>
      </c>
      <c r="F2309">
        <v>0</v>
      </c>
      <c r="G2309">
        <f>IF(Gym_Expansion_Data[[#This Row],[Churned]]=0,1,0)</f>
        <v>1</v>
      </c>
      <c r="H2309" t="str">
        <f>IF(Gym_Expansion_Data[[#This Row],[Active Member]]=1,Gym_Expansion_Data[[#This Row],[Tier]],"Inactive")</f>
        <v>Basic</v>
      </c>
    </row>
    <row r="2310" spans="1:8" x14ac:dyDescent="0.2">
      <c r="A2310">
        <v>3309</v>
      </c>
      <c r="B2310" t="s">
        <v>6</v>
      </c>
      <c r="C2310" t="s">
        <v>7</v>
      </c>
      <c r="D2310" s="1">
        <v>45647</v>
      </c>
      <c r="E2310">
        <v>49</v>
      </c>
      <c r="F2310">
        <v>1</v>
      </c>
      <c r="G2310">
        <f>IF(Gym_Expansion_Data[[#This Row],[Churned]]=0,1,0)</f>
        <v>0</v>
      </c>
      <c r="H2310" t="str">
        <f>IF(Gym_Expansion_Data[[#This Row],[Active Member]]=1,Gym_Expansion_Data[[#This Row],[Tier]],"Inactive")</f>
        <v>Inactive</v>
      </c>
    </row>
    <row r="2311" spans="1:8" x14ac:dyDescent="0.2">
      <c r="A2311">
        <v>3310</v>
      </c>
      <c r="B2311" t="s">
        <v>6</v>
      </c>
      <c r="C2311" t="s">
        <v>12</v>
      </c>
      <c r="D2311" s="1">
        <v>45540</v>
      </c>
      <c r="E2311">
        <v>89</v>
      </c>
      <c r="F2311">
        <v>0</v>
      </c>
      <c r="G2311">
        <f>IF(Gym_Expansion_Data[[#This Row],[Churned]]=0,1,0)</f>
        <v>1</v>
      </c>
      <c r="H2311" t="str">
        <f>IF(Gym_Expansion_Data[[#This Row],[Active Member]]=1,Gym_Expansion_Data[[#This Row],[Tier]],"Inactive")</f>
        <v>Premium</v>
      </c>
    </row>
    <row r="2312" spans="1:8" x14ac:dyDescent="0.2">
      <c r="A2312">
        <v>3311</v>
      </c>
      <c r="B2312" t="s">
        <v>11</v>
      </c>
      <c r="C2312" t="s">
        <v>12</v>
      </c>
      <c r="D2312" s="1">
        <v>45302</v>
      </c>
      <c r="E2312">
        <v>89</v>
      </c>
      <c r="F2312">
        <v>0</v>
      </c>
      <c r="G2312">
        <f>IF(Gym_Expansion_Data[[#This Row],[Churned]]=0,1,0)</f>
        <v>1</v>
      </c>
      <c r="H2312" t="str">
        <f>IF(Gym_Expansion_Data[[#This Row],[Active Member]]=1,Gym_Expansion_Data[[#This Row],[Tier]],"Inactive")</f>
        <v>Premium</v>
      </c>
    </row>
    <row r="2313" spans="1:8" x14ac:dyDescent="0.2">
      <c r="A2313">
        <v>3312</v>
      </c>
      <c r="B2313" t="s">
        <v>6</v>
      </c>
      <c r="C2313" t="s">
        <v>12</v>
      </c>
      <c r="D2313" s="1">
        <v>45649</v>
      </c>
      <c r="E2313">
        <v>89</v>
      </c>
      <c r="F2313">
        <v>0</v>
      </c>
      <c r="G2313">
        <f>IF(Gym_Expansion_Data[[#This Row],[Churned]]=0,1,0)</f>
        <v>1</v>
      </c>
      <c r="H2313" t="str">
        <f>IF(Gym_Expansion_Data[[#This Row],[Active Member]]=1,Gym_Expansion_Data[[#This Row],[Tier]],"Inactive")</f>
        <v>Premium</v>
      </c>
    </row>
    <row r="2314" spans="1:8" x14ac:dyDescent="0.2">
      <c r="A2314">
        <v>3313</v>
      </c>
      <c r="B2314" t="s">
        <v>6</v>
      </c>
      <c r="C2314" t="s">
        <v>7</v>
      </c>
      <c r="D2314" s="1">
        <v>45605</v>
      </c>
      <c r="E2314">
        <v>49</v>
      </c>
      <c r="F2314">
        <v>0</v>
      </c>
      <c r="G2314">
        <f>IF(Gym_Expansion_Data[[#This Row],[Churned]]=0,1,0)</f>
        <v>1</v>
      </c>
      <c r="H2314" t="str">
        <f>IF(Gym_Expansion_Data[[#This Row],[Active Member]]=1,Gym_Expansion_Data[[#This Row],[Tier]],"Inactive")</f>
        <v>Basic</v>
      </c>
    </row>
    <row r="2315" spans="1:8" x14ac:dyDescent="0.2">
      <c r="A2315">
        <v>3314</v>
      </c>
      <c r="B2315" t="s">
        <v>6</v>
      </c>
      <c r="C2315" t="s">
        <v>7</v>
      </c>
      <c r="D2315" s="1">
        <v>45801</v>
      </c>
      <c r="E2315">
        <v>49</v>
      </c>
      <c r="F2315">
        <v>0</v>
      </c>
      <c r="G2315">
        <f>IF(Gym_Expansion_Data[[#This Row],[Churned]]=0,1,0)</f>
        <v>1</v>
      </c>
      <c r="H2315" t="str">
        <f>IF(Gym_Expansion_Data[[#This Row],[Active Member]]=1,Gym_Expansion_Data[[#This Row],[Tier]],"Inactive")</f>
        <v>Basic</v>
      </c>
    </row>
    <row r="2316" spans="1:8" x14ac:dyDescent="0.2">
      <c r="A2316">
        <v>3315</v>
      </c>
      <c r="B2316" t="s">
        <v>10</v>
      </c>
      <c r="C2316" t="s">
        <v>7</v>
      </c>
      <c r="D2316" s="1">
        <v>45657</v>
      </c>
      <c r="E2316">
        <v>49</v>
      </c>
      <c r="F2316">
        <v>0</v>
      </c>
      <c r="G2316">
        <f>IF(Gym_Expansion_Data[[#This Row],[Churned]]=0,1,0)</f>
        <v>1</v>
      </c>
      <c r="H2316" t="str">
        <f>IF(Gym_Expansion_Data[[#This Row],[Active Member]]=1,Gym_Expansion_Data[[#This Row],[Tier]],"Inactive")</f>
        <v>Basic</v>
      </c>
    </row>
    <row r="2317" spans="1:8" x14ac:dyDescent="0.2">
      <c r="A2317">
        <v>3316</v>
      </c>
      <c r="B2317" t="s">
        <v>9</v>
      </c>
      <c r="C2317" t="s">
        <v>7</v>
      </c>
      <c r="D2317" s="1">
        <v>45975</v>
      </c>
      <c r="E2317">
        <v>49</v>
      </c>
      <c r="F2317">
        <v>0</v>
      </c>
      <c r="G2317">
        <f>IF(Gym_Expansion_Data[[#This Row],[Churned]]=0,1,0)</f>
        <v>1</v>
      </c>
      <c r="H2317" t="str">
        <f>IF(Gym_Expansion_Data[[#This Row],[Active Member]]=1,Gym_Expansion_Data[[#This Row],[Tier]],"Inactive")</f>
        <v>Basic</v>
      </c>
    </row>
    <row r="2318" spans="1:8" x14ac:dyDescent="0.2">
      <c r="A2318">
        <v>3317</v>
      </c>
      <c r="B2318" t="s">
        <v>9</v>
      </c>
      <c r="C2318" t="s">
        <v>7</v>
      </c>
      <c r="D2318" s="1">
        <v>45713</v>
      </c>
      <c r="E2318">
        <v>49</v>
      </c>
      <c r="F2318">
        <v>0</v>
      </c>
      <c r="G2318">
        <f>IF(Gym_Expansion_Data[[#This Row],[Churned]]=0,1,0)</f>
        <v>1</v>
      </c>
      <c r="H2318" t="str">
        <f>IF(Gym_Expansion_Data[[#This Row],[Active Member]]=1,Gym_Expansion_Data[[#This Row],[Tier]],"Inactive")</f>
        <v>Basic</v>
      </c>
    </row>
    <row r="2319" spans="1:8" x14ac:dyDescent="0.2">
      <c r="A2319">
        <v>3318</v>
      </c>
      <c r="B2319" t="s">
        <v>11</v>
      </c>
      <c r="C2319" t="s">
        <v>12</v>
      </c>
      <c r="D2319" s="1">
        <v>45534</v>
      </c>
      <c r="E2319">
        <v>89</v>
      </c>
      <c r="F2319">
        <v>0</v>
      </c>
      <c r="G2319">
        <f>IF(Gym_Expansion_Data[[#This Row],[Churned]]=0,1,0)</f>
        <v>1</v>
      </c>
      <c r="H2319" t="str">
        <f>IF(Gym_Expansion_Data[[#This Row],[Active Member]]=1,Gym_Expansion_Data[[#This Row],[Tier]],"Inactive")</f>
        <v>Premium</v>
      </c>
    </row>
    <row r="2320" spans="1:8" x14ac:dyDescent="0.2">
      <c r="A2320">
        <v>3319</v>
      </c>
      <c r="B2320" t="s">
        <v>9</v>
      </c>
      <c r="C2320" t="s">
        <v>12</v>
      </c>
      <c r="D2320" s="1">
        <v>45444</v>
      </c>
      <c r="E2320">
        <v>89</v>
      </c>
      <c r="F2320">
        <v>1</v>
      </c>
      <c r="G2320">
        <f>IF(Gym_Expansion_Data[[#This Row],[Churned]]=0,1,0)</f>
        <v>0</v>
      </c>
      <c r="H2320" t="str">
        <f>IF(Gym_Expansion_Data[[#This Row],[Active Member]]=1,Gym_Expansion_Data[[#This Row],[Tier]],"Inactive")</f>
        <v>Inactive</v>
      </c>
    </row>
    <row r="2321" spans="1:8" x14ac:dyDescent="0.2">
      <c r="A2321">
        <v>3320</v>
      </c>
      <c r="B2321" t="s">
        <v>6</v>
      </c>
      <c r="C2321" t="s">
        <v>12</v>
      </c>
      <c r="D2321" s="1">
        <v>45406</v>
      </c>
      <c r="E2321">
        <v>89</v>
      </c>
      <c r="F2321">
        <v>0</v>
      </c>
      <c r="G2321">
        <f>IF(Gym_Expansion_Data[[#This Row],[Churned]]=0,1,0)</f>
        <v>1</v>
      </c>
      <c r="H2321" t="str">
        <f>IF(Gym_Expansion_Data[[#This Row],[Active Member]]=1,Gym_Expansion_Data[[#This Row],[Tier]],"Inactive")</f>
        <v>Premium</v>
      </c>
    </row>
    <row r="2322" spans="1:8" x14ac:dyDescent="0.2">
      <c r="A2322">
        <v>3321</v>
      </c>
      <c r="B2322" t="s">
        <v>10</v>
      </c>
      <c r="C2322" t="s">
        <v>7</v>
      </c>
      <c r="D2322" s="1">
        <v>45512</v>
      </c>
      <c r="E2322">
        <v>49</v>
      </c>
      <c r="F2322">
        <v>0</v>
      </c>
      <c r="G2322">
        <f>IF(Gym_Expansion_Data[[#This Row],[Churned]]=0,1,0)</f>
        <v>1</v>
      </c>
      <c r="H2322" t="str">
        <f>IF(Gym_Expansion_Data[[#This Row],[Active Member]]=1,Gym_Expansion_Data[[#This Row],[Tier]],"Inactive")</f>
        <v>Basic</v>
      </c>
    </row>
    <row r="2323" spans="1:8" x14ac:dyDescent="0.2">
      <c r="A2323">
        <v>3322</v>
      </c>
      <c r="B2323" t="s">
        <v>6</v>
      </c>
      <c r="C2323" t="s">
        <v>7</v>
      </c>
      <c r="D2323" s="1">
        <v>45900</v>
      </c>
      <c r="E2323">
        <v>49</v>
      </c>
      <c r="F2323">
        <v>0</v>
      </c>
      <c r="G2323">
        <f>IF(Gym_Expansion_Data[[#This Row],[Churned]]=0,1,0)</f>
        <v>1</v>
      </c>
      <c r="H2323" t="str">
        <f>IF(Gym_Expansion_Data[[#This Row],[Active Member]]=1,Gym_Expansion_Data[[#This Row],[Tier]],"Inactive")</f>
        <v>Basic</v>
      </c>
    </row>
    <row r="2324" spans="1:8" x14ac:dyDescent="0.2">
      <c r="A2324">
        <v>3323</v>
      </c>
      <c r="B2324" t="s">
        <v>9</v>
      </c>
      <c r="C2324" t="s">
        <v>7</v>
      </c>
      <c r="D2324" s="1">
        <v>45417</v>
      </c>
      <c r="E2324">
        <v>49</v>
      </c>
      <c r="F2324">
        <v>0</v>
      </c>
      <c r="G2324">
        <f>IF(Gym_Expansion_Data[[#This Row],[Churned]]=0,1,0)</f>
        <v>1</v>
      </c>
      <c r="H2324" t="str">
        <f>IF(Gym_Expansion_Data[[#This Row],[Active Member]]=1,Gym_Expansion_Data[[#This Row],[Tier]],"Inactive")</f>
        <v>Basic</v>
      </c>
    </row>
    <row r="2325" spans="1:8" x14ac:dyDescent="0.2">
      <c r="A2325">
        <v>3324</v>
      </c>
      <c r="B2325" t="s">
        <v>6</v>
      </c>
      <c r="C2325" t="s">
        <v>12</v>
      </c>
      <c r="D2325" s="1">
        <v>45491</v>
      </c>
      <c r="E2325">
        <v>89</v>
      </c>
      <c r="F2325">
        <v>0</v>
      </c>
      <c r="G2325">
        <f>IF(Gym_Expansion_Data[[#This Row],[Churned]]=0,1,0)</f>
        <v>1</v>
      </c>
      <c r="H2325" t="str">
        <f>IF(Gym_Expansion_Data[[#This Row],[Active Member]]=1,Gym_Expansion_Data[[#This Row],[Tier]],"Inactive")</f>
        <v>Premium</v>
      </c>
    </row>
    <row r="2326" spans="1:8" x14ac:dyDescent="0.2">
      <c r="A2326">
        <v>3325</v>
      </c>
      <c r="B2326" t="s">
        <v>11</v>
      </c>
      <c r="C2326" t="s">
        <v>12</v>
      </c>
      <c r="D2326" s="1">
        <v>45678</v>
      </c>
      <c r="E2326">
        <v>89</v>
      </c>
      <c r="F2326">
        <v>0</v>
      </c>
      <c r="G2326">
        <f>IF(Gym_Expansion_Data[[#This Row],[Churned]]=0,1,0)</f>
        <v>1</v>
      </c>
      <c r="H2326" t="str">
        <f>IF(Gym_Expansion_Data[[#This Row],[Active Member]]=1,Gym_Expansion_Data[[#This Row],[Tier]],"Inactive")</f>
        <v>Premium</v>
      </c>
    </row>
    <row r="2327" spans="1:8" x14ac:dyDescent="0.2">
      <c r="A2327">
        <v>3326</v>
      </c>
      <c r="B2327" t="s">
        <v>6</v>
      </c>
      <c r="C2327" t="s">
        <v>7</v>
      </c>
      <c r="D2327" s="1">
        <v>45628</v>
      </c>
      <c r="E2327">
        <v>49</v>
      </c>
      <c r="F2327">
        <v>0</v>
      </c>
      <c r="G2327">
        <f>IF(Gym_Expansion_Data[[#This Row],[Churned]]=0,1,0)</f>
        <v>1</v>
      </c>
      <c r="H2327" t="str">
        <f>IF(Gym_Expansion_Data[[#This Row],[Active Member]]=1,Gym_Expansion_Data[[#This Row],[Tier]],"Inactive")</f>
        <v>Basic</v>
      </c>
    </row>
    <row r="2328" spans="1:8" x14ac:dyDescent="0.2">
      <c r="A2328">
        <v>3327</v>
      </c>
      <c r="B2328" t="s">
        <v>6</v>
      </c>
      <c r="C2328" t="s">
        <v>12</v>
      </c>
      <c r="D2328" s="1">
        <v>45743</v>
      </c>
      <c r="E2328">
        <v>89</v>
      </c>
      <c r="F2328">
        <v>0</v>
      </c>
      <c r="G2328">
        <f>IF(Gym_Expansion_Data[[#This Row],[Churned]]=0,1,0)</f>
        <v>1</v>
      </c>
      <c r="H2328" t="str">
        <f>IF(Gym_Expansion_Data[[#This Row],[Active Member]]=1,Gym_Expansion_Data[[#This Row],[Tier]],"Inactive")</f>
        <v>Premium</v>
      </c>
    </row>
    <row r="2329" spans="1:8" x14ac:dyDescent="0.2">
      <c r="A2329">
        <v>3328</v>
      </c>
      <c r="B2329" t="s">
        <v>10</v>
      </c>
      <c r="C2329" t="s">
        <v>7</v>
      </c>
      <c r="D2329" s="1">
        <v>45609</v>
      </c>
      <c r="E2329">
        <v>49</v>
      </c>
      <c r="F2329">
        <v>1</v>
      </c>
      <c r="G2329">
        <f>IF(Gym_Expansion_Data[[#This Row],[Churned]]=0,1,0)</f>
        <v>0</v>
      </c>
      <c r="H2329" t="str">
        <f>IF(Gym_Expansion_Data[[#This Row],[Active Member]]=1,Gym_Expansion_Data[[#This Row],[Tier]],"Inactive")</f>
        <v>Inactive</v>
      </c>
    </row>
    <row r="2330" spans="1:8" x14ac:dyDescent="0.2">
      <c r="A2330">
        <v>3329</v>
      </c>
      <c r="B2330" t="s">
        <v>10</v>
      </c>
      <c r="C2330" t="s">
        <v>12</v>
      </c>
      <c r="D2330" s="1">
        <v>45507</v>
      </c>
      <c r="E2330">
        <v>89</v>
      </c>
      <c r="F2330">
        <v>0</v>
      </c>
      <c r="G2330">
        <f>IF(Gym_Expansion_Data[[#This Row],[Churned]]=0,1,0)</f>
        <v>1</v>
      </c>
      <c r="H2330" t="str">
        <f>IF(Gym_Expansion_Data[[#This Row],[Active Member]]=1,Gym_Expansion_Data[[#This Row],[Tier]],"Inactive")</f>
        <v>Premium</v>
      </c>
    </row>
    <row r="2331" spans="1:8" x14ac:dyDescent="0.2">
      <c r="A2331">
        <v>3330</v>
      </c>
      <c r="B2331" t="s">
        <v>6</v>
      </c>
      <c r="C2331" t="s">
        <v>8</v>
      </c>
      <c r="D2331" s="1">
        <v>45714</v>
      </c>
      <c r="E2331">
        <v>129</v>
      </c>
      <c r="F2331">
        <v>0</v>
      </c>
      <c r="G2331">
        <f>IF(Gym_Expansion_Data[[#This Row],[Churned]]=0,1,0)</f>
        <v>1</v>
      </c>
      <c r="H2331" t="str">
        <f>IF(Gym_Expansion_Data[[#This Row],[Active Member]]=1,Gym_Expansion_Data[[#This Row],[Tier]],"Inactive")</f>
        <v>Elite</v>
      </c>
    </row>
    <row r="2332" spans="1:8" x14ac:dyDescent="0.2">
      <c r="A2332">
        <v>3331</v>
      </c>
      <c r="B2332" t="s">
        <v>11</v>
      </c>
      <c r="C2332" t="s">
        <v>7</v>
      </c>
      <c r="D2332" s="1">
        <v>45888</v>
      </c>
      <c r="E2332">
        <v>49</v>
      </c>
      <c r="F2332">
        <v>0</v>
      </c>
      <c r="G2332">
        <f>IF(Gym_Expansion_Data[[#This Row],[Churned]]=0,1,0)</f>
        <v>1</v>
      </c>
      <c r="H2332" t="str">
        <f>IF(Gym_Expansion_Data[[#This Row],[Active Member]]=1,Gym_Expansion_Data[[#This Row],[Tier]],"Inactive")</f>
        <v>Basic</v>
      </c>
    </row>
    <row r="2333" spans="1:8" x14ac:dyDescent="0.2">
      <c r="A2333">
        <v>3332</v>
      </c>
      <c r="B2333" t="s">
        <v>9</v>
      </c>
      <c r="C2333" t="s">
        <v>12</v>
      </c>
      <c r="D2333" s="1">
        <v>45694</v>
      </c>
      <c r="E2333">
        <v>89</v>
      </c>
      <c r="F2333">
        <v>0</v>
      </c>
      <c r="G2333">
        <f>IF(Gym_Expansion_Data[[#This Row],[Churned]]=0,1,0)</f>
        <v>1</v>
      </c>
      <c r="H2333" t="str">
        <f>IF(Gym_Expansion_Data[[#This Row],[Active Member]]=1,Gym_Expansion_Data[[#This Row],[Tier]],"Inactive")</f>
        <v>Premium</v>
      </c>
    </row>
    <row r="2334" spans="1:8" x14ac:dyDescent="0.2">
      <c r="A2334">
        <v>3333</v>
      </c>
      <c r="B2334" t="s">
        <v>9</v>
      </c>
      <c r="C2334" t="s">
        <v>12</v>
      </c>
      <c r="D2334" s="1">
        <v>45728</v>
      </c>
      <c r="E2334">
        <v>89</v>
      </c>
      <c r="F2334">
        <v>0</v>
      </c>
      <c r="G2334">
        <f>IF(Gym_Expansion_Data[[#This Row],[Churned]]=0,1,0)</f>
        <v>1</v>
      </c>
      <c r="H2334" t="str">
        <f>IF(Gym_Expansion_Data[[#This Row],[Active Member]]=1,Gym_Expansion_Data[[#This Row],[Tier]],"Inactive")</f>
        <v>Premium</v>
      </c>
    </row>
    <row r="2335" spans="1:8" x14ac:dyDescent="0.2">
      <c r="A2335">
        <v>3334</v>
      </c>
      <c r="B2335" t="s">
        <v>11</v>
      </c>
      <c r="C2335" t="s">
        <v>8</v>
      </c>
      <c r="D2335" s="1">
        <v>45328</v>
      </c>
      <c r="E2335">
        <v>129</v>
      </c>
      <c r="F2335">
        <v>0</v>
      </c>
      <c r="G2335">
        <f>IF(Gym_Expansion_Data[[#This Row],[Churned]]=0,1,0)</f>
        <v>1</v>
      </c>
      <c r="H2335" t="str">
        <f>IF(Gym_Expansion_Data[[#This Row],[Active Member]]=1,Gym_Expansion_Data[[#This Row],[Tier]],"Inactive")</f>
        <v>Elite</v>
      </c>
    </row>
    <row r="2336" spans="1:8" x14ac:dyDescent="0.2">
      <c r="A2336">
        <v>3335</v>
      </c>
      <c r="B2336" t="s">
        <v>9</v>
      </c>
      <c r="C2336" t="s">
        <v>12</v>
      </c>
      <c r="D2336" s="1">
        <v>45510</v>
      </c>
      <c r="E2336">
        <v>89</v>
      </c>
      <c r="F2336">
        <v>0</v>
      </c>
      <c r="G2336">
        <f>IF(Gym_Expansion_Data[[#This Row],[Churned]]=0,1,0)</f>
        <v>1</v>
      </c>
      <c r="H2336" t="str">
        <f>IF(Gym_Expansion_Data[[#This Row],[Active Member]]=1,Gym_Expansion_Data[[#This Row],[Tier]],"Inactive")</f>
        <v>Premium</v>
      </c>
    </row>
    <row r="2337" spans="1:8" x14ac:dyDescent="0.2">
      <c r="A2337">
        <v>3336</v>
      </c>
      <c r="B2337" t="s">
        <v>9</v>
      </c>
      <c r="C2337" t="s">
        <v>7</v>
      </c>
      <c r="D2337" s="1">
        <v>45552</v>
      </c>
      <c r="E2337">
        <v>49</v>
      </c>
      <c r="F2337">
        <v>0</v>
      </c>
      <c r="G2337">
        <f>IF(Gym_Expansion_Data[[#This Row],[Churned]]=0,1,0)</f>
        <v>1</v>
      </c>
      <c r="H2337" t="str">
        <f>IF(Gym_Expansion_Data[[#This Row],[Active Member]]=1,Gym_Expansion_Data[[#This Row],[Tier]],"Inactive")</f>
        <v>Basic</v>
      </c>
    </row>
    <row r="2338" spans="1:8" x14ac:dyDescent="0.2">
      <c r="A2338">
        <v>3337</v>
      </c>
      <c r="B2338" t="s">
        <v>9</v>
      </c>
      <c r="C2338" t="s">
        <v>7</v>
      </c>
      <c r="D2338" s="1">
        <v>45759</v>
      </c>
      <c r="E2338">
        <v>49</v>
      </c>
      <c r="F2338">
        <v>0</v>
      </c>
      <c r="G2338">
        <f>IF(Gym_Expansion_Data[[#This Row],[Churned]]=0,1,0)</f>
        <v>1</v>
      </c>
      <c r="H2338" t="str">
        <f>IF(Gym_Expansion_Data[[#This Row],[Active Member]]=1,Gym_Expansion_Data[[#This Row],[Tier]],"Inactive")</f>
        <v>Basic</v>
      </c>
    </row>
    <row r="2339" spans="1:8" x14ac:dyDescent="0.2">
      <c r="A2339">
        <v>3338</v>
      </c>
      <c r="B2339" t="s">
        <v>9</v>
      </c>
      <c r="C2339" t="s">
        <v>7</v>
      </c>
      <c r="D2339" s="1">
        <v>45901</v>
      </c>
      <c r="E2339">
        <v>49</v>
      </c>
      <c r="F2339">
        <v>0</v>
      </c>
      <c r="G2339">
        <f>IF(Gym_Expansion_Data[[#This Row],[Churned]]=0,1,0)</f>
        <v>1</v>
      </c>
      <c r="H2339" t="str">
        <f>IF(Gym_Expansion_Data[[#This Row],[Active Member]]=1,Gym_Expansion_Data[[#This Row],[Tier]],"Inactive")</f>
        <v>Basic</v>
      </c>
    </row>
    <row r="2340" spans="1:8" x14ac:dyDescent="0.2">
      <c r="A2340">
        <v>3339</v>
      </c>
      <c r="B2340" t="s">
        <v>10</v>
      </c>
      <c r="C2340" t="s">
        <v>12</v>
      </c>
      <c r="D2340" s="1">
        <v>45601</v>
      </c>
      <c r="E2340">
        <v>89</v>
      </c>
      <c r="F2340">
        <v>0</v>
      </c>
      <c r="G2340">
        <f>IF(Gym_Expansion_Data[[#This Row],[Churned]]=0,1,0)</f>
        <v>1</v>
      </c>
      <c r="H2340" t="str">
        <f>IF(Gym_Expansion_Data[[#This Row],[Active Member]]=1,Gym_Expansion_Data[[#This Row],[Tier]],"Inactive")</f>
        <v>Premium</v>
      </c>
    </row>
    <row r="2341" spans="1:8" x14ac:dyDescent="0.2">
      <c r="A2341">
        <v>3340</v>
      </c>
      <c r="B2341" t="s">
        <v>11</v>
      </c>
      <c r="C2341" t="s">
        <v>7</v>
      </c>
      <c r="D2341" s="1">
        <v>45726</v>
      </c>
      <c r="E2341">
        <v>49</v>
      </c>
      <c r="F2341">
        <v>0</v>
      </c>
      <c r="G2341">
        <f>IF(Gym_Expansion_Data[[#This Row],[Churned]]=0,1,0)</f>
        <v>1</v>
      </c>
      <c r="H2341" t="str">
        <f>IF(Gym_Expansion_Data[[#This Row],[Active Member]]=1,Gym_Expansion_Data[[#This Row],[Tier]],"Inactive")</f>
        <v>Basic</v>
      </c>
    </row>
    <row r="2342" spans="1:8" x14ac:dyDescent="0.2">
      <c r="A2342">
        <v>3341</v>
      </c>
      <c r="B2342" t="s">
        <v>10</v>
      </c>
      <c r="C2342" t="s">
        <v>8</v>
      </c>
      <c r="D2342" s="1">
        <v>45426</v>
      </c>
      <c r="E2342">
        <v>129</v>
      </c>
      <c r="F2342">
        <v>0</v>
      </c>
      <c r="G2342">
        <f>IF(Gym_Expansion_Data[[#This Row],[Churned]]=0,1,0)</f>
        <v>1</v>
      </c>
      <c r="H2342" t="str">
        <f>IF(Gym_Expansion_Data[[#This Row],[Active Member]]=1,Gym_Expansion_Data[[#This Row],[Tier]],"Inactive")</f>
        <v>Elite</v>
      </c>
    </row>
    <row r="2343" spans="1:8" x14ac:dyDescent="0.2">
      <c r="A2343">
        <v>3342</v>
      </c>
      <c r="B2343" t="s">
        <v>6</v>
      </c>
      <c r="C2343" t="s">
        <v>8</v>
      </c>
      <c r="D2343" s="1">
        <v>45867</v>
      </c>
      <c r="E2343">
        <v>129</v>
      </c>
      <c r="F2343">
        <v>0</v>
      </c>
      <c r="G2343">
        <f>IF(Gym_Expansion_Data[[#This Row],[Churned]]=0,1,0)</f>
        <v>1</v>
      </c>
      <c r="H2343" t="str">
        <f>IF(Gym_Expansion_Data[[#This Row],[Active Member]]=1,Gym_Expansion_Data[[#This Row],[Tier]],"Inactive")</f>
        <v>Elite</v>
      </c>
    </row>
    <row r="2344" spans="1:8" x14ac:dyDescent="0.2">
      <c r="A2344">
        <v>3343</v>
      </c>
      <c r="B2344" t="s">
        <v>11</v>
      </c>
      <c r="C2344" t="s">
        <v>12</v>
      </c>
      <c r="D2344" s="1">
        <v>45978</v>
      </c>
      <c r="E2344">
        <v>89</v>
      </c>
      <c r="F2344">
        <v>0</v>
      </c>
      <c r="G2344">
        <f>IF(Gym_Expansion_Data[[#This Row],[Churned]]=0,1,0)</f>
        <v>1</v>
      </c>
      <c r="H2344" t="str">
        <f>IF(Gym_Expansion_Data[[#This Row],[Active Member]]=1,Gym_Expansion_Data[[#This Row],[Tier]],"Inactive")</f>
        <v>Premium</v>
      </c>
    </row>
    <row r="2345" spans="1:8" x14ac:dyDescent="0.2">
      <c r="A2345">
        <v>3344</v>
      </c>
      <c r="B2345" t="s">
        <v>9</v>
      </c>
      <c r="C2345" t="s">
        <v>12</v>
      </c>
      <c r="D2345" s="1">
        <v>45296</v>
      </c>
      <c r="E2345">
        <v>89</v>
      </c>
      <c r="F2345">
        <v>0</v>
      </c>
      <c r="G2345">
        <f>IF(Gym_Expansion_Data[[#This Row],[Churned]]=0,1,0)</f>
        <v>1</v>
      </c>
      <c r="H2345" t="str">
        <f>IF(Gym_Expansion_Data[[#This Row],[Active Member]]=1,Gym_Expansion_Data[[#This Row],[Tier]],"Inactive")</f>
        <v>Premium</v>
      </c>
    </row>
    <row r="2346" spans="1:8" x14ac:dyDescent="0.2">
      <c r="A2346">
        <v>3345</v>
      </c>
      <c r="B2346" t="s">
        <v>11</v>
      </c>
      <c r="C2346" t="s">
        <v>12</v>
      </c>
      <c r="D2346" s="1">
        <v>45469</v>
      </c>
      <c r="E2346">
        <v>89</v>
      </c>
      <c r="F2346">
        <v>0</v>
      </c>
      <c r="G2346">
        <f>IF(Gym_Expansion_Data[[#This Row],[Churned]]=0,1,0)</f>
        <v>1</v>
      </c>
      <c r="H2346" t="str">
        <f>IF(Gym_Expansion_Data[[#This Row],[Active Member]]=1,Gym_Expansion_Data[[#This Row],[Tier]],"Inactive")</f>
        <v>Premium</v>
      </c>
    </row>
    <row r="2347" spans="1:8" x14ac:dyDescent="0.2">
      <c r="A2347">
        <v>3346</v>
      </c>
      <c r="B2347" t="s">
        <v>10</v>
      </c>
      <c r="C2347" t="s">
        <v>8</v>
      </c>
      <c r="D2347" s="1">
        <v>45891</v>
      </c>
      <c r="E2347">
        <v>129</v>
      </c>
      <c r="F2347">
        <v>0</v>
      </c>
      <c r="G2347">
        <f>IF(Gym_Expansion_Data[[#This Row],[Churned]]=0,1,0)</f>
        <v>1</v>
      </c>
      <c r="H2347" t="str">
        <f>IF(Gym_Expansion_Data[[#This Row],[Active Member]]=1,Gym_Expansion_Data[[#This Row],[Tier]],"Inactive")</f>
        <v>Elite</v>
      </c>
    </row>
    <row r="2348" spans="1:8" x14ac:dyDescent="0.2">
      <c r="A2348">
        <v>3347</v>
      </c>
      <c r="B2348" t="s">
        <v>11</v>
      </c>
      <c r="C2348" t="s">
        <v>8</v>
      </c>
      <c r="D2348" s="1">
        <v>45501</v>
      </c>
      <c r="E2348">
        <v>129</v>
      </c>
      <c r="F2348">
        <v>0</v>
      </c>
      <c r="G2348">
        <f>IF(Gym_Expansion_Data[[#This Row],[Churned]]=0,1,0)</f>
        <v>1</v>
      </c>
      <c r="H2348" t="str">
        <f>IF(Gym_Expansion_Data[[#This Row],[Active Member]]=1,Gym_Expansion_Data[[#This Row],[Tier]],"Inactive")</f>
        <v>Elite</v>
      </c>
    </row>
    <row r="2349" spans="1:8" x14ac:dyDescent="0.2">
      <c r="A2349">
        <v>3348</v>
      </c>
      <c r="B2349" t="s">
        <v>6</v>
      </c>
      <c r="C2349" t="s">
        <v>7</v>
      </c>
      <c r="D2349" s="1">
        <v>45898</v>
      </c>
      <c r="E2349">
        <v>49</v>
      </c>
      <c r="F2349">
        <v>0</v>
      </c>
      <c r="G2349">
        <f>IF(Gym_Expansion_Data[[#This Row],[Churned]]=0,1,0)</f>
        <v>1</v>
      </c>
      <c r="H2349" t="str">
        <f>IF(Gym_Expansion_Data[[#This Row],[Active Member]]=1,Gym_Expansion_Data[[#This Row],[Tier]],"Inactive")</f>
        <v>Basic</v>
      </c>
    </row>
    <row r="2350" spans="1:8" x14ac:dyDescent="0.2">
      <c r="A2350">
        <v>3349</v>
      </c>
      <c r="B2350" t="s">
        <v>11</v>
      </c>
      <c r="C2350" t="s">
        <v>8</v>
      </c>
      <c r="D2350" s="1">
        <v>45680</v>
      </c>
      <c r="E2350">
        <v>129</v>
      </c>
      <c r="F2350">
        <v>0</v>
      </c>
      <c r="G2350">
        <f>IF(Gym_Expansion_Data[[#This Row],[Churned]]=0,1,0)</f>
        <v>1</v>
      </c>
      <c r="H2350" t="str">
        <f>IF(Gym_Expansion_Data[[#This Row],[Active Member]]=1,Gym_Expansion_Data[[#This Row],[Tier]],"Inactive")</f>
        <v>Elite</v>
      </c>
    </row>
    <row r="2351" spans="1:8" x14ac:dyDescent="0.2">
      <c r="A2351">
        <v>3350</v>
      </c>
      <c r="B2351" t="s">
        <v>9</v>
      </c>
      <c r="C2351" t="s">
        <v>7</v>
      </c>
      <c r="D2351" s="1">
        <v>45707</v>
      </c>
      <c r="E2351">
        <v>49</v>
      </c>
      <c r="F2351">
        <v>1</v>
      </c>
      <c r="G2351">
        <f>IF(Gym_Expansion_Data[[#This Row],[Churned]]=0,1,0)</f>
        <v>0</v>
      </c>
      <c r="H2351" t="str">
        <f>IF(Gym_Expansion_Data[[#This Row],[Active Member]]=1,Gym_Expansion_Data[[#This Row],[Tier]],"Inactive")</f>
        <v>Inactive</v>
      </c>
    </row>
    <row r="2352" spans="1:8" x14ac:dyDescent="0.2">
      <c r="A2352">
        <v>3351</v>
      </c>
      <c r="B2352" t="s">
        <v>10</v>
      </c>
      <c r="C2352" t="s">
        <v>7</v>
      </c>
      <c r="D2352" s="1">
        <v>45402</v>
      </c>
      <c r="E2352">
        <v>49</v>
      </c>
      <c r="F2352">
        <v>0</v>
      </c>
      <c r="G2352">
        <f>IF(Gym_Expansion_Data[[#This Row],[Churned]]=0,1,0)</f>
        <v>1</v>
      </c>
      <c r="H2352" t="str">
        <f>IF(Gym_Expansion_Data[[#This Row],[Active Member]]=1,Gym_Expansion_Data[[#This Row],[Tier]],"Inactive")</f>
        <v>Basic</v>
      </c>
    </row>
    <row r="2353" spans="1:8" x14ac:dyDescent="0.2">
      <c r="A2353">
        <v>3352</v>
      </c>
      <c r="B2353" t="s">
        <v>6</v>
      </c>
      <c r="C2353" t="s">
        <v>12</v>
      </c>
      <c r="D2353" s="1">
        <v>45790</v>
      </c>
      <c r="E2353">
        <v>89</v>
      </c>
      <c r="F2353">
        <v>0</v>
      </c>
      <c r="G2353">
        <f>IF(Gym_Expansion_Data[[#This Row],[Churned]]=0,1,0)</f>
        <v>1</v>
      </c>
      <c r="H2353" t="str">
        <f>IF(Gym_Expansion_Data[[#This Row],[Active Member]]=1,Gym_Expansion_Data[[#This Row],[Tier]],"Inactive")</f>
        <v>Premium</v>
      </c>
    </row>
    <row r="2354" spans="1:8" x14ac:dyDescent="0.2">
      <c r="A2354">
        <v>3353</v>
      </c>
      <c r="B2354" t="s">
        <v>10</v>
      </c>
      <c r="C2354" t="s">
        <v>7</v>
      </c>
      <c r="D2354" s="1">
        <v>45506</v>
      </c>
      <c r="E2354">
        <v>49</v>
      </c>
      <c r="F2354">
        <v>0</v>
      </c>
      <c r="G2354">
        <f>IF(Gym_Expansion_Data[[#This Row],[Churned]]=0,1,0)</f>
        <v>1</v>
      </c>
      <c r="H2354" t="str">
        <f>IF(Gym_Expansion_Data[[#This Row],[Active Member]]=1,Gym_Expansion_Data[[#This Row],[Tier]],"Inactive")</f>
        <v>Basic</v>
      </c>
    </row>
    <row r="2355" spans="1:8" x14ac:dyDescent="0.2">
      <c r="A2355">
        <v>3354</v>
      </c>
      <c r="B2355" t="s">
        <v>9</v>
      </c>
      <c r="C2355" t="s">
        <v>12</v>
      </c>
      <c r="D2355" s="1">
        <v>45367</v>
      </c>
      <c r="E2355">
        <v>89</v>
      </c>
      <c r="F2355">
        <v>1</v>
      </c>
      <c r="G2355">
        <f>IF(Gym_Expansion_Data[[#This Row],[Churned]]=0,1,0)</f>
        <v>0</v>
      </c>
      <c r="H2355" t="str">
        <f>IF(Gym_Expansion_Data[[#This Row],[Active Member]]=1,Gym_Expansion_Data[[#This Row],[Tier]],"Inactive")</f>
        <v>Inactive</v>
      </c>
    </row>
    <row r="2356" spans="1:8" x14ac:dyDescent="0.2">
      <c r="A2356">
        <v>3355</v>
      </c>
      <c r="B2356" t="s">
        <v>6</v>
      </c>
      <c r="C2356" t="s">
        <v>7</v>
      </c>
      <c r="D2356" s="1">
        <v>45656</v>
      </c>
      <c r="E2356">
        <v>49</v>
      </c>
      <c r="F2356">
        <v>0</v>
      </c>
      <c r="G2356">
        <f>IF(Gym_Expansion_Data[[#This Row],[Churned]]=0,1,0)</f>
        <v>1</v>
      </c>
      <c r="H2356" t="str">
        <f>IF(Gym_Expansion_Data[[#This Row],[Active Member]]=1,Gym_Expansion_Data[[#This Row],[Tier]],"Inactive")</f>
        <v>Basic</v>
      </c>
    </row>
    <row r="2357" spans="1:8" x14ac:dyDescent="0.2">
      <c r="A2357">
        <v>3356</v>
      </c>
      <c r="B2357" t="s">
        <v>6</v>
      </c>
      <c r="C2357" t="s">
        <v>7</v>
      </c>
      <c r="D2357" s="1">
        <v>45461</v>
      </c>
      <c r="E2357">
        <v>49</v>
      </c>
      <c r="F2357">
        <v>0</v>
      </c>
      <c r="G2357">
        <f>IF(Gym_Expansion_Data[[#This Row],[Churned]]=0,1,0)</f>
        <v>1</v>
      </c>
      <c r="H2357" t="str">
        <f>IF(Gym_Expansion_Data[[#This Row],[Active Member]]=1,Gym_Expansion_Data[[#This Row],[Tier]],"Inactive")</f>
        <v>Basic</v>
      </c>
    </row>
    <row r="2358" spans="1:8" x14ac:dyDescent="0.2">
      <c r="A2358">
        <v>3357</v>
      </c>
      <c r="B2358" t="s">
        <v>9</v>
      </c>
      <c r="C2358" t="s">
        <v>8</v>
      </c>
      <c r="D2358" s="1">
        <v>45521</v>
      </c>
      <c r="E2358">
        <v>129</v>
      </c>
      <c r="F2358">
        <v>0</v>
      </c>
      <c r="G2358">
        <f>IF(Gym_Expansion_Data[[#This Row],[Churned]]=0,1,0)</f>
        <v>1</v>
      </c>
      <c r="H2358" t="str">
        <f>IF(Gym_Expansion_Data[[#This Row],[Active Member]]=1,Gym_Expansion_Data[[#This Row],[Tier]],"Inactive")</f>
        <v>Elite</v>
      </c>
    </row>
    <row r="2359" spans="1:8" x14ac:dyDescent="0.2">
      <c r="A2359">
        <v>3358</v>
      </c>
      <c r="B2359" t="s">
        <v>10</v>
      </c>
      <c r="C2359" t="s">
        <v>8</v>
      </c>
      <c r="D2359" s="1">
        <v>45644</v>
      </c>
      <c r="E2359">
        <v>129</v>
      </c>
      <c r="F2359">
        <v>0</v>
      </c>
      <c r="G2359">
        <f>IF(Gym_Expansion_Data[[#This Row],[Churned]]=0,1,0)</f>
        <v>1</v>
      </c>
      <c r="H2359" t="str">
        <f>IF(Gym_Expansion_Data[[#This Row],[Active Member]]=1,Gym_Expansion_Data[[#This Row],[Tier]],"Inactive")</f>
        <v>Elite</v>
      </c>
    </row>
    <row r="2360" spans="1:8" x14ac:dyDescent="0.2">
      <c r="A2360">
        <v>3359</v>
      </c>
      <c r="B2360" t="s">
        <v>6</v>
      </c>
      <c r="C2360" t="s">
        <v>12</v>
      </c>
      <c r="D2360" s="1">
        <v>45338</v>
      </c>
      <c r="E2360">
        <v>89</v>
      </c>
      <c r="F2360">
        <v>0</v>
      </c>
      <c r="G2360">
        <f>IF(Gym_Expansion_Data[[#This Row],[Churned]]=0,1,0)</f>
        <v>1</v>
      </c>
      <c r="H2360" t="str">
        <f>IF(Gym_Expansion_Data[[#This Row],[Active Member]]=1,Gym_Expansion_Data[[#This Row],[Tier]],"Inactive")</f>
        <v>Premium</v>
      </c>
    </row>
    <row r="2361" spans="1:8" x14ac:dyDescent="0.2">
      <c r="A2361">
        <v>3360</v>
      </c>
      <c r="B2361" t="s">
        <v>10</v>
      </c>
      <c r="C2361" t="s">
        <v>12</v>
      </c>
      <c r="D2361" s="1">
        <v>45718</v>
      </c>
      <c r="E2361">
        <v>89</v>
      </c>
      <c r="F2361">
        <v>0</v>
      </c>
      <c r="G2361">
        <f>IF(Gym_Expansion_Data[[#This Row],[Churned]]=0,1,0)</f>
        <v>1</v>
      </c>
      <c r="H2361" t="str">
        <f>IF(Gym_Expansion_Data[[#This Row],[Active Member]]=1,Gym_Expansion_Data[[#This Row],[Tier]],"Inactive")</f>
        <v>Premium</v>
      </c>
    </row>
    <row r="2362" spans="1:8" x14ac:dyDescent="0.2">
      <c r="A2362">
        <v>3361</v>
      </c>
      <c r="B2362" t="s">
        <v>10</v>
      </c>
      <c r="C2362" t="s">
        <v>8</v>
      </c>
      <c r="D2362" s="1">
        <v>45819</v>
      </c>
      <c r="E2362">
        <v>129</v>
      </c>
      <c r="F2362">
        <v>0</v>
      </c>
      <c r="G2362">
        <f>IF(Gym_Expansion_Data[[#This Row],[Churned]]=0,1,0)</f>
        <v>1</v>
      </c>
      <c r="H2362" t="str">
        <f>IF(Gym_Expansion_Data[[#This Row],[Active Member]]=1,Gym_Expansion_Data[[#This Row],[Tier]],"Inactive")</f>
        <v>Elite</v>
      </c>
    </row>
    <row r="2363" spans="1:8" x14ac:dyDescent="0.2">
      <c r="A2363">
        <v>3362</v>
      </c>
      <c r="B2363" t="s">
        <v>11</v>
      </c>
      <c r="C2363" t="s">
        <v>12</v>
      </c>
      <c r="D2363" s="1">
        <v>45711</v>
      </c>
      <c r="E2363">
        <v>89</v>
      </c>
      <c r="F2363">
        <v>0</v>
      </c>
      <c r="G2363">
        <f>IF(Gym_Expansion_Data[[#This Row],[Churned]]=0,1,0)</f>
        <v>1</v>
      </c>
      <c r="H2363" t="str">
        <f>IF(Gym_Expansion_Data[[#This Row],[Active Member]]=1,Gym_Expansion_Data[[#This Row],[Tier]],"Inactive")</f>
        <v>Premium</v>
      </c>
    </row>
    <row r="2364" spans="1:8" x14ac:dyDescent="0.2">
      <c r="A2364">
        <v>3363</v>
      </c>
      <c r="B2364" t="s">
        <v>9</v>
      </c>
      <c r="C2364" t="s">
        <v>12</v>
      </c>
      <c r="D2364" s="1">
        <v>45450</v>
      </c>
      <c r="E2364">
        <v>89</v>
      </c>
      <c r="F2364">
        <v>0</v>
      </c>
      <c r="G2364">
        <f>IF(Gym_Expansion_Data[[#This Row],[Churned]]=0,1,0)</f>
        <v>1</v>
      </c>
      <c r="H2364" t="str">
        <f>IF(Gym_Expansion_Data[[#This Row],[Active Member]]=1,Gym_Expansion_Data[[#This Row],[Tier]],"Inactive")</f>
        <v>Premium</v>
      </c>
    </row>
    <row r="2365" spans="1:8" x14ac:dyDescent="0.2">
      <c r="A2365">
        <v>3364</v>
      </c>
      <c r="B2365" t="s">
        <v>9</v>
      </c>
      <c r="C2365" t="s">
        <v>7</v>
      </c>
      <c r="D2365" s="1">
        <v>45600</v>
      </c>
      <c r="E2365">
        <v>49</v>
      </c>
      <c r="F2365">
        <v>0</v>
      </c>
      <c r="G2365">
        <f>IF(Gym_Expansion_Data[[#This Row],[Churned]]=0,1,0)</f>
        <v>1</v>
      </c>
      <c r="H2365" t="str">
        <f>IF(Gym_Expansion_Data[[#This Row],[Active Member]]=1,Gym_Expansion_Data[[#This Row],[Tier]],"Inactive")</f>
        <v>Basic</v>
      </c>
    </row>
    <row r="2366" spans="1:8" x14ac:dyDescent="0.2">
      <c r="A2366">
        <v>3365</v>
      </c>
      <c r="B2366" t="s">
        <v>11</v>
      </c>
      <c r="C2366" t="s">
        <v>7</v>
      </c>
      <c r="D2366" s="1">
        <v>45685</v>
      </c>
      <c r="E2366">
        <v>49</v>
      </c>
      <c r="F2366">
        <v>1</v>
      </c>
      <c r="G2366">
        <f>IF(Gym_Expansion_Data[[#This Row],[Churned]]=0,1,0)</f>
        <v>0</v>
      </c>
      <c r="H2366" t="str">
        <f>IF(Gym_Expansion_Data[[#This Row],[Active Member]]=1,Gym_Expansion_Data[[#This Row],[Tier]],"Inactive")</f>
        <v>Inactive</v>
      </c>
    </row>
    <row r="2367" spans="1:8" x14ac:dyDescent="0.2">
      <c r="A2367">
        <v>3366</v>
      </c>
      <c r="B2367" t="s">
        <v>9</v>
      </c>
      <c r="C2367" t="s">
        <v>8</v>
      </c>
      <c r="D2367" s="1">
        <v>45760</v>
      </c>
      <c r="E2367">
        <v>129</v>
      </c>
      <c r="F2367">
        <v>0</v>
      </c>
      <c r="G2367">
        <f>IF(Gym_Expansion_Data[[#This Row],[Churned]]=0,1,0)</f>
        <v>1</v>
      </c>
      <c r="H2367" t="str">
        <f>IF(Gym_Expansion_Data[[#This Row],[Active Member]]=1,Gym_Expansion_Data[[#This Row],[Tier]],"Inactive")</f>
        <v>Elite</v>
      </c>
    </row>
    <row r="2368" spans="1:8" x14ac:dyDescent="0.2">
      <c r="A2368">
        <v>3367</v>
      </c>
      <c r="B2368" t="s">
        <v>9</v>
      </c>
      <c r="C2368" t="s">
        <v>7</v>
      </c>
      <c r="D2368" s="1">
        <v>45791</v>
      </c>
      <c r="E2368">
        <v>49</v>
      </c>
      <c r="F2368">
        <v>0</v>
      </c>
      <c r="G2368">
        <f>IF(Gym_Expansion_Data[[#This Row],[Churned]]=0,1,0)</f>
        <v>1</v>
      </c>
      <c r="H2368" t="str">
        <f>IF(Gym_Expansion_Data[[#This Row],[Active Member]]=1,Gym_Expansion_Data[[#This Row],[Tier]],"Inactive")</f>
        <v>Basic</v>
      </c>
    </row>
    <row r="2369" spans="1:8" x14ac:dyDescent="0.2">
      <c r="A2369">
        <v>3368</v>
      </c>
      <c r="B2369" t="s">
        <v>9</v>
      </c>
      <c r="C2369" t="s">
        <v>12</v>
      </c>
      <c r="D2369" s="1">
        <v>45736</v>
      </c>
      <c r="E2369">
        <v>89</v>
      </c>
      <c r="F2369">
        <v>1</v>
      </c>
      <c r="G2369">
        <f>IF(Gym_Expansion_Data[[#This Row],[Churned]]=0,1,0)</f>
        <v>0</v>
      </c>
      <c r="H2369" t="str">
        <f>IF(Gym_Expansion_Data[[#This Row],[Active Member]]=1,Gym_Expansion_Data[[#This Row],[Tier]],"Inactive")</f>
        <v>Inactive</v>
      </c>
    </row>
    <row r="2370" spans="1:8" x14ac:dyDescent="0.2">
      <c r="A2370">
        <v>3369</v>
      </c>
      <c r="B2370" t="s">
        <v>9</v>
      </c>
      <c r="C2370" t="s">
        <v>7</v>
      </c>
      <c r="D2370" s="1">
        <v>45329</v>
      </c>
      <c r="E2370">
        <v>49</v>
      </c>
      <c r="F2370">
        <v>0</v>
      </c>
      <c r="G2370">
        <f>IF(Gym_Expansion_Data[[#This Row],[Churned]]=0,1,0)</f>
        <v>1</v>
      </c>
      <c r="H2370" t="str">
        <f>IF(Gym_Expansion_Data[[#This Row],[Active Member]]=1,Gym_Expansion_Data[[#This Row],[Tier]],"Inactive")</f>
        <v>Basic</v>
      </c>
    </row>
    <row r="2371" spans="1:8" x14ac:dyDescent="0.2">
      <c r="A2371">
        <v>3370</v>
      </c>
      <c r="B2371" t="s">
        <v>6</v>
      </c>
      <c r="C2371" t="s">
        <v>7</v>
      </c>
      <c r="D2371" s="1">
        <v>45891</v>
      </c>
      <c r="E2371">
        <v>49</v>
      </c>
      <c r="F2371">
        <v>0</v>
      </c>
      <c r="G2371">
        <f>IF(Gym_Expansion_Data[[#This Row],[Churned]]=0,1,0)</f>
        <v>1</v>
      </c>
      <c r="H2371" t="str">
        <f>IF(Gym_Expansion_Data[[#This Row],[Active Member]]=1,Gym_Expansion_Data[[#This Row],[Tier]],"Inactive")</f>
        <v>Basic</v>
      </c>
    </row>
    <row r="2372" spans="1:8" x14ac:dyDescent="0.2">
      <c r="A2372">
        <v>3371</v>
      </c>
      <c r="B2372" t="s">
        <v>9</v>
      </c>
      <c r="C2372" t="s">
        <v>8</v>
      </c>
      <c r="D2372" s="1">
        <v>45934</v>
      </c>
      <c r="E2372">
        <v>129</v>
      </c>
      <c r="F2372">
        <v>0</v>
      </c>
      <c r="G2372">
        <f>IF(Gym_Expansion_Data[[#This Row],[Churned]]=0,1,0)</f>
        <v>1</v>
      </c>
      <c r="H2372" t="str">
        <f>IF(Gym_Expansion_Data[[#This Row],[Active Member]]=1,Gym_Expansion_Data[[#This Row],[Tier]],"Inactive")</f>
        <v>Elite</v>
      </c>
    </row>
    <row r="2373" spans="1:8" x14ac:dyDescent="0.2">
      <c r="A2373">
        <v>3372</v>
      </c>
      <c r="B2373" t="s">
        <v>11</v>
      </c>
      <c r="C2373" t="s">
        <v>12</v>
      </c>
      <c r="D2373" s="1">
        <v>45872</v>
      </c>
      <c r="E2373">
        <v>89</v>
      </c>
      <c r="F2373">
        <v>0</v>
      </c>
      <c r="G2373">
        <f>IF(Gym_Expansion_Data[[#This Row],[Churned]]=0,1,0)</f>
        <v>1</v>
      </c>
      <c r="H2373" t="str">
        <f>IF(Gym_Expansion_Data[[#This Row],[Active Member]]=1,Gym_Expansion_Data[[#This Row],[Tier]],"Inactive")</f>
        <v>Premium</v>
      </c>
    </row>
    <row r="2374" spans="1:8" x14ac:dyDescent="0.2">
      <c r="A2374">
        <v>3373</v>
      </c>
      <c r="B2374" t="s">
        <v>9</v>
      </c>
      <c r="C2374" t="s">
        <v>12</v>
      </c>
      <c r="D2374" s="1">
        <v>45350</v>
      </c>
      <c r="E2374">
        <v>89</v>
      </c>
      <c r="F2374">
        <v>0</v>
      </c>
      <c r="G2374">
        <f>IF(Gym_Expansion_Data[[#This Row],[Churned]]=0,1,0)</f>
        <v>1</v>
      </c>
      <c r="H2374" t="str">
        <f>IF(Gym_Expansion_Data[[#This Row],[Active Member]]=1,Gym_Expansion_Data[[#This Row],[Tier]],"Inactive")</f>
        <v>Premium</v>
      </c>
    </row>
    <row r="2375" spans="1:8" x14ac:dyDescent="0.2">
      <c r="A2375">
        <v>3374</v>
      </c>
      <c r="B2375" t="s">
        <v>11</v>
      </c>
      <c r="C2375" t="s">
        <v>7</v>
      </c>
      <c r="D2375" s="1">
        <v>45525</v>
      </c>
      <c r="E2375">
        <v>49</v>
      </c>
      <c r="F2375">
        <v>0</v>
      </c>
      <c r="G2375">
        <f>IF(Gym_Expansion_Data[[#This Row],[Churned]]=0,1,0)</f>
        <v>1</v>
      </c>
      <c r="H2375" t="str">
        <f>IF(Gym_Expansion_Data[[#This Row],[Active Member]]=1,Gym_Expansion_Data[[#This Row],[Tier]],"Inactive")</f>
        <v>Basic</v>
      </c>
    </row>
    <row r="2376" spans="1:8" x14ac:dyDescent="0.2">
      <c r="A2376">
        <v>3375</v>
      </c>
      <c r="B2376" t="s">
        <v>9</v>
      </c>
      <c r="C2376" t="s">
        <v>12</v>
      </c>
      <c r="D2376" s="1">
        <v>45773</v>
      </c>
      <c r="E2376">
        <v>89</v>
      </c>
      <c r="F2376">
        <v>0</v>
      </c>
      <c r="G2376">
        <f>IF(Gym_Expansion_Data[[#This Row],[Churned]]=0,1,0)</f>
        <v>1</v>
      </c>
      <c r="H2376" t="str">
        <f>IF(Gym_Expansion_Data[[#This Row],[Active Member]]=1,Gym_Expansion_Data[[#This Row],[Tier]],"Inactive")</f>
        <v>Premium</v>
      </c>
    </row>
    <row r="2377" spans="1:8" x14ac:dyDescent="0.2">
      <c r="A2377">
        <v>3376</v>
      </c>
      <c r="B2377" t="s">
        <v>9</v>
      </c>
      <c r="C2377" t="s">
        <v>7</v>
      </c>
      <c r="D2377" s="1">
        <v>45717</v>
      </c>
      <c r="E2377">
        <v>49</v>
      </c>
      <c r="F2377">
        <v>0</v>
      </c>
      <c r="G2377">
        <f>IF(Gym_Expansion_Data[[#This Row],[Churned]]=0,1,0)</f>
        <v>1</v>
      </c>
      <c r="H2377" t="str">
        <f>IF(Gym_Expansion_Data[[#This Row],[Active Member]]=1,Gym_Expansion_Data[[#This Row],[Tier]],"Inactive")</f>
        <v>Basic</v>
      </c>
    </row>
    <row r="2378" spans="1:8" x14ac:dyDescent="0.2">
      <c r="A2378">
        <v>3377</v>
      </c>
      <c r="B2378" t="s">
        <v>11</v>
      </c>
      <c r="C2378" t="s">
        <v>12</v>
      </c>
      <c r="D2378" s="1">
        <v>45373</v>
      </c>
      <c r="E2378">
        <v>89</v>
      </c>
      <c r="F2378">
        <v>0</v>
      </c>
      <c r="G2378">
        <f>IF(Gym_Expansion_Data[[#This Row],[Churned]]=0,1,0)</f>
        <v>1</v>
      </c>
      <c r="H2378" t="str">
        <f>IF(Gym_Expansion_Data[[#This Row],[Active Member]]=1,Gym_Expansion_Data[[#This Row],[Tier]],"Inactive")</f>
        <v>Premium</v>
      </c>
    </row>
    <row r="2379" spans="1:8" x14ac:dyDescent="0.2">
      <c r="A2379">
        <v>3378</v>
      </c>
      <c r="B2379" t="s">
        <v>11</v>
      </c>
      <c r="C2379" t="s">
        <v>7</v>
      </c>
      <c r="D2379" s="1">
        <v>45900</v>
      </c>
      <c r="E2379">
        <v>49</v>
      </c>
      <c r="F2379">
        <v>1</v>
      </c>
      <c r="G2379">
        <f>IF(Gym_Expansion_Data[[#This Row],[Churned]]=0,1,0)</f>
        <v>0</v>
      </c>
      <c r="H2379" t="str">
        <f>IF(Gym_Expansion_Data[[#This Row],[Active Member]]=1,Gym_Expansion_Data[[#This Row],[Tier]],"Inactive")</f>
        <v>Inactive</v>
      </c>
    </row>
    <row r="2380" spans="1:8" x14ac:dyDescent="0.2">
      <c r="A2380">
        <v>3379</v>
      </c>
      <c r="B2380" t="s">
        <v>9</v>
      </c>
      <c r="C2380" t="s">
        <v>8</v>
      </c>
      <c r="D2380" s="1">
        <v>45442</v>
      </c>
      <c r="E2380">
        <v>129</v>
      </c>
      <c r="F2380">
        <v>0</v>
      </c>
      <c r="G2380">
        <f>IF(Gym_Expansion_Data[[#This Row],[Churned]]=0,1,0)</f>
        <v>1</v>
      </c>
      <c r="H2380" t="str">
        <f>IF(Gym_Expansion_Data[[#This Row],[Active Member]]=1,Gym_Expansion_Data[[#This Row],[Tier]],"Inactive")</f>
        <v>Elite</v>
      </c>
    </row>
    <row r="2381" spans="1:8" x14ac:dyDescent="0.2">
      <c r="A2381">
        <v>3380</v>
      </c>
      <c r="B2381" t="s">
        <v>9</v>
      </c>
      <c r="C2381" t="s">
        <v>7</v>
      </c>
      <c r="D2381" s="1">
        <v>45536</v>
      </c>
      <c r="E2381">
        <v>49</v>
      </c>
      <c r="F2381">
        <v>0</v>
      </c>
      <c r="G2381">
        <f>IF(Gym_Expansion_Data[[#This Row],[Churned]]=0,1,0)</f>
        <v>1</v>
      </c>
      <c r="H2381" t="str">
        <f>IF(Gym_Expansion_Data[[#This Row],[Active Member]]=1,Gym_Expansion_Data[[#This Row],[Tier]],"Inactive")</f>
        <v>Basic</v>
      </c>
    </row>
    <row r="2382" spans="1:8" x14ac:dyDescent="0.2">
      <c r="A2382">
        <v>3381</v>
      </c>
      <c r="B2382" t="s">
        <v>10</v>
      </c>
      <c r="C2382" t="s">
        <v>12</v>
      </c>
      <c r="D2382" s="1">
        <v>45494</v>
      </c>
      <c r="E2382">
        <v>89</v>
      </c>
      <c r="F2382">
        <v>0</v>
      </c>
      <c r="G2382">
        <f>IF(Gym_Expansion_Data[[#This Row],[Churned]]=0,1,0)</f>
        <v>1</v>
      </c>
      <c r="H2382" t="str">
        <f>IF(Gym_Expansion_Data[[#This Row],[Active Member]]=1,Gym_Expansion_Data[[#This Row],[Tier]],"Inactive")</f>
        <v>Premium</v>
      </c>
    </row>
    <row r="2383" spans="1:8" x14ac:dyDescent="0.2">
      <c r="A2383">
        <v>3382</v>
      </c>
      <c r="B2383" t="s">
        <v>6</v>
      </c>
      <c r="C2383" t="s">
        <v>12</v>
      </c>
      <c r="D2383" s="1">
        <v>45852</v>
      </c>
      <c r="E2383">
        <v>89</v>
      </c>
      <c r="F2383">
        <v>0</v>
      </c>
      <c r="G2383">
        <f>IF(Gym_Expansion_Data[[#This Row],[Churned]]=0,1,0)</f>
        <v>1</v>
      </c>
      <c r="H2383" t="str">
        <f>IF(Gym_Expansion_Data[[#This Row],[Active Member]]=1,Gym_Expansion_Data[[#This Row],[Tier]],"Inactive")</f>
        <v>Premium</v>
      </c>
    </row>
    <row r="2384" spans="1:8" x14ac:dyDescent="0.2">
      <c r="A2384">
        <v>3383</v>
      </c>
      <c r="B2384" t="s">
        <v>10</v>
      </c>
      <c r="C2384" t="s">
        <v>12</v>
      </c>
      <c r="D2384" s="1">
        <v>45526</v>
      </c>
      <c r="E2384">
        <v>89</v>
      </c>
      <c r="F2384">
        <v>0</v>
      </c>
      <c r="G2384">
        <f>IF(Gym_Expansion_Data[[#This Row],[Churned]]=0,1,0)</f>
        <v>1</v>
      </c>
      <c r="H2384" t="str">
        <f>IF(Gym_Expansion_Data[[#This Row],[Active Member]]=1,Gym_Expansion_Data[[#This Row],[Tier]],"Inactive")</f>
        <v>Premium</v>
      </c>
    </row>
    <row r="2385" spans="1:8" x14ac:dyDescent="0.2">
      <c r="A2385">
        <v>3384</v>
      </c>
      <c r="B2385" t="s">
        <v>10</v>
      </c>
      <c r="C2385" t="s">
        <v>7</v>
      </c>
      <c r="D2385" s="1">
        <v>45662</v>
      </c>
      <c r="E2385">
        <v>49</v>
      </c>
      <c r="F2385">
        <v>0</v>
      </c>
      <c r="G2385">
        <f>IF(Gym_Expansion_Data[[#This Row],[Churned]]=0,1,0)</f>
        <v>1</v>
      </c>
      <c r="H2385" t="str">
        <f>IF(Gym_Expansion_Data[[#This Row],[Active Member]]=1,Gym_Expansion_Data[[#This Row],[Tier]],"Inactive")</f>
        <v>Basic</v>
      </c>
    </row>
    <row r="2386" spans="1:8" x14ac:dyDescent="0.2">
      <c r="A2386">
        <v>3385</v>
      </c>
      <c r="B2386" t="s">
        <v>10</v>
      </c>
      <c r="C2386" t="s">
        <v>12</v>
      </c>
      <c r="D2386" s="1">
        <v>45830</v>
      </c>
      <c r="E2386">
        <v>89</v>
      </c>
      <c r="F2386">
        <v>0</v>
      </c>
      <c r="G2386">
        <f>IF(Gym_Expansion_Data[[#This Row],[Churned]]=0,1,0)</f>
        <v>1</v>
      </c>
      <c r="H2386" t="str">
        <f>IF(Gym_Expansion_Data[[#This Row],[Active Member]]=1,Gym_Expansion_Data[[#This Row],[Tier]],"Inactive")</f>
        <v>Premium</v>
      </c>
    </row>
    <row r="2387" spans="1:8" x14ac:dyDescent="0.2">
      <c r="A2387">
        <v>3386</v>
      </c>
      <c r="B2387" t="s">
        <v>6</v>
      </c>
      <c r="C2387" t="s">
        <v>7</v>
      </c>
      <c r="D2387" s="1">
        <v>45921</v>
      </c>
      <c r="E2387">
        <v>49</v>
      </c>
      <c r="F2387">
        <v>1</v>
      </c>
      <c r="G2387">
        <f>IF(Gym_Expansion_Data[[#This Row],[Churned]]=0,1,0)</f>
        <v>0</v>
      </c>
      <c r="H2387" t="str">
        <f>IF(Gym_Expansion_Data[[#This Row],[Active Member]]=1,Gym_Expansion_Data[[#This Row],[Tier]],"Inactive")</f>
        <v>Inactive</v>
      </c>
    </row>
    <row r="2388" spans="1:8" x14ac:dyDescent="0.2">
      <c r="A2388">
        <v>3387</v>
      </c>
      <c r="B2388" t="s">
        <v>10</v>
      </c>
      <c r="C2388" t="s">
        <v>12</v>
      </c>
      <c r="D2388" s="1">
        <v>45333</v>
      </c>
      <c r="E2388">
        <v>89</v>
      </c>
      <c r="F2388">
        <v>0</v>
      </c>
      <c r="G2388">
        <f>IF(Gym_Expansion_Data[[#This Row],[Churned]]=0,1,0)</f>
        <v>1</v>
      </c>
      <c r="H2388" t="str">
        <f>IF(Gym_Expansion_Data[[#This Row],[Active Member]]=1,Gym_Expansion_Data[[#This Row],[Tier]],"Inactive")</f>
        <v>Premium</v>
      </c>
    </row>
    <row r="2389" spans="1:8" x14ac:dyDescent="0.2">
      <c r="A2389">
        <v>3388</v>
      </c>
      <c r="B2389" t="s">
        <v>11</v>
      </c>
      <c r="C2389" t="s">
        <v>7</v>
      </c>
      <c r="D2389" s="1">
        <v>45332</v>
      </c>
      <c r="E2389">
        <v>49</v>
      </c>
      <c r="F2389">
        <v>1</v>
      </c>
      <c r="G2389">
        <f>IF(Gym_Expansion_Data[[#This Row],[Churned]]=0,1,0)</f>
        <v>0</v>
      </c>
      <c r="H2389" t="str">
        <f>IF(Gym_Expansion_Data[[#This Row],[Active Member]]=1,Gym_Expansion_Data[[#This Row],[Tier]],"Inactive")</f>
        <v>Inactive</v>
      </c>
    </row>
    <row r="2390" spans="1:8" x14ac:dyDescent="0.2">
      <c r="A2390">
        <v>3389</v>
      </c>
      <c r="B2390" t="s">
        <v>11</v>
      </c>
      <c r="C2390" t="s">
        <v>7</v>
      </c>
      <c r="D2390" s="1">
        <v>45345</v>
      </c>
      <c r="E2390">
        <v>49</v>
      </c>
      <c r="F2390">
        <v>0</v>
      </c>
      <c r="G2390">
        <f>IF(Gym_Expansion_Data[[#This Row],[Churned]]=0,1,0)</f>
        <v>1</v>
      </c>
      <c r="H2390" t="str">
        <f>IF(Gym_Expansion_Data[[#This Row],[Active Member]]=1,Gym_Expansion_Data[[#This Row],[Tier]],"Inactive")</f>
        <v>Basic</v>
      </c>
    </row>
    <row r="2391" spans="1:8" x14ac:dyDescent="0.2">
      <c r="A2391">
        <v>3390</v>
      </c>
      <c r="B2391" t="s">
        <v>10</v>
      </c>
      <c r="C2391" t="s">
        <v>7</v>
      </c>
      <c r="D2391" s="1">
        <v>45863</v>
      </c>
      <c r="E2391">
        <v>49</v>
      </c>
      <c r="F2391">
        <v>0</v>
      </c>
      <c r="G2391">
        <f>IF(Gym_Expansion_Data[[#This Row],[Churned]]=0,1,0)</f>
        <v>1</v>
      </c>
      <c r="H2391" t="str">
        <f>IF(Gym_Expansion_Data[[#This Row],[Active Member]]=1,Gym_Expansion_Data[[#This Row],[Tier]],"Inactive")</f>
        <v>Basic</v>
      </c>
    </row>
    <row r="2392" spans="1:8" x14ac:dyDescent="0.2">
      <c r="A2392">
        <v>3391</v>
      </c>
      <c r="B2392" t="s">
        <v>6</v>
      </c>
      <c r="C2392" t="s">
        <v>8</v>
      </c>
      <c r="D2392" s="1">
        <v>45676</v>
      </c>
      <c r="E2392">
        <v>129</v>
      </c>
      <c r="F2392">
        <v>0</v>
      </c>
      <c r="G2392">
        <f>IF(Gym_Expansion_Data[[#This Row],[Churned]]=0,1,0)</f>
        <v>1</v>
      </c>
      <c r="H2392" t="str">
        <f>IF(Gym_Expansion_Data[[#This Row],[Active Member]]=1,Gym_Expansion_Data[[#This Row],[Tier]],"Inactive")</f>
        <v>Elite</v>
      </c>
    </row>
    <row r="2393" spans="1:8" x14ac:dyDescent="0.2">
      <c r="A2393">
        <v>3392</v>
      </c>
      <c r="B2393" t="s">
        <v>9</v>
      </c>
      <c r="C2393" t="s">
        <v>7</v>
      </c>
      <c r="D2393" s="1">
        <v>45837</v>
      </c>
      <c r="E2393">
        <v>49</v>
      </c>
      <c r="F2393">
        <v>0</v>
      </c>
      <c r="G2393">
        <f>IF(Gym_Expansion_Data[[#This Row],[Churned]]=0,1,0)</f>
        <v>1</v>
      </c>
      <c r="H2393" t="str">
        <f>IF(Gym_Expansion_Data[[#This Row],[Active Member]]=1,Gym_Expansion_Data[[#This Row],[Tier]],"Inactive")</f>
        <v>Basic</v>
      </c>
    </row>
    <row r="2394" spans="1:8" x14ac:dyDescent="0.2">
      <c r="A2394">
        <v>3393</v>
      </c>
      <c r="B2394" t="s">
        <v>9</v>
      </c>
      <c r="C2394" t="s">
        <v>12</v>
      </c>
      <c r="D2394" s="1">
        <v>45724</v>
      </c>
      <c r="E2394">
        <v>89</v>
      </c>
      <c r="F2394">
        <v>0</v>
      </c>
      <c r="G2394">
        <f>IF(Gym_Expansion_Data[[#This Row],[Churned]]=0,1,0)</f>
        <v>1</v>
      </c>
      <c r="H2394" t="str">
        <f>IF(Gym_Expansion_Data[[#This Row],[Active Member]]=1,Gym_Expansion_Data[[#This Row],[Tier]],"Inactive")</f>
        <v>Premium</v>
      </c>
    </row>
    <row r="2395" spans="1:8" x14ac:dyDescent="0.2">
      <c r="A2395">
        <v>3394</v>
      </c>
      <c r="B2395" t="s">
        <v>10</v>
      </c>
      <c r="C2395" t="s">
        <v>12</v>
      </c>
      <c r="D2395" s="1">
        <v>45707</v>
      </c>
      <c r="E2395">
        <v>89</v>
      </c>
      <c r="F2395">
        <v>0</v>
      </c>
      <c r="G2395">
        <f>IF(Gym_Expansion_Data[[#This Row],[Churned]]=0,1,0)</f>
        <v>1</v>
      </c>
      <c r="H2395" t="str">
        <f>IF(Gym_Expansion_Data[[#This Row],[Active Member]]=1,Gym_Expansion_Data[[#This Row],[Tier]],"Inactive")</f>
        <v>Premium</v>
      </c>
    </row>
    <row r="2396" spans="1:8" x14ac:dyDescent="0.2">
      <c r="A2396">
        <v>3395</v>
      </c>
      <c r="B2396" t="s">
        <v>9</v>
      </c>
      <c r="C2396" t="s">
        <v>7</v>
      </c>
      <c r="D2396" s="1">
        <v>45500</v>
      </c>
      <c r="E2396">
        <v>49</v>
      </c>
      <c r="F2396">
        <v>0</v>
      </c>
      <c r="G2396">
        <f>IF(Gym_Expansion_Data[[#This Row],[Churned]]=0,1,0)</f>
        <v>1</v>
      </c>
      <c r="H2396" t="str">
        <f>IF(Gym_Expansion_Data[[#This Row],[Active Member]]=1,Gym_Expansion_Data[[#This Row],[Tier]],"Inactive")</f>
        <v>Basic</v>
      </c>
    </row>
    <row r="2397" spans="1:8" x14ac:dyDescent="0.2">
      <c r="A2397">
        <v>3396</v>
      </c>
      <c r="B2397" t="s">
        <v>10</v>
      </c>
      <c r="C2397" t="s">
        <v>7</v>
      </c>
      <c r="D2397" s="1">
        <v>45757</v>
      </c>
      <c r="E2397">
        <v>49</v>
      </c>
      <c r="F2397">
        <v>0</v>
      </c>
      <c r="G2397">
        <f>IF(Gym_Expansion_Data[[#This Row],[Churned]]=0,1,0)</f>
        <v>1</v>
      </c>
      <c r="H2397" t="str">
        <f>IF(Gym_Expansion_Data[[#This Row],[Active Member]]=1,Gym_Expansion_Data[[#This Row],[Tier]],"Inactive")</f>
        <v>Basic</v>
      </c>
    </row>
    <row r="2398" spans="1:8" x14ac:dyDescent="0.2">
      <c r="A2398">
        <v>3397</v>
      </c>
      <c r="B2398" t="s">
        <v>10</v>
      </c>
      <c r="C2398" t="s">
        <v>7</v>
      </c>
      <c r="D2398" s="1">
        <v>45338</v>
      </c>
      <c r="E2398">
        <v>49</v>
      </c>
      <c r="F2398">
        <v>0</v>
      </c>
      <c r="G2398">
        <f>IF(Gym_Expansion_Data[[#This Row],[Churned]]=0,1,0)</f>
        <v>1</v>
      </c>
      <c r="H2398" t="str">
        <f>IF(Gym_Expansion_Data[[#This Row],[Active Member]]=1,Gym_Expansion_Data[[#This Row],[Tier]],"Inactive")</f>
        <v>Basic</v>
      </c>
    </row>
    <row r="2399" spans="1:8" x14ac:dyDescent="0.2">
      <c r="A2399">
        <v>3398</v>
      </c>
      <c r="B2399" t="s">
        <v>6</v>
      </c>
      <c r="C2399" t="s">
        <v>12</v>
      </c>
      <c r="D2399" s="1">
        <v>45319</v>
      </c>
      <c r="E2399">
        <v>89</v>
      </c>
      <c r="F2399">
        <v>1</v>
      </c>
      <c r="G2399">
        <f>IF(Gym_Expansion_Data[[#This Row],[Churned]]=0,1,0)</f>
        <v>0</v>
      </c>
      <c r="H2399" t="str">
        <f>IF(Gym_Expansion_Data[[#This Row],[Active Member]]=1,Gym_Expansion_Data[[#This Row],[Tier]],"Inactive")</f>
        <v>Inactive</v>
      </c>
    </row>
    <row r="2400" spans="1:8" x14ac:dyDescent="0.2">
      <c r="A2400">
        <v>3399</v>
      </c>
      <c r="B2400" t="s">
        <v>10</v>
      </c>
      <c r="C2400" t="s">
        <v>8</v>
      </c>
      <c r="D2400" s="1">
        <v>45767</v>
      </c>
      <c r="E2400">
        <v>129</v>
      </c>
      <c r="F2400">
        <v>1</v>
      </c>
      <c r="G2400">
        <f>IF(Gym_Expansion_Data[[#This Row],[Churned]]=0,1,0)</f>
        <v>0</v>
      </c>
      <c r="H2400" t="str">
        <f>IF(Gym_Expansion_Data[[#This Row],[Active Member]]=1,Gym_Expansion_Data[[#This Row],[Tier]],"Inactive")</f>
        <v>Inactive</v>
      </c>
    </row>
    <row r="2401" spans="1:8" x14ac:dyDescent="0.2">
      <c r="A2401">
        <v>3400</v>
      </c>
      <c r="B2401" t="s">
        <v>6</v>
      </c>
      <c r="C2401" t="s">
        <v>12</v>
      </c>
      <c r="D2401" s="1">
        <v>45796</v>
      </c>
      <c r="E2401">
        <v>89</v>
      </c>
      <c r="F2401">
        <v>0</v>
      </c>
      <c r="G2401">
        <f>IF(Gym_Expansion_Data[[#This Row],[Churned]]=0,1,0)</f>
        <v>1</v>
      </c>
      <c r="H2401" t="str">
        <f>IF(Gym_Expansion_Data[[#This Row],[Active Member]]=1,Gym_Expansion_Data[[#This Row],[Tier]],"Inactive")</f>
        <v>Premium</v>
      </c>
    </row>
    <row r="2402" spans="1:8" x14ac:dyDescent="0.2">
      <c r="A2402">
        <v>3401</v>
      </c>
      <c r="B2402" t="s">
        <v>9</v>
      </c>
      <c r="C2402" t="s">
        <v>7</v>
      </c>
      <c r="D2402" s="1">
        <v>45547</v>
      </c>
      <c r="E2402">
        <v>49</v>
      </c>
      <c r="F2402">
        <v>1</v>
      </c>
      <c r="G2402">
        <f>IF(Gym_Expansion_Data[[#This Row],[Churned]]=0,1,0)</f>
        <v>0</v>
      </c>
      <c r="H2402" t="str">
        <f>IF(Gym_Expansion_Data[[#This Row],[Active Member]]=1,Gym_Expansion_Data[[#This Row],[Tier]],"Inactive")</f>
        <v>Inactive</v>
      </c>
    </row>
    <row r="2403" spans="1:8" x14ac:dyDescent="0.2">
      <c r="A2403">
        <v>3402</v>
      </c>
      <c r="B2403" t="s">
        <v>9</v>
      </c>
      <c r="C2403" t="s">
        <v>8</v>
      </c>
      <c r="D2403" s="1">
        <v>45323</v>
      </c>
      <c r="E2403">
        <v>129</v>
      </c>
      <c r="F2403">
        <v>0</v>
      </c>
      <c r="G2403">
        <f>IF(Gym_Expansion_Data[[#This Row],[Churned]]=0,1,0)</f>
        <v>1</v>
      </c>
      <c r="H2403" t="str">
        <f>IF(Gym_Expansion_Data[[#This Row],[Active Member]]=1,Gym_Expansion_Data[[#This Row],[Tier]],"Inactive")</f>
        <v>Elite</v>
      </c>
    </row>
    <row r="2404" spans="1:8" x14ac:dyDescent="0.2">
      <c r="A2404">
        <v>3403</v>
      </c>
      <c r="B2404" t="s">
        <v>11</v>
      </c>
      <c r="C2404" t="s">
        <v>7</v>
      </c>
      <c r="D2404" s="1">
        <v>45617</v>
      </c>
      <c r="E2404">
        <v>49</v>
      </c>
      <c r="F2404">
        <v>0</v>
      </c>
      <c r="G2404">
        <f>IF(Gym_Expansion_Data[[#This Row],[Churned]]=0,1,0)</f>
        <v>1</v>
      </c>
      <c r="H2404" t="str">
        <f>IF(Gym_Expansion_Data[[#This Row],[Active Member]]=1,Gym_Expansion_Data[[#This Row],[Tier]],"Inactive")</f>
        <v>Basic</v>
      </c>
    </row>
    <row r="2405" spans="1:8" x14ac:dyDescent="0.2">
      <c r="A2405">
        <v>3404</v>
      </c>
      <c r="B2405" t="s">
        <v>10</v>
      </c>
      <c r="C2405" t="s">
        <v>12</v>
      </c>
      <c r="D2405" s="1">
        <v>45877</v>
      </c>
      <c r="E2405">
        <v>89</v>
      </c>
      <c r="F2405">
        <v>0</v>
      </c>
      <c r="G2405">
        <f>IF(Gym_Expansion_Data[[#This Row],[Churned]]=0,1,0)</f>
        <v>1</v>
      </c>
      <c r="H2405" t="str">
        <f>IF(Gym_Expansion_Data[[#This Row],[Active Member]]=1,Gym_Expansion_Data[[#This Row],[Tier]],"Inactive")</f>
        <v>Premium</v>
      </c>
    </row>
    <row r="2406" spans="1:8" x14ac:dyDescent="0.2">
      <c r="A2406">
        <v>3405</v>
      </c>
      <c r="B2406" t="s">
        <v>10</v>
      </c>
      <c r="C2406" t="s">
        <v>7</v>
      </c>
      <c r="D2406" s="1">
        <v>45871</v>
      </c>
      <c r="E2406">
        <v>49</v>
      </c>
      <c r="F2406">
        <v>0</v>
      </c>
      <c r="G2406">
        <f>IF(Gym_Expansion_Data[[#This Row],[Churned]]=0,1,0)</f>
        <v>1</v>
      </c>
      <c r="H2406" t="str">
        <f>IF(Gym_Expansion_Data[[#This Row],[Active Member]]=1,Gym_Expansion_Data[[#This Row],[Tier]],"Inactive")</f>
        <v>Basic</v>
      </c>
    </row>
    <row r="2407" spans="1:8" x14ac:dyDescent="0.2">
      <c r="A2407">
        <v>3406</v>
      </c>
      <c r="B2407" t="s">
        <v>6</v>
      </c>
      <c r="C2407" t="s">
        <v>8</v>
      </c>
      <c r="D2407" s="1">
        <v>45543</v>
      </c>
      <c r="E2407">
        <v>129</v>
      </c>
      <c r="F2407">
        <v>0</v>
      </c>
      <c r="G2407">
        <f>IF(Gym_Expansion_Data[[#This Row],[Churned]]=0,1,0)</f>
        <v>1</v>
      </c>
      <c r="H2407" t="str">
        <f>IF(Gym_Expansion_Data[[#This Row],[Active Member]]=1,Gym_Expansion_Data[[#This Row],[Tier]],"Inactive")</f>
        <v>Elite</v>
      </c>
    </row>
    <row r="2408" spans="1:8" x14ac:dyDescent="0.2">
      <c r="A2408">
        <v>3407</v>
      </c>
      <c r="B2408" t="s">
        <v>10</v>
      </c>
      <c r="C2408" t="s">
        <v>7</v>
      </c>
      <c r="D2408" s="1">
        <v>45301</v>
      </c>
      <c r="E2408">
        <v>49</v>
      </c>
      <c r="F2408">
        <v>0</v>
      </c>
      <c r="G2408">
        <f>IF(Gym_Expansion_Data[[#This Row],[Churned]]=0,1,0)</f>
        <v>1</v>
      </c>
      <c r="H2408" t="str">
        <f>IF(Gym_Expansion_Data[[#This Row],[Active Member]]=1,Gym_Expansion_Data[[#This Row],[Tier]],"Inactive")</f>
        <v>Basic</v>
      </c>
    </row>
    <row r="2409" spans="1:8" x14ac:dyDescent="0.2">
      <c r="A2409">
        <v>3408</v>
      </c>
      <c r="B2409" t="s">
        <v>9</v>
      </c>
      <c r="C2409" t="s">
        <v>8</v>
      </c>
      <c r="D2409" s="1">
        <v>45899</v>
      </c>
      <c r="E2409">
        <v>129</v>
      </c>
      <c r="F2409">
        <v>0</v>
      </c>
      <c r="G2409">
        <f>IF(Gym_Expansion_Data[[#This Row],[Churned]]=0,1,0)</f>
        <v>1</v>
      </c>
      <c r="H2409" t="str">
        <f>IF(Gym_Expansion_Data[[#This Row],[Active Member]]=1,Gym_Expansion_Data[[#This Row],[Tier]],"Inactive")</f>
        <v>Elite</v>
      </c>
    </row>
    <row r="2410" spans="1:8" x14ac:dyDescent="0.2">
      <c r="A2410">
        <v>3409</v>
      </c>
      <c r="B2410" t="s">
        <v>6</v>
      </c>
      <c r="C2410" t="s">
        <v>12</v>
      </c>
      <c r="D2410" s="1">
        <v>45474</v>
      </c>
      <c r="E2410">
        <v>89</v>
      </c>
      <c r="F2410">
        <v>0</v>
      </c>
      <c r="G2410">
        <f>IF(Gym_Expansion_Data[[#This Row],[Churned]]=0,1,0)</f>
        <v>1</v>
      </c>
      <c r="H2410" t="str">
        <f>IF(Gym_Expansion_Data[[#This Row],[Active Member]]=1,Gym_Expansion_Data[[#This Row],[Tier]],"Inactive")</f>
        <v>Premium</v>
      </c>
    </row>
    <row r="2411" spans="1:8" x14ac:dyDescent="0.2">
      <c r="A2411">
        <v>3410</v>
      </c>
      <c r="B2411" t="s">
        <v>10</v>
      </c>
      <c r="C2411" t="s">
        <v>12</v>
      </c>
      <c r="D2411" s="1">
        <v>45472</v>
      </c>
      <c r="E2411">
        <v>89</v>
      </c>
      <c r="F2411">
        <v>0</v>
      </c>
      <c r="G2411">
        <f>IF(Gym_Expansion_Data[[#This Row],[Churned]]=0,1,0)</f>
        <v>1</v>
      </c>
      <c r="H2411" t="str">
        <f>IF(Gym_Expansion_Data[[#This Row],[Active Member]]=1,Gym_Expansion_Data[[#This Row],[Tier]],"Inactive")</f>
        <v>Premium</v>
      </c>
    </row>
    <row r="2412" spans="1:8" x14ac:dyDescent="0.2">
      <c r="A2412">
        <v>3411</v>
      </c>
      <c r="B2412" t="s">
        <v>6</v>
      </c>
      <c r="C2412" t="s">
        <v>8</v>
      </c>
      <c r="D2412" s="1">
        <v>45751</v>
      </c>
      <c r="E2412">
        <v>129</v>
      </c>
      <c r="F2412">
        <v>0</v>
      </c>
      <c r="G2412">
        <f>IF(Gym_Expansion_Data[[#This Row],[Churned]]=0,1,0)</f>
        <v>1</v>
      </c>
      <c r="H2412" t="str">
        <f>IF(Gym_Expansion_Data[[#This Row],[Active Member]]=1,Gym_Expansion_Data[[#This Row],[Tier]],"Inactive")</f>
        <v>Elite</v>
      </c>
    </row>
    <row r="2413" spans="1:8" x14ac:dyDescent="0.2">
      <c r="A2413">
        <v>3412</v>
      </c>
      <c r="B2413" t="s">
        <v>11</v>
      </c>
      <c r="C2413" t="s">
        <v>7</v>
      </c>
      <c r="D2413" s="1">
        <v>45446</v>
      </c>
      <c r="E2413">
        <v>49</v>
      </c>
      <c r="F2413">
        <v>0</v>
      </c>
      <c r="G2413">
        <f>IF(Gym_Expansion_Data[[#This Row],[Churned]]=0,1,0)</f>
        <v>1</v>
      </c>
      <c r="H2413" t="str">
        <f>IF(Gym_Expansion_Data[[#This Row],[Active Member]]=1,Gym_Expansion_Data[[#This Row],[Tier]],"Inactive")</f>
        <v>Basic</v>
      </c>
    </row>
    <row r="2414" spans="1:8" x14ac:dyDescent="0.2">
      <c r="A2414">
        <v>3413</v>
      </c>
      <c r="B2414" t="s">
        <v>9</v>
      </c>
      <c r="C2414" t="s">
        <v>12</v>
      </c>
      <c r="D2414" s="1">
        <v>45843</v>
      </c>
      <c r="E2414">
        <v>89</v>
      </c>
      <c r="F2414">
        <v>0</v>
      </c>
      <c r="G2414">
        <f>IF(Gym_Expansion_Data[[#This Row],[Churned]]=0,1,0)</f>
        <v>1</v>
      </c>
      <c r="H2414" t="str">
        <f>IF(Gym_Expansion_Data[[#This Row],[Active Member]]=1,Gym_Expansion_Data[[#This Row],[Tier]],"Inactive")</f>
        <v>Premium</v>
      </c>
    </row>
    <row r="2415" spans="1:8" x14ac:dyDescent="0.2">
      <c r="A2415">
        <v>3414</v>
      </c>
      <c r="B2415" t="s">
        <v>11</v>
      </c>
      <c r="C2415" t="s">
        <v>7</v>
      </c>
      <c r="D2415" s="1">
        <v>45760</v>
      </c>
      <c r="E2415">
        <v>49</v>
      </c>
      <c r="F2415">
        <v>0</v>
      </c>
      <c r="G2415">
        <f>IF(Gym_Expansion_Data[[#This Row],[Churned]]=0,1,0)</f>
        <v>1</v>
      </c>
      <c r="H2415" t="str">
        <f>IF(Gym_Expansion_Data[[#This Row],[Active Member]]=1,Gym_Expansion_Data[[#This Row],[Tier]],"Inactive")</f>
        <v>Basic</v>
      </c>
    </row>
    <row r="2416" spans="1:8" x14ac:dyDescent="0.2">
      <c r="A2416">
        <v>3415</v>
      </c>
      <c r="B2416" t="s">
        <v>6</v>
      </c>
      <c r="C2416" t="s">
        <v>7</v>
      </c>
      <c r="D2416" s="1">
        <v>45686</v>
      </c>
      <c r="E2416">
        <v>49</v>
      </c>
      <c r="F2416">
        <v>0</v>
      </c>
      <c r="G2416">
        <f>IF(Gym_Expansion_Data[[#This Row],[Churned]]=0,1,0)</f>
        <v>1</v>
      </c>
      <c r="H2416" t="str">
        <f>IF(Gym_Expansion_Data[[#This Row],[Active Member]]=1,Gym_Expansion_Data[[#This Row],[Tier]],"Inactive")</f>
        <v>Basic</v>
      </c>
    </row>
    <row r="2417" spans="1:8" x14ac:dyDescent="0.2">
      <c r="A2417">
        <v>3416</v>
      </c>
      <c r="B2417" t="s">
        <v>10</v>
      </c>
      <c r="C2417" t="s">
        <v>12</v>
      </c>
      <c r="D2417" s="1">
        <v>45813</v>
      </c>
      <c r="E2417">
        <v>89</v>
      </c>
      <c r="F2417">
        <v>0</v>
      </c>
      <c r="G2417">
        <f>IF(Gym_Expansion_Data[[#This Row],[Churned]]=0,1,0)</f>
        <v>1</v>
      </c>
      <c r="H2417" t="str">
        <f>IF(Gym_Expansion_Data[[#This Row],[Active Member]]=1,Gym_Expansion_Data[[#This Row],[Tier]],"Inactive")</f>
        <v>Premium</v>
      </c>
    </row>
    <row r="2418" spans="1:8" x14ac:dyDescent="0.2">
      <c r="A2418">
        <v>3417</v>
      </c>
      <c r="B2418" t="s">
        <v>10</v>
      </c>
      <c r="C2418" t="s">
        <v>7</v>
      </c>
      <c r="D2418" s="1">
        <v>45874</v>
      </c>
      <c r="E2418">
        <v>49</v>
      </c>
      <c r="F2418">
        <v>0</v>
      </c>
      <c r="G2418">
        <f>IF(Gym_Expansion_Data[[#This Row],[Churned]]=0,1,0)</f>
        <v>1</v>
      </c>
      <c r="H2418" t="str">
        <f>IF(Gym_Expansion_Data[[#This Row],[Active Member]]=1,Gym_Expansion_Data[[#This Row],[Tier]],"Inactive")</f>
        <v>Basic</v>
      </c>
    </row>
    <row r="2419" spans="1:8" x14ac:dyDescent="0.2">
      <c r="A2419">
        <v>3418</v>
      </c>
      <c r="B2419" t="s">
        <v>6</v>
      </c>
      <c r="C2419" t="s">
        <v>12</v>
      </c>
      <c r="D2419" s="1">
        <v>45653</v>
      </c>
      <c r="E2419">
        <v>89</v>
      </c>
      <c r="F2419">
        <v>0</v>
      </c>
      <c r="G2419">
        <f>IF(Gym_Expansion_Data[[#This Row],[Churned]]=0,1,0)</f>
        <v>1</v>
      </c>
      <c r="H2419" t="str">
        <f>IF(Gym_Expansion_Data[[#This Row],[Active Member]]=1,Gym_Expansion_Data[[#This Row],[Tier]],"Inactive")</f>
        <v>Premium</v>
      </c>
    </row>
    <row r="2420" spans="1:8" x14ac:dyDescent="0.2">
      <c r="A2420">
        <v>3419</v>
      </c>
      <c r="B2420" t="s">
        <v>9</v>
      </c>
      <c r="C2420" t="s">
        <v>7</v>
      </c>
      <c r="D2420" s="1">
        <v>45900</v>
      </c>
      <c r="E2420">
        <v>49</v>
      </c>
      <c r="F2420">
        <v>0</v>
      </c>
      <c r="G2420">
        <f>IF(Gym_Expansion_Data[[#This Row],[Churned]]=0,1,0)</f>
        <v>1</v>
      </c>
      <c r="H2420" t="str">
        <f>IF(Gym_Expansion_Data[[#This Row],[Active Member]]=1,Gym_Expansion_Data[[#This Row],[Tier]],"Inactive")</f>
        <v>Basic</v>
      </c>
    </row>
    <row r="2421" spans="1:8" x14ac:dyDescent="0.2">
      <c r="A2421">
        <v>3420</v>
      </c>
      <c r="B2421" t="s">
        <v>9</v>
      </c>
      <c r="C2421" t="s">
        <v>12</v>
      </c>
      <c r="D2421" s="1">
        <v>45441</v>
      </c>
      <c r="E2421">
        <v>89</v>
      </c>
      <c r="F2421">
        <v>0</v>
      </c>
      <c r="G2421">
        <f>IF(Gym_Expansion_Data[[#This Row],[Churned]]=0,1,0)</f>
        <v>1</v>
      </c>
      <c r="H2421" t="str">
        <f>IF(Gym_Expansion_Data[[#This Row],[Active Member]]=1,Gym_Expansion_Data[[#This Row],[Tier]],"Inactive")</f>
        <v>Premium</v>
      </c>
    </row>
    <row r="2422" spans="1:8" x14ac:dyDescent="0.2">
      <c r="A2422">
        <v>3421</v>
      </c>
      <c r="B2422" t="s">
        <v>9</v>
      </c>
      <c r="C2422" t="s">
        <v>7</v>
      </c>
      <c r="D2422" s="1">
        <v>45880</v>
      </c>
      <c r="E2422">
        <v>49</v>
      </c>
      <c r="F2422">
        <v>0</v>
      </c>
      <c r="G2422">
        <f>IF(Gym_Expansion_Data[[#This Row],[Churned]]=0,1,0)</f>
        <v>1</v>
      </c>
      <c r="H2422" t="str">
        <f>IF(Gym_Expansion_Data[[#This Row],[Active Member]]=1,Gym_Expansion_Data[[#This Row],[Tier]],"Inactive")</f>
        <v>Basic</v>
      </c>
    </row>
    <row r="2423" spans="1:8" x14ac:dyDescent="0.2">
      <c r="A2423">
        <v>3422</v>
      </c>
      <c r="B2423" t="s">
        <v>11</v>
      </c>
      <c r="C2423" t="s">
        <v>7</v>
      </c>
      <c r="D2423" s="1">
        <v>45515</v>
      </c>
      <c r="E2423">
        <v>49</v>
      </c>
      <c r="F2423">
        <v>0</v>
      </c>
      <c r="G2423">
        <f>IF(Gym_Expansion_Data[[#This Row],[Churned]]=0,1,0)</f>
        <v>1</v>
      </c>
      <c r="H2423" t="str">
        <f>IF(Gym_Expansion_Data[[#This Row],[Active Member]]=1,Gym_Expansion_Data[[#This Row],[Tier]],"Inactive")</f>
        <v>Basic</v>
      </c>
    </row>
    <row r="2424" spans="1:8" x14ac:dyDescent="0.2">
      <c r="A2424">
        <v>3423</v>
      </c>
      <c r="B2424" t="s">
        <v>6</v>
      </c>
      <c r="C2424" t="s">
        <v>7</v>
      </c>
      <c r="D2424" s="1">
        <v>45642</v>
      </c>
      <c r="E2424">
        <v>49</v>
      </c>
      <c r="F2424">
        <v>0</v>
      </c>
      <c r="G2424">
        <f>IF(Gym_Expansion_Data[[#This Row],[Churned]]=0,1,0)</f>
        <v>1</v>
      </c>
      <c r="H2424" t="str">
        <f>IF(Gym_Expansion_Data[[#This Row],[Active Member]]=1,Gym_Expansion_Data[[#This Row],[Tier]],"Inactive")</f>
        <v>Basic</v>
      </c>
    </row>
    <row r="2425" spans="1:8" x14ac:dyDescent="0.2">
      <c r="A2425">
        <v>3424</v>
      </c>
      <c r="B2425" t="s">
        <v>10</v>
      </c>
      <c r="C2425" t="s">
        <v>8</v>
      </c>
      <c r="D2425" s="1">
        <v>45479</v>
      </c>
      <c r="E2425">
        <v>129</v>
      </c>
      <c r="F2425">
        <v>0</v>
      </c>
      <c r="G2425">
        <f>IF(Gym_Expansion_Data[[#This Row],[Churned]]=0,1,0)</f>
        <v>1</v>
      </c>
      <c r="H2425" t="str">
        <f>IF(Gym_Expansion_Data[[#This Row],[Active Member]]=1,Gym_Expansion_Data[[#This Row],[Tier]],"Inactive")</f>
        <v>Elite</v>
      </c>
    </row>
    <row r="2426" spans="1:8" x14ac:dyDescent="0.2">
      <c r="A2426">
        <v>3425</v>
      </c>
      <c r="B2426" t="s">
        <v>10</v>
      </c>
      <c r="C2426" t="s">
        <v>7</v>
      </c>
      <c r="D2426" s="1">
        <v>45930</v>
      </c>
      <c r="E2426">
        <v>49</v>
      </c>
      <c r="F2426">
        <v>0</v>
      </c>
      <c r="G2426">
        <f>IF(Gym_Expansion_Data[[#This Row],[Churned]]=0,1,0)</f>
        <v>1</v>
      </c>
      <c r="H2426" t="str">
        <f>IF(Gym_Expansion_Data[[#This Row],[Active Member]]=1,Gym_Expansion_Data[[#This Row],[Tier]],"Inactive")</f>
        <v>Basic</v>
      </c>
    </row>
    <row r="2427" spans="1:8" x14ac:dyDescent="0.2">
      <c r="A2427">
        <v>3426</v>
      </c>
      <c r="B2427" t="s">
        <v>9</v>
      </c>
      <c r="C2427" t="s">
        <v>7</v>
      </c>
      <c r="D2427" s="1">
        <v>45902</v>
      </c>
      <c r="E2427">
        <v>49</v>
      </c>
      <c r="F2427">
        <v>1</v>
      </c>
      <c r="G2427">
        <f>IF(Gym_Expansion_Data[[#This Row],[Churned]]=0,1,0)</f>
        <v>0</v>
      </c>
      <c r="H2427" t="str">
        <f>IF(Gym_Expansion_Data[[#This Row],[Active Member]]=1,Gym_Expansion_Data[[#This Row],[Tier]],"Inactive")</f>
        <v>Inactive</v>
      </c>
    </row>
    <row r="2428" spans="1:8" x14ac:dyDescent="0.2">
      <c r="A2428">
        <v>3427</v>
      </c>
      <c r="B2428" t="s">
        <v>6</v>
      </c>
      <c r="C2428" t="s">
        <v>7</v>
      </c>
      <c r="D2428" s="1">
        <v>45390</v>
      </c>
      <c r="E2428">
        <v>49</v>
      </c>
      <c r="F2428">
        <v>1</v>
      </c>
      <c r="G2428">
        <f>IF(Gym_Expansion_Data[[#This Row],[Churned]]=0,1,0)</f>
        <v>0</v>
      </c>
      <c r="H2428" t="str">
        <f>IF(Gym_Expansion_Data[[#This Row],[Active Member]]=1,Gym_Expansion_Data[[#This Row],[Tier]],"Inactive")</f>
        <v>Inactive</v>
      </c>
    </row>
    <row r="2429" spans="1:8" x14ac:dyDescent="0.2">
      <c r="A2429">
        <v>3428</v>
      </c>
      <c r="B2429" t="s">
        <v>6</v>
      </c>
      <c r="C2429" t="s">
        <v>12</v>
      </c>
      <c r="D2429" s="1">
        <v>45894</v>
      </c>
      <c r="E2429">
        <v>89</v>
      </c>
      <c r="F2429">
        <v>0</v>
      </c>
      <c r="G2429">
        <f>IF(Gym_Expansion_Data[[#This Row],[Churned]]=0,1,0)</f>
        <v>1</v>
      </c>
      <c r="H2429" t="str">
        <f>IF(Gym_Expansion_Data[[#This Row],[Active Member]]=1,Gym_Expansion_Data[[#This Row],[Tier]],"Inactive")</f>
        <v>Premium</v>
      </c>
    </row>
    <row r="2430" spans="1:8" x14ac:dyDescent="0.2">
      <c r="A2430">
        <v>3429</v>
      </c>
      <c r="B2430" t="s">
        <v>11</v>
      </c>
      <c r="C2430" t="s">
        <v>7</v>
      </c>
      <c r="D2430" s="1">
        <v>45820</v>
      </c>
      <c r="E2430">
        <v>49</v>
      </c>
      <c r="F2430">
        <v>0</v>
      </c>
      <c r="G2430">
        <f>IF(Gym_Expansion_Data[[#This Row],[Churned]]=0,1,0)</f>
        <v>1</v>
      </c>
      <c r="H2430" t="str">
        <f>IF(Gym_Expansion_Data[[#This Row],[Active Member]]=1,Gym_Expansion_Data[[#This Row],[Tier]],"Inactive")</f>
        <v>Basic</v>
      </c>
    </row>
    <row r="2431" spans="1:8" x14ac:dyDescent="0.2">
      <c r="A2431">
        <v>3430</v>
      </c>
      <c r="B2431" t="s">
        <v>9</v>
      </c>
      <c r="C2431" t="s">
        <v>7</v>
      </c>
      <c r="D2431" s="1">
        <v>45801</v>
      </c>
      <c r="E2431">
        <v>49</v>
      </c>
      <c r="F2431">
        <v>0</v>
      </c>
      <c r="G2431">
        <f>IF(Gym_Expansion_Data[[#This Row],[Churned]]=0,1,0)</f>
        <v>1</v>
      </c>
      <c r="H2431" t="str">
        <f>IF(Gym_Expansion_Data[[#This Row],[Active Member]]=1,Gym_Expansion_Data[[#This Row],[Tier]],"Inactive")</f>
        <v>Basic</v>
      </c>
    </row>
    <row r="2432" spans="1:8" x14ac:dyDescent="0.2">
      <c r="A2432">
        <v>3431</v>
      </c>
      <c r="B2432" t="s">
        <v>11</v>
      </c>
      <c r="C2432" t="s">
        <v>8</v>
      </c>
      <c r="D2432" s="1">
        <v>45652</v>
      </c>
      <c r="E2432">
        <v>129</v>
      </c>
      <c r="F2432">
        <v>0</v>
      </c>
      <c r="G2432">
        <f>IF(Gym_Expansion_Data[[#This Row],[Churned]]=0,1,0)</f>
        <v>1</v>
      </c>
      <c r="H2432" t="str">
        <f>IF(Gym_Expansion_Data[[#This Row],[Active Member]]=1,Gym_Expansion_Data[[#This Row],[Tier]],"Inactive")</f>
        <v>Elite</v>
      </c>
    </row>
    <row r="2433" spans="1:8" x14ac:dyDescent="0.2">
      <c r="A2433">
        <v>3432</v>
      </c>
      <c r="B2433" t="s">
        <v>6</v>
      </c>
      <c r="C2433" t="s">
        <v>8</v>
      </c>
      <c r="D2433" s="1">
        <v>45955</v>
      </c>
      <c r="E2433">
        <v>129</v>
      </c>
      <c r="F2433">
        <v>0</v>
      </c>
      <c r="G2433">
        <f>IF(Gym_Expansion_Data[[#This Row],[Churned]]=0,1,0)</f>
        <v>1</v>
      </c>
      <c r="H2433" t="str">
        <f>IF(Gym_Expansion_Data[[#This Row],[Active Member]]=1,Gym_Expansion_Data[[#This Row],[Tier]],"Inactive")</f>
        <v>Elite</v>
      </c>
    </row>
    <row r="2434" spans="1:8" x14ac:dyDescent="0.2">
      <c r="A2434">
        <v>3433</v>
      </c>
      <c r="B2434" t="s">
        <v>6</v>
      </c>
      <c r="C2434" t="s">
        <v>12</v>
      </c>
      <c r="D2434" s="1">
        <v>45852</v>
      </c>
      <c r="E2434">
        <v>89</v>
      </c>
      <c r="F2434">
        <v>0</v>
      </c>
      <c r="G2434">
        <f>IF(Gym_Expansion_Data[[#This Row],[Churned]]=0,1,0)</f>
        <v>1</v>
      </c>
      <c r="H2434" t="str">
        <f>IF(Gym_Expansion_Data[[#This Row],[Active Member]]=1,Gym_Expansion_Data[[#This Row],[Tier]],"Inactive")</f>
        <v>Premium</v>
      </c>
    </row>
    <row r="2435" spans="1:8" x14ac:dyDescent="0.2">
      <c r="A2435">
        <v>3434</v>
      </c>
      <c r="B2435" t="s">
        <v>11</v>
      </c>
      <c r="C2435" t="s">
        <v>8</v>
      </c>
      <c r="D2435" s="1">
        <v>45501</v>
      </c>
      <c r="E2435">
        <v>129</v>
      </c>
      <c r="F2435">
        <v>0</v>
      </c>
      <c r="G2435">
        <f>IF(Gym_Expansion_Data[[#This Row],[Churned]]=0,1,0)</f>
        <v>1</v>
      </c>
      <c r="H2435" t="str">
        <f>IF(Gym_Expansion_Data[[#This Row],[Active Member]]=1,Gym_Expansion_Data[[#This Row],[Tier]],"Inactive")</f>
        <v>Elite</v>
      </c>
    </row>
    <row r="2436" spans="1:8" x14ac:dyDescent="0.2">
      <c r="A2436">
        <v>3435</v>
      </c>
      <c r="B2436" t="s">
        <v>9</v>
      </c>
      <c r="C2436" t="s">
        <v>7</v>
      </c>
      <c r="D2436" s="1">
        <v>45402</v>
      </c>
      <c r="E2436">
        <v>49</v>
      </c>
      <c r="F2436">
        <v>0</v>
      </c>
      <c r="G2436">
        <f>IF(Gym_Expansion_Data[[#This Row],[Churned]]=0,1,0)</f>
        <v>1</v>
      </c>
      <c r="H2436" t="str">
        <f>IF(Gym_Expansion_Data[[#This Row],[Active Member]]=1,Gym_Expansion_Data[[#This Row],[Tier]],"Inactive")</f>
        <v>Basic</v>
      </c>
    </row>
    <row r="2437" spans="1:8" x14ac:dyDescent="0.2">
      <c r="A2437">
        <v>3436</v>
      </c>
      <c r="B2437" t="s">
        <v>9</v>
      </c>
      <c r="C2437" t="s">
        <v>12</v>
      </c>
      <c r="D2437" s="1">
        <v>45601</v>
      </c>
      <c r="E2437">
        <v>89</v>
      </c>
      <c r="F2437">
        <v>0</v>
      </c>
      <c r="G2437">
        <f>IF(Gym_Expansion_Data[[#This Row],[Churned]]=0,1,0)</f>
        <v>1</v>
      </c>
      <c r="H2437" t="str">
        <f>IF(Gym_Expansion_Data[[#This Row],[Active Member]]=1,Gym_Expansion_Data[[#This Row],[Tier]],"Inactive")</f>
        <v>Premium</v>
      </c>
    </row>
    <row r="2438" spans="1:8" x14ac:dyDescent="0.2">
      <c r="A2438">
        <v>3437</v>
      </c>
      <c r="B2438" t="s">
        <v>10</v>
      </c>
      <c r="C2438" t="s">
        <v>7</v>
      </c>
      <c r="D2438" s="1">
        <v>45834</v>
      </c>
      <c r="E2438">
        <v>49</v>
      </c>
      <c r="F2438">
        <v>0</v>
      </c>
      <c r="G2438">
        <f>IF(Gym_Expansion_Data[[#This Row],[Churned]]=0,1,0)</f>
        <v>1</v>
      </c>
      <c r="H2438" t="str">
        <f>IF(Gym_Expansion_Data[[#This Row],[Active Member]]=1,Gym_Expansion_Data[[#This Row],[Tier]],"Inactive")</f>
        <v>Basic</v>
      </c>
    </row>
    <row r="2439" spans="1:8" x14ac:dyDescent="0.2">
      <c r="A2439">
        <v>3438</v>
      </c>
      <c r="B2439" t="s">
        <v>6</v>
      </c>
      <c r="C2439" t="s">
        <v>7</v>
      </c>
      <c r="D2439" s="1">
        <v>45805</v>
      </c>
      <c r="E2439">
        <v>49</v>
      </c>
      <c r="F2439">
        <v>1</v>
      </c>
      <c r="G2439">
        <f>IF(Gym_Expansion_Data[[#This Row],[Churned]]=0,1,0)</f>
        <v>0</v>
      </c>
      <c r="H2439" t="str">
        <f>IF(Gym_Expansion_Data[[#This Row],[Active Member]]=1,Gym_Expansion_Data[[#This Row],[Tier]],"Inactive")</f>
        <v>Inactive</v>
      </c>
    </row>
    <row r="2440" spans="1:8" x14ac:dyDescent="0.2">
      <c r="A2440">
        <v>3439</v>
      </c>
      <c r="B2440" t="s">
        <v>10</v>
      </c>
      <c r="C2440" t="s">
        <v>7</v>
      </c>
      <c r="D2440" s="1">
        <v>45955</v>
      </c>
      <c r="E2440">
        <v>49</v>
      </c>
      <c r="F2440">
        <v>0</v>
      </c>
      <c r="G2440">
        <f>IF(Gym_Expansion_Data[[#This Row],[Churned]]=0,1,0)</f>
        <v>1</v>
      </c>
      <c r="H2440" t="str">
        <f>IF(Gym_Expansion_Data[[#This Row],[Active Member]]=1,Gym_Expansion_Data[[#This Row],[Tier]],"Inactive")</f>
        <v>Basic</v>
      </c>
    </row>
    <row r="2441" spans="1:8" x14ac:dyDescent="0.2">
      <c r="A2441">
        <v>3440</v>
      </c>
      <c r="B2441" t="s">
        <v>11</v>
      </c>
      <c r="C2441" t="s">
        <v>7</v>
      </c>
      <c r="D2441" s="1">
        <v>45901</v>
      </c>
      <c r="E2441">
        <v>49</v>
      </c>
      <c r="F2441">
        <v>0</v>
      </c>
      <c r="G2441">
        <f>IF(Gym_Expansion_Data[[#This Row],[Churned]]=0,1,0)</f>
        <v>1</v>
      </c>
      <c r="H2441" t="str">
        <f>IF(Gym_Expansion_Data[[#This Row],[Active Member]]=1,Gym_Expansion_Data[[#This Row],[Tier]],"Inactive")</f>
        <v>Basic</v>
      </c>
    </row>
    <row r="2442" spans="1:8" x14ac:dyDescent="0.2">
      <c r="A2442">
        <v>3441</v>
      </c>
      <c r="B2442" t="s">
        <v>10</v>
      </c>
      <c r="C2442" t="s">
        <v>12</v>
      </c>
      <c r="D2442" s="1">
        <v>45341</v>
      </c>
      <c r="E2442">
        <v>89</v>
      </c>
      <c r="F2442">
        <v>1</v>
      </c>
      <c r="G2442">
        <f>IF(Gym_Expansion_Data[[#This Row],[Churned]]=0,1,0)</f>
        <v>0</v>
      </c>
      <c r="H2442" t="str">
        <f>IF(Gym_Expansion_Data[[#This Row],[Active Member]]=1,Gym_Expansion_Data[[#This Row],[Tier]],"Inactive")</f>
        <v>Inactive</v>
      </c>
    </row>
    <row r="2443" spans="1:8" x14ac:dyDescent="0.2">
      <c r="A2443">
        <v>3442</v>
      </c>
      <c r="B2443" t="s">
        <v>6</v>
      </c>
      <c r="C2443" t="s">
        <v>12</v>
      </c>
      <c r="D2443" s="1">
        <v>45767</v>
      </c>
      <c r="E2443">
        <v>89</v>
      </c>
      <c r="F2443">
        <v>0</v>
      </c>
      <c r="G2443">
        <f>IF(Gym_Expansion_Data[[#This Row],[Churned]]=0,1,0)</f>
        <v>1</v>
      </c>
      <c r="H2443" t="str">
        <f>IF(Gym_Expansion_Data[[#This Row],[Active Member]]=1,Gym_Expansion_Data[[#This Row],[Tier]],"Inactive")</f>
        <v>Premium</v>
      </c>
    </row>
    <row r="2444" spans="1:8" x14ac:dyDescent="0.2">
      <c r="A2444">
        <v>3443</v>
      </c>
      <c r="B2444" t="s">
        <v>10</v>
      </c>
      <c r="C2444" t="s">
        <v>12</v>
      </c>
      <c r="D2444" s="1">
        <v>45721</v>
      </c>
      <c r="E2444">
        <v>89</v>
      </c>
      <c r="F2444">
        <v>0</v>
      </c>
      <c r="G2444">
        <f>IF(Gym_Expansion_Data[[#This Row],[Churned]]=0,1,0)</f>
        <v>1</v>
      </c>
      <c r="H2444" t="str">
        <f>IF(Gym_Expansion_Data[[#This Row],[Active Member]]=1,Gym_Expansion_Data[[#This Row],[Tier]],"Inactive")</f>
        <v>Premium</v>
      </c>
    </row>
    <row r="2445" spans="1:8" x14ac:dyDescent="0.2">
      <c r="A2445">
        <v>3444</v>
      </c>
      <c r="B2445" t="s">
        <v>9</v>
      </c>
      <c r="C2445" t="s">
        <v>8</v>
      </c>
      <c r="D2445" s="1">
        <v>45982</v>
      </c>
      <c r="E2445">
        <v>129</v>
      </c>
      <c r="F2445">
        <v>1</v>
      </c>
      <c r="G2445">
        <f>IF(Gym_Expansion_Data[[#This Row],[Churned]]=0,1,0)</f>
        <v>0</v>
      </c>
      <c r="H2445" t="str">
        <f>IF(Gym_Expansion_Data[[#This Row],[Active Member]]=1,Gym_Expansion_Data[[#This Row],[Tier]],"Inactive")</f>
        <v>Inactive</v>
      </c>
    </row>
    <row r="2446" spans="1:8" x14ac:dyDescent="0.2">
      <c r="A2446">
        <v>3445</v>
      </c>
      <c r="B2446" t="s">
        <v>11</v>
      </c>
      <c r="C2446" t="s">
        <v>12</v>
      </c>
      <c r="D2446" s="1">
        <v>45961</v>
      </c>
      <c r="E2446">
        <v>89</v>
      </c>
      <c r="F2446">
        <v>0</v>
      </c>
      <c r="G2446">
        <f>IF(Gym_Expansion_Data[[#This Row],[Churned]]=0,1,0)</f>
        <v>1</v>
      </c>
      <c r="H2446" t="str">
        <f>IF(Gym_Expansion_Data[[#This Row],[Active Member]]=1,Gym_Expansion_Data[[#This Row],[Tier]],"Inactive")</f>
        <v>Premium</v>
      </c>
    </row>
    <row r="2447" spans="1:8" x14ac:dyDescent="0.2">
      <c r="A2447">
        <v>3446</v>
      </c>
      <c r="B2447" t="s">
        <v>9</v>
      </c>
      <c r="C2447" t="s">
        <v>7</v>
      </c>
      <c r="D2447" s="1">
        <v>45672</v>
      </c>
      <c r="E2447">
        <v>49</v>
      </c>
      <c r="F2447">
        <v>0</v>
      </c>
      <c r="G2447">
        <f>IF(Gym_Expansion_Data[[#This Row],[Churned]]=0,1,0)</f>
        <v>1</v>
      </c>
      <c r="H2447" t="str">
        <f>IF(Gym_Expansion_Data[[#This Row],[Active Member]]=1,Gym_Expansion_Data[[#This Row],[Tier]],"Inactive")</f>
        <v>Basic</v>
      </c>
    </row>
    <row r="2448" spans="1:8" x14ac:dyDescent="0.2">
      <c r="A2448">
        <v>3447</v>
      </c>
      <c r="B2448" t="s">
        <v>6</v>
      </c>
      <c r="C2448" t="s">
        <v>8</v>
      </c>
      <c r="D2448" s="1">
        <v>45523</v>
      </c>
      <c r="E2448">
        <v>129</v>
      </c>
      <c r="F2448">
        <v>0</v>
      </c>
      <c r="G2448">
        <f>IF(Gym_Expansion_Data[[#This Row],[Churned]]=0,1,0)</f>
        <v>1</v>
      </c>
      <c r="H2448" t="str">
        <f>IF(Gym_Expansion_Data[[#This Row],[Active Member]]=1,Gym_Expansion_Data[[#This Row],[Tier]],"Inactive")</f>
        <v>Elite</v>
      </c>
    </row>
    <row r="2449" spans="1:8" x14ac:dyDescent="0.2">
      <c r="A2449">
        <v>3448</v>
      </c>
      <c r="B2449" t="s">
        <v>11</v>
      </c>
      <c r="C2449" t="s">
        <v>12</v>
      </c>
      <c r="D2449" s="1">
        <v>45904</v>
      </c>
      <c r="E2449">
        <v>89</v>
      </c>
      <c r="F2449">
        <v>1</v>
      </c>
      <c r="G2449">
        <f>IF(Gym_Expansion_Data[[#This Row],[Churned]]=0,1,0)</f>
        <v>0</v>
      </c>
      <c r="H2449" t="str">
        <f>IF(Gym_Expansion_Data[[#This Row],[Active Member]]=1,Gym_Expansion_Data[[#This Row],[Tier]],"Inactive")</f>
        <v>Inactive</v>
      </c>
    </row>
    <row r="2450" spans="1:8" x14ac:dyDescent="0.2">
      <c r="A2450">
        <v>3449</v>
      </c>
      <c r="B2450" t="s">
        <v>9</v>
      </c>
      <c r="C2450" t="s">
        <v>7</v>
      </c>
      <c r="D2450" s="1">
        <v>45558</v>
      </c>
      <c r="E2450">
        <v>49</v>
      </c>
      <c r="F2450">
        <v>0</v>
      </c>
      <c r="G2450">
        <f>IF(Gym_Expansion_Data[[#This Row],[Churned]]=0,1,0)</f>
        <v>1</v>
      </c>
      <c r="H2450" t="str">
        <f>IF(Gym_Expansion_Data[[#This Row],[Active Member]]=1,Gym_Expansion_Data[[#This Row],[Tier]],"Inactive")</f>
        <v>Basic</v>
      </c>
    </row>
    <row r="2451" spans="1:8" x14ac:dyDescent="0.2">
      <c r="A2451">
        <v>3450</v>
      </c>
      <c r="B2451" t="s">
        <v>9</v>
      </c>
      <c r="C2451" t="s">
        <v>8</v>
      </c>
      <c r="D2451" s="1">
        <v>45860</v>
      </c>
      <c r="E2451">
        <v>129</v>
      </c>
      <c r="F2451">
        <v>0</v>
      </c>
      <c r="G2451">
        <f>IF(Gym_Expansion_Data[[#This Row],[Churned]]=0,1,0)</f>
        <v>1</v>
      </c>
      <c r="H2451" t="str">
        <f>IF(Gym_Expansion_Data[[#This Row],[Active Member]]=1,Gym_Expansion_Data[[#This Row],[Tier]],"Inactive")</f>
        <v>Elite</v>
      </c>
    </row>
    <row r="2452" spans="1:8" x14ac:dyDescent="0.2">
      <c r="A2452">
        <v>3451</v>
      </c>
      <c r="B2452" t="s">
        <v>9</v>
      </c>
      <c r="C2452" t="s">
        <v>7</v>
      </c>
      <c r="D2452" s="1">
        <v>45601</v>
      </c>
      <c r="E2452">
        <v>49</v>
      </c>
      <c r="F2452">
        <v>0</v>
      </c>
      <c r="G2452">
        <f>IF(Gym_Expansion_Data[[#This Row],[Churned]]=0,1,0)</f>
        <v>1</v>
      </c>
      <c r="H2452" t="str">
        <f>IF(Gym_Expansion_Data[[#This Row],[Active Member]]=1,Gym_Expansion_Data[[#This Row],[Tier]],"Inactive")</f>
        <v>Basic</v>
      </c>
    </row>
    <row r="2453" spans="1:8" x14ac:dyDescent="0.2">
      <c r="A2453">
        <v>3452</v>
      </c>
      <c r="B2453" t="s">
        <v>10</v>
      </c>
      <c r="C2453" t="s">
        <v>7</v>
      </c>
      <c r="D2453" s="1">
        <v>45398</v>
      </c>
      <c r="E2453">
        <v>49</v>
      </c>
      <c r="F2453">
        <v>0</v>
      </c>
      <c r="G2453">
        <f>IF(Gym_Expansion_Data[[#This Row],[Churned]]=0,1,0)</f>
        <v>1</v>
      </c>
      <c r="H2453" t="str">
        <f>IF(Gym_Expansion_Data[[#This Row],[Active Member]]=1,Gym_Expansion_Data[[#This Row],[Tier]],"Inactive")</f>
        <v>Basic</v>
      </c>
    </row>
    <row r="2454" spans="1:8" x14ac:dyDescent="0.2">
      <c r="A2454">
        <v>3453</v>
      </c>
      <c r="B2454" t="s">
        <v>11</v>
      </c>
      <c r="C2454" t="s">
        <v>7</v>
      </c>
      <c r="D2454" s="1">
        <v>45801</v>
      </c>
      <c r="E2454">
        <v>49</v>
      </c>
      <c r="F2454">
        <v>0</v>
      </c>
      <c r="G2454">
        <f>IF(Gym_Expansion_Data[[#This Row],[Churned]]=0,1,0)</f>
        <v>1</v>
      </c>
      <c r="H2454" t="str">
        <f>IF(Gym_Expansion_Data[[#This Row],[Active Member]]=1,Gym_Expansion_Data[[#This Row],[Tier]],"Inactive")</f>
        <v>Basic</v>
      </c>
    </row>
    <row r="2455" spans="1:8" x14ac:dyDescent="0.2">
      <c r="A2455">
        <v>3454</v>
      </c>
      <c r="B2455" t="s">
        <v>11</v>
      </c>
      <c r="C2455" t="s">
        <v>12</v>
      </c>
      <c r="D2455" s="1">
        <v>45633</v>
      </c>
      <c r="E2455">
        <v>89</v>
      </c>
      <c r="F2455">
        <v>0</v>
      </c>
      <c r="G2455">
        <f>IF(Gym_Expansion_Data[[#This Row],[Churned]]=0,1,0)</f>
        <v>1</v>
      </c>
      <c r="H2455" t="str">
        <f>IF(Gym_Expansion_Data[[#This Row],[Active Member]]=1,Gym_Expansion_Data[[#This Row],[Tier]],"Inactive")</f>
        <v>Premium</v>
      </c>
    </row>
    <row r="2456" spans="1:8" x14ac:dyDescent="0.2">
      <c r="A2456">
        <v>3455</v>
      </c>
      <c r="B2456" t="s">
        <v>11</v>
      </c>
      <c r="C2456" t="s">
        <v>12</v>
      </c>
      <c r="D2456" s="1">
        <v>45300</v>
      </c>
      <c r="E2456">
        <v>89</v>
      </c>
      <c r="F2456">
        <v>0</v>
      </c>
      <c r="G2456">
        <f>IF(Gym_Expansion_Data[[#This Row],[Churned]]=0,1,0)</f>
        <v>1</v>
      </c>
      <c r="H2456" t="str">
        <f>IF(Gym_Expansion_Data[[#This Row],[Active Member]]=1,Gym_Expansion_Data[[#This Row],[Tier]],"Inactive")</f>
        <v>Premium</v>
      </c>
    </row>
    <row r="2457" spans="1:8" x14ac:dyDescent="0.2">
      <c r="A2457">
        <v>3456</v>
      </c>
      <c r="B2457" t="s">
        <v>9</v>
      </c>
      <c r="C2457" t="s">
        <v>8</v>
      </c>
      <c r="D2457" s="1">
        <v>45839</v>
      </c>
      <c r="E2457">
        <v>129</v>
      </c>
      <c r="F2457">
        <v>0</v>
      </c>
      <c r="G2457">
        <f>IF(Gym_Expansion_Data[[#This Row],[Churned]]=0,1,0)</f>
        <v>1</v>
      </c>
      <c r="H2457" t="str">
        <f>IF(Gym_Expansion_Data[[#This Row],[Active Member]]=1,Gym_Expansion_Data[[#This Row],[Tier]],"Inactive")</f>
        <v>Elite</v>
      </c>
    </row>
    <row r="2458" spans="1:8" x14ac:dyDescent="0.2">
      <c r="A2458">
        <v>3457</v>
      </c>
      <c r="B2458" t="s">
        <v>10</v>
      </c>
      <c r="C2458" t="s">
        <v>7</v>
      </c>
      <c r="D2458" s="1">
        <v>45625</v>
      </c>
      <c r="E2458">
        <v>49</v>
      </c>
      <c r="F2458">
        <v>0</v>
      </c>
      <c r="G2458">
        <f>IF(Gym_Expansion_Data[[#This Row],[Churned]]=0,1,0)</f>
        <v>1</v>
      </c>
      <c r="H2458" t="str">
        <f>IF(Gym_Expansion_Data[[#This Row],[Active Member]]=1,Gym_Expansion_Data[[#This Row],[Tier]],"Inactive")</f>
        <v>Basic</v>
      </c>
    </row>
    <row r="2459" spans="1:8" x14ac:dyDescent="0.2">
      <c r="A2459">
        <v>3458</v>
      </c>
      <c r="B2459" t="s">
        <v>10</v>
      </c>
      <c r="C2459" t="s">
        <v>7</v>
      </c>
      <c r="D2459" s="1">
        <v>45750</v>
      </c>
      <c r="E2459">
        <v>49</v>
      </c>
      <c r="F2459">
        <v>0</v>
      </c>
      <c r="G2459">
        <f>IF(Gym_Expansion_Data[[#This Row],[Churned]]=0,1,0)</f>
        <v>1</v>
      </c>
      <c r="H2459" t="str">
        <f>IF(Gym_Expansion_Data[[#This Row],[Active Member]]=1,Gym_Expansion_Data[[#This Row],[Tier]],"Inactive")</f>
        <v>Basic</v>
      </c>
    </row>
    <row r="2460" spans="1:8" x14ac:dyDescent="0.2">
      <c r="A2460">
        <v>3459</v>
      </c>
      <c r="B2460" t="s">
        <v>10</v>
      </c>
      <c r="C2460" t="s">
        <v>8</v>
      </c>
      <c r="D2460" s="1">
        <v>45369</v>
      </c>
      <c r="E2460">
        <v>129</v>
      </c>
      <c r="F2460">
        <v>1</v>
      </c>
      <c r="G2460">
        <f>IF(Gym_Expansion_Data[[#This Row],[Churned]]=0,1,0)</f>
        <v>0</v>
      </c>
      <c r="H2460" t="str">
        <f>IF(Gym_Expansion_Data[[#This Row],[Active Member]]=1,Gym_Expansion_Data[[#This Row],[Tier]],"Inactive")</f>
        <v>Inactive</v>
      </c>
    </row>
    <row r="2461" spans="1:8" x14ac:dyDescent="0.2">
      <c r="A2461">
        <v>3460</v>
      </c>
      <c r="B2461" t="s">
        <v>11</v>
      </c>
      <c r="C2461" t="s">
        <v>8</v>
      </c>
      <c r="D2461" s="1">
        <v>45567</v>
      </c>
      <c r="E2461">
        <v>129</v>
      </c>
      <c r="F2461">
        <v>0</v>
      </c>
      <c r="G2461">
        <f>IF(Gym_Expansion_Data[[#This Row],[Churned]]=0,1,0)</f>
        <v>1</v>
      </c>
      <c r="H2461" t="str">
        <f>IF(Gym_Expansion_Data[[#This Row],[Active Member]]=1,Gym_Expansion_Data[[#This Row],[Tier]],"Inactive")</f>
        <v>Elite</v>
      </c>
    </row>
    <row r="2462" spans="1:8" x14ac:dyDescent="0.2">
      <c r="A2462">
        <v>3461</v>
      </c>
      <c r="B2462" t="s">
        <v>9</v>
      </c>
      <c r="C2462" t="s">
        <v>7</v>
      </c>
      <c r="D2462" s="1">
        <v>45739</v>
      </c>
      <c r="E2462">
        <v>49</v>
      </c>
      <c r="F2462">
        <v>1</v>
      </c>
      <c r="G2462">
        <f>IF(Gym_Expansion_Data[[#This Row],[Churned]]=0,1,0)</f>
        <v>0</v>
      </c>
      <c r="H2462" t="str">
        <f>IF(Gym_Expansion_Data[[#This Row],[Active Member]]=1,Gym_Expansion_Data[[#This Row],[Tier]],"Inactive")</f>
        <v>Inactive</v>
      </c>
    </row>
    <row r="2463" spans="1:8" x14ac:dyDescent="0.2">
      <c r="A2463">
        <v>3462</v>
      </c>
      <c r="B2463" t="s">
        <v>11</v>
      </c>
      <c r="C2463" t="s">
        <v>7</v>
      </c>
      <c r="D2463" s="1">
        <v>45760</v>
      </c>
      <c r="E2463">
        <v>49</v>
      </c>
      <c r="F2463">
        <v>0</v>
      </c>
      <c r="G2463">
        <f>IF(Gym_Expansion_Data[[#This Row],[Churned]]=0,1,0)</f>
        <v>1</v>
      </c>
      <c r="H2463" t="str">
        <f>IF(Gym_Expansion_Data[[#This Row],[Active Member]]=1,Gym_Expansion_Data[[#This Row],[Tier]],"Inactive")</f>
        <v>Basic</v>
      </c>
    </row>
    <row r="2464" spans="1:8" x14ac:dyDescent="0.2">
      <c r="A2464">
        <v>3463</v>
      </c>
      <c r="B2464" t="s">
        <v>11</v>
      </c>
      <c r="C2464" t="s">
        <v>7</v>
      </c>
      <c r="D2464" s="1">
        <v>45503</v>
      </c>
      <c r="E2464">
        <v>49</v>
      </c>
      <c r="F2464">
        <v>1</v>
      </c>
      <c r="G2464">
        <f>IF(Gym_Expansion_Data[[#This Row],[Churned]]=0,1,0)</f>
        <v>0</v>
      </c>
      <c r="H2464" t="str">
        <f>IF(Gym_Expansion_Data[[#This Row],[Active Member]]=1,Gym_Expansion_Data[[#This Row],[Tier]],"Inactive")</f>
        <v>Inactive</v>
      </c>
    </row>
    <row r="2465" spans="1:8" x14ac:dyDescent="0.2">
      <c r="A2465">
        <v>3464</v>
      </c>
      <c r="B2465" t="s">
        <v>11</v>
      </c>
      <c r="C2465" t="s">
        <v>12</v>
      </c>
      <c r="D2465" s="1">
        <v>45917</v>
      </c>
      <c r="E2465">
        <v>89</v>
      </c>
      <c r="F2465">
        <v>0</v>
      </c>
      <c r="G2465">
        <f>IF(Gym_Expansion_Data[[#This Row],[Churned]]=0,1,0)</f>
        <v>1</v>
      </c>
      <c r="H2465" t="str">
        <f>IF(Gym_Expansion_Data[[#This Row],[Active Member]]=1,Gym_Expansion_Data[[#This Row],[Tier]],"Inactive")</f>
        <v>Premium</v>
      </c>
    </row>
    <row r="2466" spans="1:8" x14ac:dyDescent="0.2">
      <c r="A2466">
        <v>3465</v>
      </c>
      <c r="B2466" t="s">
        <v>10</v>
      </c>
      <c r="C2466" t="s">
        <v>8</v>
      </c>
      <c r="D2466" s="1">
        <v>45779</v>
      </c>
      <c r="E2466">
        <v>129</v>
      </c>
      <c r="F2466">
        <v>0</v>
      </c>
      <c r="G2466">
        <f>IF(Gym_Expansion_Data[[#This Row],[Churned]]=0,1,0)</f>
        <v>1</v>
      </c>
      <c r="H2466" t="str">
        <f>IF(Gym_Expansion_Data[[#This Row],[Active Member]]=1,Gym_Expansion_Data[[#This Row],[Tier]],"Inactive")</f>
        <v>Elite</v>
      </c>
    </row>
    <row r="2467" spans="1:8" x14ac:dyDescent="0.2">
      <c r="A2467">
        <v>3466</v>
      </c>
      <c r="B2467" t="s">
        <v>11</v>
      </c>
      <c r="C2467" t="s">
        <v>12</v>
      </c>
      <c r="D2467" s="1">
        <v>45417</v>
      </c>
      <c r="E2467">
        <v>89</v>
      </c>
      <c r="F2467">
        <v>0</v>
      </c>
      <c r="G2467">
        <f>IF(Gym_Expansion_Data[[#This Row],[Churned]]=0,1,0)</f>
        <v>1</v>
      </c>
      <c r="H2467" t="str">
        <f>IF(Gym_Expansion_Data[[#This Row],[Active Member]]=1,Gym_Expansion_Data[[#This Row],[Tier]],"Inactive")</f>
        <v>Premium</v>
      </c>
    </row>
    <row r="2468" spans="1:8" x14ac:dyDescent="0.2">
      <c r="A2468">
        <v>3467</v>
      </c>
      <c r="B2468" t="s">
        <v>6</v>
      </c>
      <c r="C2468" t="s">
        <v>8</v>
      </c>
      <c r="D2468" s="1">
        <v>45541</v>
      </c>
      <c r="E2468">
        <v>129</v>
      </c>
      <c r="F2468">
        <v>0</v>
      </c>
      <c r="G2468">
        <f>IF(Gym_Expansion_Data[[#This Row],[Churned]]=0,1,0)</f>
        <v>1</v>
      </c>
      <c r="H2468" t="str">
        <f>IF(Gym_Expansion_Data[[#This Row],[Active Member]]=1,Gym_Expansion_Data[[#This Row],[Tier]],"Inactive")</f>
        <v>Elite</v>
      </c>
    </row>
    <row r="2469" spans="1:8" x14ac:dyDescent="0.2">
      <c r="A2469">
        <v>3468</v>
      </c>
      <c r="B2469" t="s">
        <v>9</v>
      </c>
      <c r="C2469" t="s">
        <v>7</v>
      </c>
      <c r="D2469" s="1">
        <v>45848</v>
      </c>
      <c r="E2469">
        <v>49</v>
      </c>
      <c r="F2469">
        <v>0</v>
      </c>
      <c r="G2469">
        <f>IF(Gym_Expansion_Data[[#This Row],[Churned]]=0,1,0)</f>
        <v>1</v>
      </c>
      <c r="H2469" t="str">
        <f>IF(Gym_Expansion_Data[[#This Row],[Active Member]]=1,Gym_Expansion_Data[[#This Row],[Tier]],"Inactive")</f>
        <v>Basic</v>
      </c>
    </row>
    <row r="2470" spans="1:8" x14ac:dyDescent="0.2">
      <c r="A2470">
        <v>3469</v>
      </c>
      <c r="B2470" t="s">
        <v>11</v>
      </c>
      <c r="C2470" t="s">
        <v>7</v>
      </c>
      <c r="D2470" s="1">
        <v>45485</v>
      </c>
      <c r="E2470">
        <v>49</v>
      </c>
      <c r="F2470">
        <v>0</v>
      </c>
      <c r="G2470">
        <f>IF(Gym_Expansion_Data[[#This Row],[Churned]]=0,1,0)</f>
        <v>1</v>
      </c>
      <c r="H2470" t="str">
        <f>IF(Gym_Expansion_Data[[#This Row],[Active Member]]=1,Gym_Expansion_Data[[#This Row],[Tier]],"Inactive")</f>
        <v>Basic</v>
      </c>
    </row>
    <row r="2471" spans="1:8" x14ac:dyDescent="0.2">
      <c r="A2471">
        <v>3470</v>
      </c>
      <c r="B2471" t="s">
        <v>10</v>
      </c>
      <c r="C2471" t="s">
        <v>7</v>
      </c>
      <c r="D2471" s="1">
        <v>45948</v>
      </c>
      <c r="E2471">
        <v>49</v>
      </c>
      <c r="F2471">
        <v>0</v>
      </c>
      <c r="G2471">
        <f>IF(Gym_Expansion_Data[[#This Row],[Churned]]=0,1,0)</f>
        <v>1</v>
      </c>
      <c r="H2471" t="str">
        <f>IF(Gym_Expansion_Data[[#This Row],[Active Member]]=1,Gym_Expansion_Data[[#This Row],[Tier]],"Inactive")</f>
        <v>Basic</v>
      </c>
    </row>
    <row r="2472" spans="1:8" x14ac:dyDescent="0.2">
      <c r="A2472">
        <v>3471</v>
      </c>
      <c r="B2472" t="s">
        <v>6</v>
      </c>
      <c r="C2472" t="s">
        <v>12</v>
      </c>
      <c r="D2472" s="1">
        <v>45331</v>
      </c>
      <c r="E2472">
        <v>89</v>
      </c>
      <c r="F2472">
        <v>0</v>
      </c>
      <c r="G2472">
        <f>IF(Gym_Expansion_Data[[#This Row],[Churned]]=0,1,0)</f>
        <v>1</v>
      </c>
      <c r="H2472" t="str">
        <f>IF(Gym_Expansion_Data[[#This Row],[Active Member]]=1,Gym_Expansion_Data[[#This Row],[Tier]],"Inactive")</f>
        <v>Premium</v>
      </c>
    </row>
    <row r="2473" spans="1:8" x14ac:dyDescent="0.2">
      <c r="A2473">
        <v>3472</v>
      </c>
      <c r="B2473" t="s">
        <v>10</v>
      </c>
      <c r="C2473" t="s">
        <v>8</v>
      </c>
      <c r="D2473" s="1">
        <v>45556</v>
      </c>
      <c r="E2473">
        <v>129</v>
      </c>
      <c r="F2473">
        <v>0</v>
      </c>
      <c r="G2473">
        <f>IF(Gym_Expansion_Data[[#This Row],[Churned]]=0,1,0)</f>
        <v>1</v>
      </c>
      <c r="H2473" t="str">
        <f>IF(Gym_Expansion_Data[[#This Row],[Active Member]]=1,Gym_Expansion_Data[[#This Row],[Tier]],"Inactive")</f>
        <v>Elite</v>
      </c>
    </row>
    <row r="2474" spans="1:8" x14ac:dyDescent="0.2">
      <c r="A2474">
        <v>3473</v>
      </c>
      <c r="B2474" t="s">
        <v>11</v>
      </c>
      <c r="C2474" t="s">
        <v>12</v>
      </c>
      <c r="D2474" s="1">
        <v>45651</v>
      </c>
      <c r="E2474">
        <v>89</v>
      </c>
      <c r="F2474">
        <v>0</v>
      </c>
      <c r="G2474">
        <f>IF(Gym_Expansion_Data[[#This Row],[Churned]]=0,1,0)</f>
        <v>1</v>
      </c>
      <c r="H2474" t="str">
        <f>IF(Gym_Expansion_Data[[#This Row],[Active Member]]=1,Gym_Expansion_Data[[#This Row],[Tier]],"Inactive")</f>
        <v>Premium</v>
      </c>
    </row>
    <row r="2475" spans="1:8" x14ac:dyDescent="0.2">
      <c r="A2475">
        <v>3474</v>
      </c>
      <c r="B2475" t="s">
        <v>6</v>
      </c>
      <c r="C2475" t="s">
        <v>12</v>
      </c>
      <c r="D2475" s="1">
        <v>45757</v>
      </c>
      <c r="E2475">
        <v>89</v>
      </c>
      <c r="F2475">
        <v>0</v>
      </c>
      <c r="G2475">
        <f>IF(Gym_Expansion_Data[[#This Row],[Churned]]=0,1,0)</f>
        <v>1</v>
      </c>
      <c r="H2475" t="str">
        <f>IF(Gym_Expansion_Data[[#This Row],[Active Member]]=1,Gym_Expansion_Data[[#This Row],[Tier]],"Inactive")</f>
        <v>Premium</v>
      </c>
    </row>
    <row r="2476" spans="1:8" x14ac:dyDescent="0.2">
      <c r="A2476">
        <v>3475</v>
      </c>
      <c r="B2476" t="s">
        <v>11</v>
      </c>
      <c r="C2476" t="s">
        <v>7</v>
      </c>
      <c r="D2476" s="1">
        <v>45576</v>
      </c>
      <c r="E2476">
        <v>49</v>
      </c>
      <c r="F2476">
        <v>0</v>
      </c>
      <c r="G2476">
        <f>IF(Gym_Expansion_Data[[#This Row],[Churned]]=0,1,0)</f>
        <v>1</v>
      </c>
      <c r="H2476" t="str">
        <f>IF(Gym_Expansion_Data[[#This Row],[Active Member]]=1,Gym_Expansion_Data[[#This Row],[Tier]],"Inactive")</f>
        <v>Basic</v>
      </c>
    </row>
    <row r="2477" spans="1:8" x14ac:dyDescent="0.2">
      <c r="A2477">
        <v>3476</v>
      </c>
      <c r="B2477" t="s">
        <v>9</v>
      </c>
      <c r="C2477" t="s">
        <v>7</v>
      </c>
      <c r="D2477" s="1">
        <v>45470</v>
      </c>
      <c r="E2477">
        <v>49</v>
      </c>
      <c r="F2477">
        <v>0</v>
      </c>
      <c r="G2477">
        <f>IF(Gym_Expansion_Data[[#This Row],[Churned]]=0,1,0)</f>
        <v>1</v>
      </c>
      <c r="H2477" t="str">
        <f>IF(Gym_Expansion_Data[[#This Row],[Active Member]]=1,Gym_Expansion_Data[[#This Row],[Tier]],"Inactive")</f>
        <v>Basic</v>
      </c>
    </row>
    <row r="2478" spans="1:8" x14ac:dyDescent="0.2">
      <c r="A2478">
        <v>3477</v>
      </c>
      <c r="B2478" t="s">
        <v>11</v>
      </c>
      <c r="C2478" t="s">
        <v>12</v>
      </c>
      <c r="D2478" s="1">
        <v>45896</v>
      </c>
      <c r="E2478">
        <v>89</v>
      </c>
      <c r="F2478">
        <v>0</v>
      </c>
      <c r="G2478">
        <f>IF(Gym_Expansion_Data[[#This Row],[Churned]]=0,1,0)</f>
        <v>1</v>
      </c>
      <c r="H2478" t="str">
        <f>IF(Gym_Expansion_Data[[#This Row],[Active Member]]=1,Gym_Expansion_Data[[#This Row],[Tier]],"Inactive")</f>
        <v>Premium</v>
      </c>
    </row>
    <row r="2479" spans="1:8" x14ac:dyDescent="0.2">
      <c r="A2479">
        <v>3478</v>
      </c>
      <c r="B2479" t="s">
        <v>9</v>
      </c>
      <c r="C2479" t="s">
        <v>8</v>
      </c>
      <c r="D2479" s="1">
        <v>45686</v>
      </c>
      <c r="E2479">
        <v>129</v>
      </c>
      <c r="F2479">
        <v>0</v>
      </c>
      <c r="G2479">
        <f>IF(Gym_Expansion_Data[[#This Row],[Churned]]=0,1,0)</f>
        <v>1</v>
      </c>
      <c r="H2479" t="str">
        <f>IF(Gym_Expansion_Data[[#This Row],[Active Member]]=1,Gym_Expansion_Data[[#This Row],[Tier]],"Inactive")</f>
        <v>Elite</v>
      </c>
    </row>
    <row r="2480" spans="1:8" x14ac:dyDescent="0.2">
      <c r="A2480">
        <v>3479</v>
      </c>
      <c r="B2480" t="s">
        <v>9</v>
      </c>
      <c r="C2480" t="s">
        <v>8</v>
      </c>
      <c r="D2480" s="1">
        <v>45857</v>
      </c>
      <c r="E2480">
        <v>129</v>
      </c>
      <c r="F2480">
        <v>0</v>
      </c>
      <c r="G2480">
        <f>IF(Gym_Expansion_Data[[#This Row],[Churned]]=0,1,0)</f>
        <v>1</v>
      </c>
      <c r="H2480" t="str">
        <f>IF(Gym_Expansion_Data[[#This Row],[Active Member]]=1,Gym_Expansion_Data[[#This Row],[Tier]],"Inactive")</f>
        <v>Elite</v>
      </c>
    </row>
    <row r="2481" spans="1:8" x14ac:dyDescent="0.2">
      <c r="A2481">
        <v>3480</v>
      </c>
      <c r="B2481" t="s">
        <v>10</v>
      </c>
      <c r="C2481" t="s">
        <v>8</v>
      </c>
      <c r="D2481" s="1">
        <v>45556</v>
      </c>
      <c r="E2481">
        <v>129</v>
      </c>
      <c r="F2481">
        <v>0</v>
      </c>
      <c r="G2481">
        <f>IF(Gym_Expansion_Data[[#This Row],[Churned]]=0,1,0)</f>
        <v>1</v>
      </c>
      <c r="H2481" t="str">
        <f>IF(Gym_Expansion_Data[[#This Row],[Active Member]]=1,Gym_Expansion_Data[[#This Row],[Tier]],"Inactive")</f>
        <v>Elite</v>
      </c>
    </row>
    <row r="2482" spans="1:8" x14ac:dyDescent="0.2">
      <c r="A2482">
        <v>3481</v>
      </c>
      <c r="B2482" t="s">
        <v>10</v>
      </c>
      <c r="C2482" t="s">
        <v>7</v>
      </c>
      <c r="D2482" s="1">
        <v>45416</v>
      </c>
      <c r="E2482">
        <v>49</v>
      </c>
      <c r="F2482">
        <v>0</v>
      </c>
      <c r="G2482">
        <f>IF(Gym_Expansion_Data[[#This Row],[Churned]]=0,1,0)</f>
        <v>1</v>
      </c>
      <c r="H2482" t="str">
        <f>IF(Gym_Expansion_Data[[#This Row],[Active Member]]=1,Gym_Expansion_Data[[#This Row],[Tier]],"Inactive")</f>
        <v>Basic</v>
      </c>
    </row>
    <row r="2483" spans="1:8" x14ac:dyDescent="0.2">
      <c r="A2483">
        <v>3482</v>
      </c>
      <c r="B2483" t="s">
        <v>6</v>
      </c>
      <c r="C2483" t="s">
        <v>7</v>
      </c>
      <c r="D2483" s="1">
        <v>45905</v>
      </c>
      <c r="E2483">
        <v>49</v>
      </c>
      <c r="F2483">
        <v>0</v>
      </c>
      <c r="G2483">
        <f>IF(Gym_Expansion_Data[[#This Row],[Churned]]=0,1,0)</f>
        <v>1</v>
      </c>
      <c r="H2483" t="str">
        <f>IF(Gym_Expansion_Data[[#This Row],[Active Member]]=1,Gym_Expansion_Data[[#This Row],[Tier]],"Inactive")</f>
        <v>Basic</v>
      </c>
    </row>
    <row r="2484" spans="1:8" x14ac:dyDescent="0.2">
      <c r="A2484">
        <v>3483</v>
      </c>
      <c r="B2484" t="s">
        <v>9</v>
      </c>
      <c r="C2484" t="s">
        <v>12</v>
      </c>
      <c r="D2484" s="1">
        <v>45970</v>
      </c>
      <c r="E2484">
        <v>89</v>
      </c>
      <c r="F2484">
        <v>0</v>
      </c>
      <c r="G2484">
        <f>IF(Gym_Expansion_Data[[#This Row],[Churned]]=0,1,0)</f>
        <v>1</v>
      </c>
      <c r="H2484" t="str">
        <f>IF(Gym_Expansion_Data[[#This Row],[Active Member]]=1,Gym_Expansion_Data[[#This Row],[Tier]],"Inactive")</f>
        <v>Premium</v>
      </c>
    </row>
    <row r="2485" spans="1:8" x14ac:dyDescent="0.2">
      <c r="A2485">
        <v>3484</v>
      </c>
      <c r="B2485" t="s">
        <v>9</v>
      </c>
      <c r="C2485" t="s">
        <v>12</v>
      </c>
      <c r="D2485" s="1">
        <v>45657</v>
      </c>
      <c r="E2485">
        <v>89</v>
      </c>
      <c r="F2485">
        <v>1</v>
      </c>
      <c r="G2485">
        <f>IF(Gym_Expansion_Data[[#This Row],[Churned]]=0,1,0)</f>
        <v>0</v>
      </c>
      <c r="H2485" t="str">
        <f>IF(Gym_Expansion_Data[[#This Row],[Active Member]]=1,Gym_Expansion_Data[[#This Row],[Tier]],"Inactive")</f>
        <v>Inactive</v>
      </c>
    </row>
    <row r="2486" spans="1:8" x14ac:dyDescent="0.2">
      <c r="A2486">
        <v>3485</v>
      </c>
      <c r="B2486" t="s">
        <v>11</v>
      </c>
      <c r="C2486" t="s">
        <v>7</v>
      </c>
      <c r="D2486" s="1">
        <v>45475</v>
      </c>
      <c r="E2486">
        <v>49</v>
      </c>
      <c r="F2486">
        <v>0</v>
      </c>
      <c r="G2486">
        <f>IF(Gym_Expansion_Data[[#This Row],[Churned]]=0,1,0)</f>
        <v>1</v>
      </c>
      <c r="H2486" t="str">
        <f>IF(Gym_Expansion_Data[[#This Row],[Active Member]]=1,Gym_Expansion_Data[[#This Row],[Tier]],"Inactive")</f>
        <v>Basic</v>
      </c>
    </row>
    <row r="2487" spans="1:8" x14ac:dyDescent="0.2">
      <c r="A2487">
        <v>3486</v>
      </c>
      <c r="B2487" t="s">
        <v>9</v>
      </c>
      <c r="C2487" t="s">
        <v>12</v>
      </c>
      <c r="D2487" s="1">
        <v>45330</v>
      </c>
      <c r="E2487">
        <v>89</v>
      </c>
      <c r="F2487">
        <v>0</v>
      </c>
      <c r="G2487">
        <f>IF(Gym_Expansion_Data[[#This Row],[Churned]]=0,1,0)</f>
        <v>1</v>
      </c>
      <c r="H2487" t="str">
        <f>IF(Gym_Expansion_Data[[#This Row],[Active Member]]=1,Gym_Expansion_Data[[#This Row],[Tier]],"Inactive")</f>
        <v>Premium</v>
      </c>
    </row>
    <row r="2488" spans="1:8" x14ac:dyDescent="0.2">
      <c r="A2488">
        <v>3487</v>
      </c>
      <c r="B2488" t="s">
        <v>9</v>
      </c>
      <c r="C2488" t="s">
        <v>12</v>
      </c>
      <c r="D2488" s="1">
        <v>45742</v>
      </c>
      <c r="E2488">
        <v>89</v>
      </c>
      <c r="F2488">
        <v>0</v>
      </c>
      <c r="G2488">
        <f>IF(Gym_Expansion_Data[[#This Row],[Churned]]=0,1,0)</f>
        <v>1</v>
      </c>
      <c r="H2488" t="str">
        <f>IF(Gym_Expansion_Data[[#This Row],[Active Member]]=1,Gym_Expansion_Data[[#This Row],[Tier]],"Inactive")</f>
        <v>Premium</v>
      </c>
    </row>
    <row r="2489" spans="1:8" x14ac:dyDescent="0.2">
      <c r="A2489">
        <v>3488</v>
      </c>
      <c r="B2489" t="s">
        <v>10</v>
      </c>
      <c r="C2489" t="s">
        <v>7</v>
      </c>
      <c r="D2489" s="1">
        <v>45919</v>
      </c>
      <c r="E2489">
        <v>49</v>
      </c>
      <c r="F2489">
        <v>1</v>
      </c>
      <c r="G2489">
        <f>IF(Gym_Expansion_Data[[#This Row],[Churned]]=0,1,0)</f>
        <v>0</v>
      </c>
      <c r="H2489" t="str">
        <f>IF(Gym_Expansion_Data[[#This Row],[Active Member]]=1,Gym_Expansion_Data[[#This Row],[Tier]],"Inactive")</f>
        <v>Inactive</v>
      </c>
    </row>
    <row r="2490" spans="1:8" x14ac:dyDescent="0.2">
      <c r="A2490">
        <v>3489</v>
      </c>
      <c r="B2490" t="s">
        <v>9</v>
      </c>
      <c r="C2490" t="s">
        <v>7</v>
      </c>
      <c r="D2490" s="1">
        <v>45933</v>
      </c>
      <c r="E2490">
        <v>49</v>
      </c>
      <c r="F2490">
        <v>0</v>
      </c>
      <c r="G2490">
        <f>IF(Gym_Expansion_Data[[#This Row],[Churned]]=0,1,0)</f>
        <v>1</v>
      </c>
      <c r="H2490" t="str">
        <f>IF(Gym_Expansion_Data[[#This Row],[Active Member]]=1,Gym_Expansion_Data[[#This Row],[Tier]],"Inactive")</f>
        <v>Basic</v>
      </c>
    </row>
    <row r="2491" spans="1:8" x14ac:dyDescent="0.2">
      <c r="A2491">
        <v>3490</v>
      </c>
      <c r="B2491" t="s">
        <v>9</v>
      </c>
      <c r="C2491" t="s">
        <v>7</v>
      </c>
      <c r="D2491" s="1">
        <v>45831</v>
      </c>
      <c r="E2491">
        <v>49</v>
      </c>
      <c r="F2491">
        <v>0</v>
      </c>
      <c r="G2491">
        <f>IF(Gym_Expansion_Data[[#This Row],[Churned]]=0,1,0)</f>
        <v>1</v>
      </c>
      <c r="H2491" t="str">
        <f>IF(Gym_Expansion_Data[[#This Row],[Active Member]]=1,Gym_Expansion_Data[[#This Row],[Tier]],"Inactive")</f>
        <v>Basic</v>
      </c>
    </row>
    <row r="2492" spans="1:8" x14ac:dyDescent="0.2">
      <c r="A2492">
        <v>3491</v>
      </c>
      <c r="B2492" t="s">
        <v>6</v>
      </c>
      <c r="C2492" t="s">
        <v>7</v>
      </c>
      <c r="D2492" s="1">
        <v>45527</v>
      </c>
      <c r="E2492">
        <v>49</v>
      </c>
      <c r="F2492">
        <v>0</v>
      </c>
      <c r="G2492">
        <f>IF(Gym_Expansion_Data[[#This Row],[Churned]]=0,1,0)</f>
        <v>1</v>
      </c>
      <c r="H2492" t="str">
        <f>IF(Gym_Expansion_Data[[#This Row],[Active Member]]=1,Gym_Expansion_Data[[#This Row],[Tier]],"Inactive")</f>
        <v>Basic</v>
      </c>
    </row>
    <row r="2493" spans="1:8" x14ac:dyDescent="0.2">
      <c r="A2493">
        <v>3492</v>
      </c>
      <c r="B2493" t="s">
        <v>10</v>
      </c>
      <c r="C2493" t="s">
        <v>7</v>
      </c>
      <c r="D2493" s="1">
        <v>45374</v>
      </c>
      <c r="E2493">
        <v>49</v>
      </c>
      <c r="F2493">
        <v>0</v>
      </c>
      <c r="G2493">
        <f>IF(Gym_Expansion_Data[[#This Row],[Churned]]=0,1,0)</f>
        <v>1</v>
      </c>
      <c r="H2493" t="str">
        <f>IF(Gym_Expansion_Data[[#This Row],[Active Member]]=1,Gym_Expansion_Data[[#This Row],[Tier]],"Inactive")</f>
        <v>Basic</v>
      </c>
    </row>
    <row r="2494" spans="1:8" x14ac:dyDescent="0.2">
      <c r="A2494">
        <v>3493</v>
      </c>
      <c r="B2494" t="s">
        <v>6</v>
      </c>
      <c r="C2494" t="s">
        <v>7</v>
      </c>
      <c r="D2494" s="1">
        <v>45638</v>
      </c>
      <c r="E2494">
        <v>49</v>
      </c>
      <c r="F2494">
        <v>0</v>
      </c>
      <c r="G2494">
        <f>IF(Gym_Expansion_Data[[#This Row],[Churned]]=0,1,0)</f>
        <v>1</v>
      </c>
      <c r="H2494" t="str">
        <f>IF(Gym_Expansion_Data[[#This Row],[Active Member]]=1,Gym_Expansion_Data[[#This Row],[Tier]],"Inactive")</f>
        <v>Basic</v>
      </c>
    </row>
    <row r="2495" spans="1:8" x14ac:dyDescent="0.2">
      <c r="A2495">
        <v>3494</v>
      </c>
      <c r="B2495" t="s">
        <v>6</v>
      </c>
      <c r="C2495" t="s">
        <v>7</v>
      </c>
      <c r="D2495" s="1">
        <v>45832</v>
      </c>
      <c r="E2495">
        <v>49</v>
      </c>
      <c r="F2495">
        <v>1</v>
      </c>
      <c r="G2495">
        <f>IF(Gym_Expansion_Data[[#This Row],[Churned]]=0,1,0)</f>
        <v>0</v>
      </c>
      <c r="H2495" t="str">
        <f>IF(Gym_Expansion_Data[[#This Row],[Active Member]]=1,Gym_Expansion_Data[[#This Row],[Tier]],"Inactive")</f>
        <v>Inactive</v>
      </c>
    </row>
    <row r="2496" spans="1:8" x14ac:dyDescent="0.2">
      <c r="A2496">
        <v>3495</v>
      </c>
      <c r="B2496" t="s">
        <v>6</v>
      </c>
      <c r="C2496" t="s">
        <v>12</v>
      </c>
      <c r="D2496" s="1">
        <v>45936</v>
      </c>
      <c r="E2496">
        <v>89</v>
      </c>
      <c r="F2496">
        <v>1</v>
      </c>
      <c r="G2496">
        <f>IF(Gym_Expansion_Data[[#This Row],[Churned]]=0,1,0)</f>
        <v>0</v>
      </c>
      <c r="H2496" t="str">
        <f>IF(Gym_Expansion_Data[[#This Row],[Active Member]]=1,Gym_Expansion_Data[[#This Row],[Tier]],"Inactive")</f>
        <v>Inactive</v>
      </c>
    </row>
    <row r="2497" spans="1:8" x14ac:dyDescent="0.2">
      <c r="A2497">
        <v>3496</v>
      </c>
      <c r="B2497" t="s">
        <v>9</v>
      </c>
      <c r="C2497" t="s">
        <v>7</v>
      </c>
      <c r="D2497" s="1">
        <v>45468</v>
      </c>
      <c r="E2497">
        <v>49</v>
      </c>
      <c r="F2497">
        <v>1</v>
      </c>
      <c r="G2497">
        <f>IF(Gym_Expansion_Data[[#This Row],[Churned]]=0,1,0)</f>
        <v>0</v>
      </c>
      <c r="H2497" t="str">
        <f>IF(Gym_Expansion_Data[[#This Row],[Active Member]]=1,Gym_Expansion_Data[[#This Row],[Tier]],"Inactive")</f>
        <v>Inactive</v>
      </c>
    </row>
    <row r="2498" spans="1:8" x14ac:dyDescent="0.2">
      <c r="A2498">
        <v>3497</v>
      </c>
      <c r="B2498" t="s">
        <v>11</v>
      </c>
      <c r="C2498" t="s">
        <v>7</v>
      </c>
      <c r="D2498" s="1">
        <v>45333</v>
      </c>
      <c r="E2498">
        <v>49</v>
      </c>
      <c r="F2498">
        <v>0</v>
      </c>
      <c r="G2498">
        <f>IF(Gym_Expansion_Data[[#This Row],[Churned]]=0,1,0)</f>
        <v>1</v>
      </c>
      <c r="H2498" t="str">
        <f>IF(Gym_Expansion_Data[[#This Row],[Active Member]]=1,Gym_Expansion_Data[[#This Row],[Tier]],"Inactive")</f>
        <v>Basic</v>
      </c>
    </row>
    <row r="2499" spans="1:8" x14ac:dyDescent="0.2">
      <c r="A2499">
        <v>3498</v>
      </c>
      <c r="B2499" t="s">
        <v>9</v>
      </c>
      <c r="C2499" t="s">
        <v>8</v>
      </c>
      <c r="D2499" s="1">
        <v>45885</v>
      </c>
      <c r="E2499">
        <v>129</v>
      </c>
      <c r="F2499">
        <v>0</v>
      </c>
      <c r="G2499">
        <f>IF(Gym_Expansion_Data[[#This Row],[Churned]]=0,1,0)</f>
        <v>1</v>
      </c>
      <c r="H2499" t="str">
        <f>IF(Gym_Expansion_Data[[#This Row],[Active Member]]=1,Gym_Expansion_Data[[#This Row],[Tier]],"Inactive")</f>
        <v>Elite</v>
      </c>
    </row>
    <row r="2500" spans="1:8" x14ac:dyDescent="0.2">
      <c r="A2500">
        <v>3499</v>
      </c>
      <c r="B2500" t="s">
        <v>11</v>
      </c>
      <c r="C2500" t="s">
        <v>12</v>
      </c>
      <c r="D2500" s="1">
        <v>45456</v>
      </c>
      <c r="E2500">
        <v>89</v>
      </c>
      <c r="F2500">
        <v>1</v>
      </c>
      <c r="G2500">
        <f>IF(Gym_Expansion_Data[[#This Row],[Churned]]=0,1,0)</f>
        <v>0</v>
      </c>
      <c r="H2500" t="str">
        <f>IF(Gym_Expansion_Data[[#This Row],[Active Member]]=1,Gym_Expansion_Data[[#This Row],[Tier]],"Inactive")</f>
        <v>Inactive</v>
      </c>
    </row>
    <row r="2501" spans="1:8" x14ac:dyDescent="0.2">
      <c r="A2501">
        <v>3500</v>
      </c>
      <c r="B2501" t="s">
        <v>10</v>
      </c>
      <c r="C2501" t="s">
        <v>7</v>
      </c>
      <c r="D2501" s="1">
        <v>45348</v>
      </c>
      <c r="E2501">
        <v>49</v>
      </c>
      <c r="F2501">
        <v>0</v>
      </c>
      <c r="G2501">
        <f>IF(Gym_Expansion_Data[[#This Row],[Churned]]=0,1,0)</f>
        <v>1</v>
      </c>
      <c r="H2501" t="str">
        <f>IF(Gym_Expansion_Data[[#This Row],[Active Member]]=1,Gym_Expansion_Data[[#This Row],[Tier]],"Inactive")</f>
        <v>Basic</v>
      </c>
    </row>
    <row r="2502" spans="1:8" x14ac:dyDescent="0.2">
      <c r="D2502"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6A450-14EA-2F48-8DCA-9A1167B41112}">
  <dimension ref="A1:M43"/>
  <sheetViews>
    <sheetView topLeftCell="A3" workbookViewId="0">
      <selection activeCell="F37" sqref="F37"/>
    </sheetView>
  </sheetViews>
  <sheetFormatPr baseColWidth="10" defaultRowHeight="16" x14ac:dyDescent="0.2"/>
  <cols>
    <col min="1" max="1" width="13.83203125" bestFit="1" customWidth="1"/>
    <col min="2" max="2" width="18.5" bestFit="1" customWidth="1"/>
    <col min="3" max="3" width="20.5" bestFit="1" customWidth="1"/>
    <col min="4" max="4" width="18.5" bestFit="1" customWidth="1"/>
    <col min="5" max="5" width="10.83203125" bestFit="1" customWidth="1"/>
    <col min="6" max="6" width="8.6640625" bestFit="1" customWidth="1"/>
    <col min="7" max="7" width="11.5" bestFit="1" customWidth="1"/>
    <col min="8" max="8" width="8.1640625" bestFit="1" customWidth="1"/>
    <col min="9" max="9" width="13.6640625" bestFit="1" customWidth="1"/>
    <col min="10" max="10" width="18.5" bestFit="1" customWidth="1"/>
    <col min="12" max="12" width="13.6640625" bestFit="1" customWidth="1"/>
    <col min="13" max="13" width="18.5" bestFit="1" customWidth="1"/>
    <col min="14" max="14" width="17.83203125" bestFit="1" customWidth="1"/>
    <col min="15" max="15" width="11.1640625" bestFit="1" customWidth="1"/>
  </cols>
  <sheetData>
    <row r="1" spans="1:13" x14ac:dyDescent="0.2">
      <c r="A1" s="3" t="s">
        <v>1</v>
      </c>
      <c r="B1" t="s">
        <v>18</v>
      </c>
      <c r="C1" t="s">
        <v>16</v>
      </c>
      <c r="D1" t="s">
        <v>19</v>
      </c>
    </row>
    <row r="2" spans="1:13" x14ac:dyDescent="0.2">
      <c r="A2" s="4" t="s">
        <v>10</v>
      </c>
      <c r="B2" s="49">
        <v>421</v>
      </c>
      <c r="C2" s="49">
        <v>72</v>
      </c>
      <c r="D2" s="49">
        <v>493</v>
      </c>
    </row>
    <row r="3" spans="1:13" x14ac:dyDescent="0.2">
      <c r="A3" s="4" t="s">
        <v>11</v>
      </c>
      <c r="B3" s="49">
        <v>530</v>
      </c>
      <c r="C3" s="49">
        <v>82</v>
      </c>
      <c r="D3" s="49">
        <v>612</v>
      </c>
    </row>
    <row r="4" spans="1:13" x14ac:dyDescent="0.2">
      <c r="A4" s="4" t="s">
        <v>9</v>
      </c>
      <c r="B4" s="49">
        <v>721</v>
      </c>
      <c r="C4" s="49">
        <v>169</v>
      </c>
      <c r="D4" s="49">
        <v>890</v>
      </c>
    </row>
    <row r="5" spans="1:13" x14ac:dyDescent="0.2">
      <c r="A5" s="4" t="s">
        <v>6</v>
      </c>
      <c r="B5" s="49">
        <v>451</v>
      </c>
      <c r="C5" s="49">
        <v>54</v>
      </c>
      <c r="D5" s="49">
        <v>505</v>
      </c>
      <c r="L5" s="7"/>
      <c r="M5" s="7"/>
    </row>
    <row r="6" spans="1:13" x14ac:dyDescent="0.2">
      <c r="A6" s="4" t="s">
        <v>13</v>
      </c>
      <c r="B6" s="49">
        <v>2123</v>
      </c>
      <c r="C6" s="49">
        <v>377</v>
      </c>
      <c r="D6" s="49">
        <v>2500</v>
      </c>
      <c r="L6" s="7"/>
      <c r="M6" s="7"/>
    </row>
    <row r="7" spans="1:13" x14ac:dyDescent="0.2">
      <c r="A7" s="4" t="s">
        <v>39</v>
      </c>
      <c r="B7">
        <f>GETPIVOTDATA("Sum of Active Member",$A$1)</f>
        <v>2123</v>
      </c>
      <c r="C7" s="5">
        <f>GETPIVOTDATA("Sum of Churned",$A$1)/GETPIVOTDATA("Count of Member_ID",$A$1)</f>
        <v>0.15079999999999999</v>
      </c>
      <c r="D7">
        <f>GETPIVOTDATA("Count of Member_ID",$A$1)</f>
        <v>2500</v>
      </c>
    </row>
    <row r="10" spans="1:13" x14ac:dyDescent="0.2">
      <c r="A10" s="31" t="s">
        <v>44</v>
      </c>
      <c r="I10" s="3" t="s">
        <v>17</v>
      </c>
      <c r="J10" t="s">
        <v>38</v>
      </c>
      <c r="L10" s="3" t="s">
        <v>17</v>
      </c>
      <c r="M10" t="s">
        <v>38</v>
      </c>
    </row>
    <row r="12" spans="1:13" x14ac:dyDescent="0.2">
      <c r="A12" s="3" t="s">
        <v>20</v>
      </c>
      <c r="B12" t="s">
        <v>19</v>
      </c>
      <c r="D12" t="s">
        <v>2</v>
      </c>
      <c r="E12" t="s">
        <v>41</v>
      </c>
      <c r="I12" s="3" t="s">
        <v>37</v>
      </c>
      <c r="J12" t="s">
        <v>14</v>
      </c>
      <c r="L12" s="3" t="s">
        <v>37</v>
      </c>
      <c r="M12" t="s">
        <v>14</v>
      </c>
    </row>
    <row r="13" spans="1:13" x14ac:dyDescent="0.2">
      <c r="A13" s="4" t="s">
        <v>7</v>
      </c>
      <c r="B13" s="49">
        <v>1217</v>
      </c>
      <c r="D13" t="s">
        <v>7</v>
      </c>
      <c r="E13">
        <v>49</v>
      </c>
      <c r="I13" s="4" t="s">
        <v>45</v>
      </c>
      <c r="J13" s="49">
        <v>102619</v>
      </c>
      <c r="L13" s="50" t="s">
        <v>46</v>
      </c>
      <c r="M13" s="49">
        <v>15315</v>
      </c>
    </row>
    <row r="14" spans="1:13" x14ac:dyDescent="0.2">
      <c r="A14" s="4" t="s">
        <v>8</v>
      </c>
      <c r="B14" s="49">
        <v>525</v>
      </c>
      <c r="D14" t="s">
        <v>8</v>
      </c>
      <c r="E14">
        <v>89</v>
      </c>
      <c r="I14" s="33" t="s">
        <v>46</v>
      </c>
      <c r="J14" s="49">
        <v>7771</v>
      </c>
      <c r="L14" s="50" t="s">
        <v>47</v>
      </c>
      <c r="M14" s="49">
        <v>30514</v>
      </c>
    </row>
    <row r="15" spans="1:13" x14ac:dyDescent="0.2">
      <c r="A15" s="4" t="s">
        <v>12</v>
      </c>
      <c r="B15" s="49">
        <v>758</v>
      </c>
      <c r="D15" t="s">
        <v>12</v>
      </c>
      <c r="E15">
        <v>129</v>
      </c>
      <c r="I15" s="33" t="s">
        <v>47</v>
      </c>
      <c r="J15" s="49">
        <v>9293</v>
      </c>
      <c r="L15" s="50" t="s">
        <v>48</v>
      </c>
      <c r="M15" s="49">
        <v>45932</v>
      </c>
    </row>
    <row r="16" spans="1:13" x14ac:dyDescent="0.2">
      <c r="A16" s="4" t="s">
        <v>13</v>
      </c>
      <c r="B16" s="49">
        <v>2500</v>
      </c>
      <c r="I16" s="33" t="s">
        <v>48</v>
      </c>
      <c r="J16" s="49">
        <v>6971</v>
      </c>
      <c r="L16" s="50" t="s">
        <v>49</v>
      </c>
      <c r="M16" s="49">
        <v>62280</v>
      </c>
    </row>
    <row r="17" spans="1:13" x14ac:dyDescent="0.2">
      <c r="I17" s="33" t="s">
        <v>49</v>
      </c>
      <c r="J17" s="49">
        <v>7206</v>
      </c>
      <c r="L17" s="50" t="s">
        <v>50</v>
      </c>
      <c r="M17" s="49">
        <v>81084</v>
      </c>
    </row>
    <row r="18" spans="1:13" x14ac:dyDescent="0.2">
      <c r="I18" s="33" t="s">
        <v>50</v>
      </c>
      <c r="J18" s="49">
        <v>8416</v>
      </c>
      <c r="L18" s="50" t="s">
        <v>51</v>
      </c>
      <c r="M18" s="49">
        <v>96689</v>
      </c>
    </row>
    <row r="19" spans="1:13" x14ac:dyDescent="0.2">
      <c r="I19" s="33" t="s">
        <v>51</v>
      </c>
      <c r="J19" s="49">
        <v>8439</v>
      </c>
      <c r="L19" s="50" t="s">
        <v>52</v>
      </c>
      <c r="M19" s="49">
        <v>115908</v>
      </c>
    </row>
    <row r="20" spans="1:13" x14ac:dyDescent="0.2">
      <c r="A20" s="32" t="s">
        <v>42</v>
      </c>
      <c r="I20" s="33" t="s">
        <v>52</v>
      </c>
      <c r="J20" s="49">
        <v>10108</v>
      </c>
      <c r="L20" s="50" t="s">
        <v>53</v>
      </c>
      <c r="M20" s="49">
        <v>133511</v>
      </c>
    </row>
    <row r="21" spans="1:13" x14ac:dyDescent="0.2">
      <c r="I21" s="33" t="s">
        <v>53</v>
      </c>
      <c r="J21" s="49">
        <v>8849</v>
      </c>
      <c r="L21" s="50" t="s">
        <v>54</v>
      </c>
      <c r="M21" s="49">
        <v>151207</v>
      </c>
    </row>
    <row r="22" spans="1:13" x14ac:dyDescent="0.2">
      <c r="A22" s="3" t="s">
        <v>17</v>
      </c>
      <c r="B22" s="4">
        <v>1</v>
      </c>
      <c r="I22" s="33" t="s">
        <v>54</v>
      </c>
      <c r="J22" s="49">
        <v>9444</v>
      </c>
      <c r="L22" s="50" t="s">
        <v>55</v>
      </c>
      <c r="M22" s="49">
        <v>170074</v>
      </c>
    </row>
    <row r="23" spans="1:13" x14ac:dyDescent="0.2">
      <c r="I23" s="33" t="s">
        <v>55</v>
      </c>
      <c r="J23" s="49">
        <v>8488</v>
      </c>
      <c r="L23" s="50" t="s">
        <v>56</v>
      </c>
      <c r="M23" s="49">
        <v>185140</v>
      </c>
    </row>
    <row r="24" spans="1:13" x14ac:dyDescent="0.2">
      <c r="A24" s="3" t="s">
        <v>14</v>
      </c>
      <c r="B24" s="3" t="s">
        <v>32</v>
      </c>
      <c r="I24" s="33" t="s">
        <v>56</v>
      </c>
      <c r="J24" s="49">
        <v>8528</v>
      </c>
      <c r="L24" s="50" t="s">
        <v>57</v>
      </c>
      <c r="M24" s="49">
        <v>194820</v>
      </c>
    </row>
    <row r="25" spans="1:13" x14ac:dyDescent="0.2">
      <c r="A25" s="3" t="s">
        <v>33</v>
      </c>
      <c r="B25" t="s">
        <v>7</v>
      </c>
      <c r="C25" t="s">
        <v>8</v>
      </c>
      <c r="D25" t="s">
        <v>12</v>
      </c>
      <c r="E25" t="s">
        <v>13</v>
      </c>
      <c r="I25" s="33" t="s">
        <v>57</v>
      </c>
      <c r="J25" s="49">
        <v>9106</v>
      </c>
      <c r="L25" s="50" t="s">
        <v>13</v>
      </c>
      <c r="M25" s="49"/>
    </row>
    <row r="26" spans="1:13" x14ac:dyDescent="0.2">
      <c r="A26" s="4" t="s">
        <v>10</v>
      </c>
      <c r="B26" s="49">
        <v>10584</v>
      </c>
      <c r="C26" s="49">
        <v>10578</v>
      </c>
      <c r="D26" s="49">
        <v>10947</v>
      </c>
      <c r="E26" s="49">
        <v>32109</v>
      </c>
      <c r="H26" s="30"/>
      <c r="I26" s="4" t="s">
        <v>58</v>
      </c>
      <c r="J26" s="49">
        <v>92201</v>
      </c>
    </row>
    <row r="27" spans="1:13" x14ac:dyDescent="0.2">
      <c r="A27" s="4" t="s">
        <v>11</v>
      </c>
      <c r="B27" s="49">
        <v>11809</v>
      </c>
      <c r="C27" s="49">
        <v>14190</v>
      </c>
      <c r="D27" s="49">
        <v>15931</v>
      </c>
      <c r="E27" s="49">
        <v>41930</v>
      </c>
      <c r="I27" s="33" t="s">
        <v>46</v>
      </c>
      <c r="J27" s="49">
        <v>7544</v>
      </c>
    </row>
    <row r="28" spans="1:13" x14ac:dyDescent="0.2">
      <c r="A28" s="4" t="s">
        <v>9</v>
      </c>
      <c r="B28" s="49">
        <v>17738</v>
      </c>
      <c r="C28" s="49">
        <v>19608</v>
      </c>
      <c r="D28" s="49">
        <v>18423</v>
      </c>
      <c r="E28" s="49">
        <v>55769</v>
      </c>
      <c r="I28" s="33" t="s">
        <v>47</v>
      </c>
      <c r="J28" s="49">
        <v>5906</v>
      </c>
    </row>
    <row r="29" spans="1:13" x14ac:dyDescent="0.2">
      <c r="A29" s="4" t="s">
        <v>6</v>
      </c>
      <c r="B29" s="49">
        <v>11025</v>
      </c>
      <c r="C29" s="49">
        <v>12513</v>
      </c>
      <c r="D29" s="49">
        <v>11481</v>
      </c>
      <c r="E29" s="49">
        <v>35019</v>
      </c>
      <c r="I29" s="33" t="s">
        <v>48</v>
      </c>
      <c r="J29" s="49">
        <v>8447</v>
      </c>
    </row>
    <row r="30" spans="1:13" x14ac:dyDescent="0.2">
      <c r="A30" s="4" t="s">
        <v>13</v>
      </c>
      <c r="B30" s="49">
        <v>51156</v>
      </c>
      <c r="C30" s="49">
        <v>56889</v>
      </c>
      <c r="D30" s="49">
        <v>56782</v>
      </c>
      <c r="E30" s="49">
        <v>164827</v>
      </c>
      <c r="I30" s="33" t="s">
        <v>49</v>
      </c>
      <c r="J30" s="49">
        <v>9142</v>
      </c>
    </row>
    <row r="31" spans="1:13" x14ac:dyDescent="0.2">
      <c r="A31" s="4"/>
      <c r="I31" s="33" t="s">
        <v>50</v>
      </c>
      <c r="J31" s="49">
        <v>10388</v>
      </c>
    </row>
    <row r="32" spans="1:13" x14ac:dyDescent="0.2">
      <c r="I32" s="33" t="s">
        <v>51</v>
      </c>
      <c r="J32" s="49">
        <v>7166</v>
      </c>
    </row>
    <row r="33" spans="1:10" x14ac:dyDescent="0.2">
      <c r="A33" s="31" t="s">
        <v>43</v>
      </c>
      <c r="I33" s="33" t="s">
        <v>52</v>
      </c>
      <c r="J33" s="49">
        <v>9111</v>
      </c>
    </row>
    <row r="34" spans="1:10" x14ac:dyDescent="0.2">
      <c r="I34" s="33" t="s">
        <v>53</v>
      </c>
      <c r="J34" s="49">
        <v>8754</v>
      </c>
    </row>
    <row r="35" spans="1:10" x14ac:dyDescent="0.2">
      <c r="A35" s="29" t="s">
        <v>17</v>
      </c>
      <c r="B35" s="26" t="s">
        <v>38</v>
      </c>
      <c r="C35" t="s">
        <v>40</v>
      </c>
      <c r="I35" s="33" t="s">
        <v>54</v>
      </c>
      <c r="J35" s="49">
        <v>8252</v>
      </c>
    </row>
    <row r="36" spans="1:10" x14ac:dyDescent="0.2">
      <c r="I36" s="33" t="s">
        <v>55</v>
      </c>
      <c r="J36" s="49">
        <v>10379</v>
      </c>
    </row>
    <row r="37" spans="1:10" x14ac:dyDescent="0.2">
      <c r="A37" s="3" t="s">
        <v>1</v>
      </c>
      <c r="B37" t="s">
        <v>14</v>
      </c>
      <c r="C37" t="s">
        <v>18</v>
      </c>
      <c r="D37" t="s">
        <v>19</v>
      </c>
      <c r="I37" s="33" t="s">
        <v>56</v>
      </c>
      <c r="J37" s="49">
        <v>6538</v>
      </c>
    </row>
    <row r="38" spans="1:10" x14ac:dyDescent="0.2">
      <c r="A38" s="4" t="s">
        <v>10</v>
      </c>
      <c r="B38" s="49">
        <v>38317</v>
      </c>
      <c r="C38" s="49">
        <v>421</v>
      </c>
      <c r="D38" s="49">
        <v>493</v>
      </c>
      <c r="I38" s="33" t="s">
        <v>57</v>
      </c>
      <c r="J38" s="49">
        <v>574</v>
      </c>
    </row>
    <row r="39" spans="1:10" x14ac:dyDescent="0.2">
      <c r="A39" s="4" t="s">
        <v>11</v>
      </c>
      <c r="B39" s="49">
        <v>48388</v>
      </c>
      <c r="C39" s="49">
        <v>530</v>
      </c>
      <c r="D39" s="49">
        <v>612</v>
      </c>
      <c r="I39" s="4" t="s">
        <v>13</v>
      </c>
      <c r="J39" s="49">
        <v>194820</v>
      </c>
    </row>
    <row r="40" spans="1:10" x14ac:dyDescent="0.2">
      <c r="A40" s="4" t="s">
        <v>9</v>
      </c>
      <c r="B40" s="49">
        <v>68770</v>
      </c>
      <c r="C40" s="49">
        <v>721</v>
      </c>
      <c r="D40" s="49">
        <v>890</v>
      </c>
    </row>
    <row r="41" spans="1:10" x14ac:dyDescent="0.2">
      <c r="A41" s="4" t="s">
        <v>6</v>
      </c>
      <c r="B41" s="49">
        <v>39345</v>
      </c>
      <c r="C41" s="49">
        <v>451</v>
      </c>
      <c r="D41" s="49">
        <v>505</v>
      </c>
    </row>
    <row r="42" spans="1:10" x14ac:dyDescent="0.2">
      <c r="A42" s="4" t="s">
        <v>13</v>
      </c>
      <c r="B42" s="49">
        <v>194820</v>
      </c>
      <c r="C42" s="49">
        <v>2123</v>
      </c>
      <c r="D42" s="49">
        <v>2500</v>
      </c>
    </row>
    <row r="43" spans="1:10" x14ac:dyDescent="0.2">
      <c r="A43" s="4" t="s">
        <v>39</v>
      </c>
      <c r="B43">
        <f>GETPIVOTDATA("Sum of Monthly_Fee",$A$37)</f>
        <v>194820</v>
      </c>
      <c r="C43">
        <f>GETPIVOTDATA("Sum of Active Member",$A$37)</f>
        <v>2123</v>
      </c>
      <c r="D43">
        <f>GETPIVOTDATA("Count of Member_ID",$A$37)</f>
        <v>2500</v>
      </c>
    </row>
  </sheetData>
  <dataValidations count="1">
    <dataValidation type="decimal" allowBlank="1" showInputMessage="1" showErrorMessage="1" sqref="M5:M6" xr:uid="{93870DD3-8BB7-0F4D-A559-65903533AC21}">
      <formula1>0</formula1>
      <formula2>999999999999</formula2>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6AAD8B-C125-AA4C-B40B-C2A9BDE207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ExpansionSimulator</vt:lpstr>
      <vt:lpstr>RawData</vt:lpstr>
      <vt:lpstr>Calcaulations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  Phelan</dc:creator>
  <cp:lastModifiedBy>Greg  Phelan</cp:lastModifiedBy>
  <dcterms:created xsi:type="dcterms:W3CDTF">2026-05-09T17:21:26Z</dcterms:created>
  <dcterms:modified xsi:type="dcterms:W3CDTF">2026-05-26T16:29:30Z</dcterms:modified>
</cp:coreProperties>
</file>